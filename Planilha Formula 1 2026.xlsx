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00EB3081-8F17-4FA8-B0E0-6FEC656A242A}" xr6:coauthVersionLast="47" xr6:coauthVersionMax="47" xr10:uidLastSave="{00000000-0000-0000-0000-000000000000}"/>
  <workbookProtection workbookAlgorithmName="SHA-512" workbookHashValue="z51dot9RPrHS9C9s5/rPLC+JArATmX2a8prh0XaV7dQ1gI5e5FJG2dt0/STd2YmHto8PTCV1Fes9Qa6Cyaf/Eg==" workbookSaltValue="wEy9ur+aYRx/JkOdraZ+a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B33" i="17" l="1"/>
  <c r="S42" i="1"/>
  <c r="AE42" i="1"/>
  <c r="T42" i="1"/>
  <c r="AF42" i="1"/>
  <c r="U42" i="1"/>
  <c r="AG42" i="1"/>
  <c r="V42" i="1"/>
  <c r="Y42" i="1"/>
  <c r="W42" i="1"/>
  <c r="X42" i="1"/>
  <c r="Z42" i="1"/>
  <c r="AA42" i="1"/>
  <c r="AB42" i="1"/>
  <c r="Q42" i="1"/>
  <c r="AC42" i="1"/>
  <c r="R42" i="1"/>
  <c r="AD42" i="1"/>
  <c r="B38" i="17"/>
  <c r="R47" i="1"/>
  <c r="AD47" i="1"/>
  <c r="S47" i="1"/>
  <c r="AE47" i="1"/>
  <c r="T47" i="1"/>
  <c r="AF47" i="1"/>
  <c r="U47" i="1"/>
  <c r="AG47" i="1"/>
  <c r="V47" i="1"/>
  <c r="W47" i="1"/>
  <c r="Y47" i="1"/>
  <c r="Z47" i="1"/>
  <c r="AA47" i="1"/>
  <c r="AB47" i="1"/>
  <c r="Q47" i="1"/>
  <c r="AC47" i="1"/>
  <c r="X47" i="1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AA50" i="1"/>
  <c r="AB50" i="1"/>
  <c r="Q50" i="1"/>
  <c r="AC50" i="1"/>
  <c r="R50" i="1"/>
  <c r="AD50" i="1"/>
  <c r="S50" i="1"/>
  <c r="AE50" i="1"/>
  <c r="AG50" i="1"/>
  <c r="T50" i="1"/>
  <c r="AF50" i="1"/>
  <c r="V50" i="1"/>
  <c r="W50" i="1"/>
  <c r="X50" i="1"/>
  <c r="Y50" i="1"/>
  <c r="U50" i="1"/>
  <c r="Z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AB45" i="1"/>
  <c r="Q45" i="1"/>
  <c r="AC45" i="1"/>
  <c r="R45" i="1"/>
  <c r="AD45" i="1"/>
  <c r="S45" i="1"/>
  <c r="AE45" i="1"/>
  <c r="T45" i="1"/>
  <c r="AF45" i="1"/>
  <c r="U45" i="1"/>
  <c r="AG45" i="1"/>
  <c r="W45" i="1"/>
  <c r="X45" i="1"/>
  <c r="Y45" i="1"/>
  <c r="Z45" i="1"/>
  <c r="V45" i="1"/>
  <c r="AA45" i="1"/>
  <c r="B32" i="17"/>
  <c r="X41" i="1"/>
  <c r="Y41" i="1"/>
  <c r="Z41" i="1"/>
  <c r="AA41" i="1"/>
  <c r="AB41" i="1"/>
  <c r="AD41" i="1"/>
  <c r="Q41" i="1"/>
  <c r="AC41" i="1"/>
  <c r="R41" i="1"/>
  <c r="S41" i="1"/>
  <c r="AE41" i="1"/>
  <c r="T41" i="1"/>
  <c r="AF41" i="1"/>
  <c r="U41" i="1"/>
  <c r="AG41" i="1"/>
  <c r="V41" i="1"/>
  <c r="W41" i="1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AB39" i="1"/>
  <c r="AA39" i="1"/>
  <c r="V39" i="1"/>
  <c r="Z39" i="1"/>
  <c r="Y39" i="1"/>
  <c r="X39" i="1"/>
  <c r="W39" i="1"/>
  <c r="AG39" i="1"/>
  <c r="U39" i="1"/>
  <c r="AF39" i="1"/>
  <c r="T39" i="1"/>
  <c r="AE39" i="1"/>
  <c r="S39" i="1"/>
  <c r="AD39" i="1"/>
  <c r="R39" i="1"/>
  <c r="AC39" i="1"/>
  <c r="Q39" i="1"/>
  <c r="B31" i="17"/>
  <c r="Q40" i="1"/>
  <c r="AC40" i="1"/>
  <c r="R40" i="1"/>
  <c r="AD40" i="1"/>
  <c r="S40" i="1"/>
  <c r="AE40" i="1"/>
  <c r="T40" i="1"/>
  <c r="AF40" i="1"/>
  <c r="U40" i="1"/>
  <c r="AG40" i="1"/>
  <c r="V40" i="1"/>
  <c r="W40" i="1"/>
  <c r="X40" i="1"/>
  <c r="Y40" i="1"/>
  <c r="Z40" i="1"/>
  <c r="AA40" i="1"/>
  <c r="AB40" i="1"/>
  <c r="B39" i="17"/>
  <c r="Y48" i="1"/>
  <c r="Z48" i="1"/>
  <c r="AA48" i="1"/>
  <c r="AB48" i="1"/>
  <c r="Q48" i="1"/>
  <c r="AC48" i="1"/>
  <c r="AE48" i="1"/>
  <c r="R48" i="1"/>
  <c r="AD48" i="1"/>
  <c r="T48" i="1"/>
  <c r="AF48" i="1"/>
  <c r="U48" i="1"/>
  <c r="AG48" i="1"/>
  <c r="S48" i="1"/>
  <c r="V48" i="1"/>
  <c r="W48" i="1"/>
  <c r="X48" i="1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Z43" i="1"/>
  <c r="T43" i="1"/>
  <c r="AA43" i="1"/>
  <c r="AB43" i="1"/>
  <c r="AF43" i="1"/>
  <c r="Q43" i="1"/>
  <c r="AC43" i="1"/>
  <c r="R43" i="1"/>
  <c r="AD43" i="1"/>
  <c r="S43" i="1"/>
  <c r="AE43" i="1"/>
  <c r="U43" i="1"/>
  <c r="AG43" i="1"/>
  <c r="V43" i="1"/>
  <c r="W43" i="1"/>
  <c r="X43" i="1"/>
  <c r="Y43" i="1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T49" i="1"/>
  <c r="AF49" i="1"/>
  <c r="Z49" i="1"/>
  <c r="U49" i="1"/>
  <c r="AG49" i="1"/>
  <c r="V49" i="1"/>
  <c r="W49" i="1"/>
  <c r="X49" i="1"/>
  <c r="Y49" i="1"/>
  <c r="AA49" i="1"/>
  <c r="AB49" i="1"/>
  <c r="Q49" i="1"/>
  <c r="AC49" i="1"/>
  <c r="R49" i="1"/>
  <c r="AD49" i="1"/>
  <c r="S49" i="1"/>
  <c r="AE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W46" i="1"/>
  <c r="X46" i="1"/>
  <c r="Y46" i="1"/>
  <c r="Z46" i="1"/>
  <c r="AA46" i="1"/>
  <c r="AB46" i="1"/>
  <c r="R46" i="1"/>
  <c r="AD46" i="1"/>
  <c r="AC46" i="1"/>
  <c r="S46" i="1"/>
  <c r="AE46" i="1"/>
  <c r="T46" i="1"/>
  <c r="AF46" i="1"/>
  <c r="Q46" i="1"/>
  <c r="U46" i="1"/>
  <c r="AG46" i="1"/>
  <c r="V46" i="1"/>
  <c r="B35" i="17"/>
  <c r="U44" i="1"/>
  <c r="AG44" i="1"/>
  <c r="V44" i="1"/>
  <c r="AA44" i="1"/>
  <c r="W44" i="1"/>
  <c r="X44" i="1"/>
  <c r="Y44" i="1"/>
  <c r="Z44" i="1"/>
  <c r="AB44" i="1"/>
  <c r="Q44" i="1"/>
  <c r="AC44" i="1"/>
  <c r="R44" i="1"/>
  <c r="AD44" i="1"/>
  <c r="S44" i="1"/>
  <c r="AE44" i="1"/>
  <c r="T44" i="1"/>
  <c r="AF44" i="1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D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23" i="17" l="1"/>
  <c r="D18" i="17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<sst xmlns="http://schemas.openxmlformats.org/spreadsheetml/2006/main" count="1122" uniqueCount="436">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</sst>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156</c:v>
                </c:pt>
                <c:pt idx="10">
                  <c:v>156</c:v>
                </c:pt>
                <c:pt idx="11">
                  <c:v>156</c:v>
                </c:pt>
                <c:pt idx="12">
                  <c:v>156</c:v>
                </c:pt>
                <c:pt idx="13">
                  <c:v>156</c:v>
                </c:pt>
                <c:pt idx="14">
                  <c:v>156</c:v>
                </c:pt>
                <c:pt idx="15">
                  <c:v>156</c:v>
                </c:pt>
                <c:pt idx="16">
                  <c:v>156</c:v>
                </c:pt>
                <c:pt idx="17">
                  <c:v>156</c:v>
                </c:pt>
                <c:pt idx="18">
                  <c:v>156</c:v>
                </c:pt>
                <c:pt idx="19">
                  <c:v>156</c:v>
                </c:pt>
                <c:pt idx="20">
                  <c:v>156</c:v>
                </c:pt>
                <c:pt idx="21">
                  <c:v>156</c:v>
                </c:pt>
                <c:pt idx="22">
                  <c:v>156</c:v>
                </c:pt>
                <c:pt idx="23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88</c:v>
                </c:pt>
                <c:pt idx="13">
                  <c:v>88</c:v>
                </c:pt>
                <c:pt idx="14">
                  <c:v>88</c:v>
                </c:pt>
                <c:pt idx="15">
                  <c:v>88</c:v>
                </c:pt>
                <c:pt idx="16">
                  <c:v>88</c:v>
                </c:pt>
                <c:pt idx="17">
                  <c:v>88</c:v>
                </c:pt>
                <c:pt idx="18">
                  <c:v>88</c:v>
                </c:pt>
                <c:pt idx="19">
                  <c:v>88</c:v>
                </c:pt>
                <c:pt idx="20">
                  <c:v>88</c:v>
                </c:pt>
                <c:pt idx="21">
                  <c:v>88</c:v>
                </c:pt>
                <c:pt idx="22">
                  <c:v>88</c:v>
                </c:pt>
                <c:pt idx="23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58</c:v>
                </c:pt>
                <c:pt idx="10">
                  <c:v>58</c:v>
                </c:pt>
                <c:pt idx="11">
                  <c:v>58</c:v>
                </c:pt>
                <c:pt idx="12">
                  <c:v>58</c:v>
                </c:pt>
                <c:pt idx="13">
                  <c:v>58</c:v>
                </c:pt>
                <c:pt idx="14">
                  <c:v>58</c:v>
                </c:pt>
                <c:pt idx="15">
                  <c:v>58</c:v>
                </c:pt>
                <c:pt idx="16">
                  <c:v>58</c:v>
                </c:pt>
                <c:pt idx="17">
                  <c:v>58</c:v>
                </c:pt>
                <c:pt idx="18">
                  <c:v>58</c:v>
                </c:pt>
                <c:pt idx="19">
                  <c:v>58</c:v>
                </c:pt>
                <c:pt idx="20">
                  <c:v>58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29</c:v>
                </c:pt>
                <c:pt idx="11">
                  <c:v>29</c:v>
                </c:pt>
                <c:pt idx="12">
                  <c:v>29</c:v>
                </c:pt>
                <c:pt idx="13">
                  <c:v>29</c:v>
                </c:pt>
                <c:pt idx="14">
                  <c:v>29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205</c:v>
                </c:pt>
                <c:pt idx="8">
                  <c:v>205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  <c:pt idx="12">
                  <c:v>205</c:v>
                </c:pt>
                <c:pt idx="13">
                  <c:v>205</c:v>
                </c:pt>
                <c:pt idx="14">
                  <c:v>205</c:v>
                </c:pt>
                <c:pt idx="15">
                  <c:v>205</c:v>
                </c:pt>
                <c:pt idx="16">
                  <c:v>205</c:v>
                </c:pt>
                <c:pt idx="17">
                  <c:v>205</c:v>
                </c:pt>
                <c:pt idx="18">
                  <c:v>205</c:v>
                </c:pt>
                <c:pt idx="19">
                  <c:v>205</c:v>
                </c:pt>
                <c:pt idx="20">
                  <c:v>205</c:v>
                </c:pt>
                <c:pt idx="21">
                  <c:v>205</c:v>
                </c:pt>
                <c:pt idx="22">
                  <c:v>205</c:v>
                </c:pt>
                <c:pt idx="23">
                  <c:v>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140</c:v>
                </c:pt>
                <c:pt idx="8">
                  <c:v>140</c:v>
                </c:pt>
                <c:pt idx="9">
                  <c:v>140</c:v>
                </c:pt>
                <c:pt idx="10">
                  <c:v>140</c:v>
                </c:pt>
                <c:pt idx="11">
                  <c:v>140</c:v>
                </c:pt>
                <c:pt idx="12">
                  <c:v>140</c:v>
                </c:pt>
                <c:pt idx="13">
                  <c:v>140</c:v>
                </c:pt>
                <c:pt idx="14">
                  <c:v>140</c:v>
                </c:pt>
                <c:pt idx="15">
                  <c:v>140</c:v>
                </c:pt>
                <c:pt idx="16">
                  <c:v>140</c:v>
                </c:pt>
                <c:pt idx="17">
                  <c:v>140</c:v>
                </c:pt>
                <c:pt idx="18">
                  <c:v>140</c:v>
                </c:pt>
                <c:pt idx="19">
                  <c:v>140</c:v>
                </c:pt>
                <c:pt idx="20">
                  <c:v>140</c:v>
                </c:pt>
                <c:pt idx="21">
                  <c:v>140</c:v>
                </c:pt>
                <c:pt idx="22">
                  <c:v>140</c:v>
                </c:pt>
                <c:pt idx="23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94</c:v>
                </c:pt>
                <c:pt idx="8">
                  <c:v>94</c:v>
                </c:pt>
                <c:pt idx="9">
                  <c:v>94</c:v>
                </c:pt>
                <c:pt idx="10">
                  <c:v>94</c:v>
                </c:pt>
                <c:pt idx="11">
                  <c:v>94</c:v>
                </c:pt>
                <c:pt idx="12">
                  <c:v>94</c:v>
                </c:pt>
                <c:pt idx="13">
                  <c:v>94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94</c:v>
                </c:pt>
                <c:pt idx="18">
                  <c:v>94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55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6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58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5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60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2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1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3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88</v>
      </c>
      <c r="F5" s="7">
        <f>IF(B5&lt;&gt;"",SUMPRODUCT((Resultados!$B$1:$B$602=1)*(Resultados!$C$1:$C$602=B5)*1),"")</f>
        <v>3</v>
      </c>
      <c r="G5" s="7">
        <f>IF(B5&lt;&gt;"",SUMPRODUCT((Resultados!$B$1:$B$602=2)*(Resultados!$C$1:$C$602=B5)*1),"")</f>
        <v>1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3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156</v>
      </c>
      <c r="F6" s="7">
        <f>IF(B6&lt;&gt;"",SUMPRODUCT((Resultados!$B$1:$B$602=1)*(Resultados!$C$1:$C$602=B6)*1),"")</f>
        <v>5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1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43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1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1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29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1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1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1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75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2</v>
      </c>
      <c r="J9" s="7">
        <f>IF(B9&lt;&gt;"",SUMPRODUCT((Resultados!$B$1:$B$602=5)*(Resultados!$C$1:$C$602=B9)*1),"")</f>
        <v>1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1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2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90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2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15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1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1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14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1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1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26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1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1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13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13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1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2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11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1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1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1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18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1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2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1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19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1</v>
      </c>
      <c r="R19" s="7">
        <f>IF(B19&lt;&gt;"",SUMPRODUCT((Resultados!$B$1:$B$602=13)*(Resultados!$C$1:$C$602=B19)*1),"")</f>
        <v>1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1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2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17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1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3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26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1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15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1</v>
      </c>
      <c r="O22" s="7">
        <f>IF(B22&lt;&gt;"",SUMPRODUCT((Resultados!$B$1:$B$602=10)*(Resultados!$C$1:$C$602=B22)*1),"")</f>
        <v>2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3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1</v>
      </c>
      <c r="T23" s="7">
        <f>IF(B23&lt;&gt;"",SUMPRODUCT((Resultados!$B$1:$B$602=15)*(Resultados!$C$1:$C$602=B23)*1),"")</f>
        <v>2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20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1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1</v>
      </c>
      <c r="X24" s="7">
        <f>IF(B24&lt;&gt;"",SUMPRODUCT((Resultados!$B$1:$B$602=19)*(Resultados!$C$1:$C$602=B24)*1),"")</f>
        <v>3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2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118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1</v>
      </c>
      <c r="I35" s="7">
        <f>IF(B35&lt;&gt;"",SUMPRODUCT((Resultados!$B$1:$B$602=4)*(Resultados!$E$1:$E$602=B35)*1),"")</f>
        <v>3</v>
      </c>
      <c r="J35" s="7">
        <f>IF(B35&lt;&gt;"",SUMPRODUCT((Resultados!$B$1:$B$602=5)*(Resultados!$E$1:$E$602=B35)*1),"")</f>
        <v>2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1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244</v>
      </c>
      <c r="F36" s="7">
        <f>IF(B36&lt;&gt;"",SUMPRODUCT((Resultados!$B$1:$B$602=1)*(Resultados!$E$1:$E$602=B36)*1),"")</f>
        <v>8</v>
      </c>
      <c r="G36" s="7">
        <f>IF(B36&lt;&gt;"",SUMPRODUCT((Resultados!$B$1:$B$602=2)*(Resultados!$E$1:$E$602=B36)*1),"")</f>
        <v>2</v>
      </c>
      <c r="H36" s="7">
        <f>IF(B36&lt;&gt;"",SUMPRODUCT((Resultados!$B$1:$B$602=3)*(Resultados!$E$1:$E$602=B36)*1),"")</f>
        <v>1</v>
      </c>
      <c r="I36" s="7">
        <f>IF(B36&lt;&gt;"",SUMPRODUCT((Resultados!$B$1:$B$602=4)*(Resultados!$E$1:$E$602=B36)*1),"")</f>
        <v>3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72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2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3</v>
      </c>
      <c r="K37" s="7">
        <f>IF(B37&lt;&gt;"",SUMPRODUCT((Resultados!$B$1:$B$602=6)*(Resultados!$E$1:$E$602=B37)*1),"")</f>
        <v>1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2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2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165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3</v>
      </c>
      <c r="H38" s="7">
        <f>IF(B38&lt;&gt;"",SUMPRODUCT((Resultados!$B$1:$B$602=3)*(Resultados!$E$1:$E$602=B38)*1),"")</f>
        <v>5</v>
      </c>
      <c r="I38" s="7">
        <f>IF(B38&lt;&gt;"",SUMPRODUCT((Resultados!$B$1:$B$602=4)*(Resultados!$E$1:$E$602=B38)*1),"")</f>
        <v>3</v>
      </c>
      <c r="J38" s="7">
        <f>IF(B38&lt;&gt;"",SUMPRODUCT((Resultados!$B$1:$B$602=5)*(Resultados!$E$1:$E$602=B38)*1),"")</f>
        <v>1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1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2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2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1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1</v>
      </c>
      <c r="Z39" s="7">
        <f>IF(B39&lt;&gt;"",SUMPRODUCT((Resultados!$B$1:$B$602=21)*(Resultados!$E$1:$E$602=B39)*1),"")</f>
        <v>1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39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1</v>
      </c>
      <c r="K40" s="7">
        <f>IF(B40&lt;&gt;"",SUMPRODUCT((Resultados!$B$1:$B$602=6)*(Resultados!$E$1:$E$602=B40)*1),"")</f>
        <v>1</v>
      </c>
      <c r="L40" s="7">
        <f>IF(B40&lt;&gt;"",SUMPRODUCT((Resultados!$B$1:$B$602=7)*(Resultados!$E$1:$E$602=B40)*1),"")</f>
        <v>3</v>
      </c>
      <c r="M40" s="7">
        <f>IF(B40&lt;&gt;"",SUMPRODUCT((Resultados!$B$1:$B$602=8)*(Resultados!$E$1:$E$602=B40)*1),"")</f>
        <v>2</v>
      </c>
      <c r="N40" s="7">
        <f>IF(B40&lt;&gt;"",SUMPRODUCT((Resultados!$B$1:$B$602=9)*(Resultados!$E$1:$E$602=B40)*1),"")</f>
        <v>1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1</v>
      </c>
      <c r="R41" s="7">
        <f>IF(B41&lt;&gt;"",SUMPRODUCT((Resultados!$B$1:$B$602=13)*(Resultados!$E$1:$ED$602=B41)*1),"")</f>
        <v>2</v>
      </c>
      <c r="S41" s="7">
        <f>IF(B41&lt;&gt;"",SUMPRODUCT((Resultados!$B$1:$B$602=14)*(Resultados!$E$1:$E$602=B41)*1),"")</f>
        <v>2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1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5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1</v>
      </c>
      <c r="Z42" s="7">
        <f>IF(B42&lt;&gt;"",SUMPRODUCT((Resultados!$B$1:$B$602=21)*(Resultados!$E$1:$E$602=B42)*1),"")</f>
        <v>1</v>
      </c>
      <c r="AA42" s="7">
        <f>IF(B42&lt;&gt;"",SUMPRODUCT((Resultados!$B$1:$B$602=22)*(Resultados!$E$1:$E$602=B42)*1),"")</f>
        <v>1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3</v>
      </c>
      <c r="Q43" s="7">
        <f>IF(B43&lt;&gt;"",SUMPRODUCT((Resultados!$B$1:$B$602=12)*(Resultados!$E$1:$E$602=B43)*1),"")</f>
        <v>3</v>
      </c>
      <c r="R43" s="7">
        <f>IF(B43&lt;&gt;"",SUMPRODUCT((Resultados!$B$1:$B$602=13)*(Resultados!$E$1:$ED$602=B43)*1),"")</f>
        <v>4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1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2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2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41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1</v>
      </c>
      <c r="O44" s="7">
        <f>IF(B44&lt;&gt;"",SUMPRODUCT((Resultados!$B$1:$B$602=10)*(Resultados!$E$1:$E$602=B44)*1),"")</f>
        <v>3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3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1</v>
      </c>
      <c r="T45" s="7">
        <f>IF(B45&lt;&gt;"",SUMPRODUCT((Resultados!$B$1:$B$602=15)*(Resultados!$E$1:$E$602=B45)*1),"")</f>
        <v>2</v>
      </c>
      <c r="U45" s="7">
        <f>IF(B45&lt;&gt;"",SUMPRODUCT((Resultados!$B$1:$B$602=16)*(Resultados!$E$1:$E$602=B45)*1),"")</f>
        <v>4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1</v>
      </c>
      <c r="X45" s="7">
        <f>IF(B45&lt;&gt;"",SUMPRODUCT((Resultados!$B$1:$B$602=19)*(Resultados!$E$1:$E$602=B45)*1),"")</f>
        <v>4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2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156</v>
      </c>
      <c r="M2">
        <f>L2+'Temporada 2026'!T8</f>
        <v>156</v>
      </c>
      <c r="N2">
        <f>M2+'Temporada 2026'!U8</f>
        <v>156</v>
      </c>
      <c r="O2">
        <f>N2+'Temporada 2026'!V8</f>
        <v>156</v>
      </c>
      <c r="P2">
        <f>O2+'Temporada 2026'!W8</f>
        <v>156</v>
      </c>
      <c r="Q2">
        <f>P2+'Temporada 2026'!X8</f>
        <v>156</v>
      </c>
      <c r="R2">
        <f>Q2+'Temporada 2026'!Y8</f>
        <v>156</v>
      </c>
      <c r="S2">
        <f>R2+'Temporada 2026'!Z8</f>
        <v>156</v>
      </c>
      <c r="T2">
        <f>S2+'Temporada 2026'!AA8</f>
        <v>156</v>
      </c>
      <c r="U2">
        <f>T2+'Temporada 2026'!AB8</f>
        <v>156</v>
      </c>
      <c r="V2">
        <f>U2+'Temporada 2026'!AC8</f>
        <v>156</v>
      </c>
      <c r="W2">
        <f>V2+'Temporada 2026'!AD8</f>
        <v>156</v>
      </c>
      <c r="X2">
        <f>W2+'Temporada 2026'!AE8</f>
        <v>156</v>
      </c>
      <c r="Y2">
        <f>X2+'Temporada 2026'!AF8</f>
        <v>156</v>
      </c>
      <c r="Z2">
        <f>Y2+'Temporada 2026'!AG8</f>
        <v>156</v>
      </c>
    </row>
    <row r="3" spans="1:26" x14ac:dyDescent="0.2">
      <c r="A3">
        <f>'Temporada 2026'!B9</f>
        <v>2</v>
      </c>
      <c r="B3" t="str">
        <f>'Temporada 2026'!C9</f>
        <v>Lewis Hamilton</v>
      </c>
      <c r="C3">
        <f>'Temporada 2026'!J9</f>
        <v>12</v>
      </c>
      <c r="D3">
        <f>C3+'Temporada 2026'!K9</f>
        <v>33</v>
      </c>
      <c r="E3">
        <f>D3+'Temporada 2026'!L9</f>
        <v>41</v>
      </c>
      <c r="F3">
        <f>E3+'Temporada 2026'!M9</f>
        <v>41</v>
      </c>
      <c r="G3">
        <f>F3+'Temporada 2026'!N9</f>
        <v>41</v>
      </c>
      <c r="H3">
        <f>G3+'Temporada 2026'!O9</f>
        <v>51</v>
      </c>
      <c r="I3">
        <f>H3+'Temporada 2026'!P9</f>
        <v>72</v>
      </c>
      <c r="J3">
        <f>I3+'Temporada 2026'!Q9</f>
        <v>90</v>
      </c>
      <c r="K3">
        <f>J3+'Temporada 2026'!R9</f>
        <v>90</v>
      </c>
      <c r="L3">
        <f>K3+'Temporada 2026'!S9</f>
        <v>90</v>
      </c>
      <c r="M3">
        <f>L3+'Temporada 2026'!T9</f>
        <v>90</v>
      </c>
      <c r="N3">
        <f>M3+'Temporada 2026'!U9</f>
        <v>90</v>
      </c>
      <c r="O3">
        <f>N3+'Temporada 2026'!V9</f>
        <v>90</v>
      </c>
      <c r="P3">
        <f>O3+'Temporada 2026'!W9</f>
        <v>90</v>
      </c>
      <c r="Q3">
        <f>P3+'Temporada 2026'!X9</f>
        <v>90</v>
      </c>
      <c r="R3">
        <f>Q3+'Temporada 2026'!Y9</f>
        <v>90</v>
      </c>
      <c r="S3">
        <f>R3+'Temporada 2026'!Z9</f>
        <v>90</v>
      </c>
      <c r="T3">
        <f>S3+'Temporada 2026'!AA9</f>
        <v>90</v>
      </c>
      <c r="U3">
        <f>T3+'Temporada 2026'!AB9</f>
        <v>90</v>
      </c>
      <c r="V3">
        <f>U3+'Temporada 2026'!AC9</f>
        <v>90</v>
      </c>
      <c r="W3">
        <f>V3+'Temporada 2026'!AD9</f>
        <v>90</v>
      </c>
      <c r="X3">
        <f>W3+'Temporada 2026'!AE9</f>
        <v>90</v>
      </c>
      <c r="Y3">
        <f>X3+'Temporada 2026'!AF9</f>
        <v>90</v>
      </c>
      <c r="Z3">
        <f>Y3+'Temporada 2026'!AG9</f>
        <v>90</v>
      </c>
    </row>
    <row r="4" spans="1:26" x14ac:dyDescent="0.2">
      <c r="A4">
        <f>'Temporada 2026'!B10</f>
        <v>3</v>
      </c>
      <c r="B4" t="str">
        <f>'Temporada 2026'!C10</f>
        <v>George Russell</v>
      </c>
      <c r="C4">
        <f>'Temporada 2026'!J10</f>
        <v>25</v>
      </c>
      <c r="D4">
        <f>C4+'Temporada 2026'!K10</f>
        <v>51</v>
      </c>
      <c r="E4">
        <f>D4+'Temporada 2026'!L10</f>
        <v>63</v>
      </c>
      <c r="F4">
        <f>E4+'Temporada 2026'!M10</f>
        <v>63</v>
      </c>
      <c r="G4">
        <f>F4+'Temporada 2026'!N10</f>
        <v>63</v>
      </c>
      <c r="H4">
        <f>G4+'Temporada 2026'!O10</f>
        <v>80</v>
      </c>
      <c r="I4">
        <f>H4+'Temporada 2026'!P10</f>
        <v>88</v>
      </c>
      <c r="J4">
        <f>I4+'Temporada 2026'!Q10</f>
        <v>88</v>
      </c>
      <c r="K4">
        <f>J4+'Temporada 2026'!R10</f>
        <v>88</v>
      </c>
      <c r="L4">
        <f>K4+'Temporada 2026'!S10</f>
        <v>88</v>
      </c>
      <c r="M4">
        <f>L4+'Temporada 2026'!T10</f>
        <v>88</v>
      </c>
      <c r="N4">
        <f>M4+'Temporada 2026'!U10</f>
        <v>88</v>
      </c>
      <c r="O4">
        <f>N4+'Temporada 2026'!V10</f>
        <v>88</v>
      </c>
      <c r="P4">
        <f>O4+'Temporada 2026'!W10</f>
        <v>88</v>
      </c>
      <c r="Q4">
        <f>P4+'Temporada 2026'!X10</f>
        <v>88</v>
      </c>
      <c r="R4">
        <f>Q4+'Temporada 2026'!Y10</f>
        <v>88</v>
      </c>
      <c r="S4">
        <f>R4+'Temporada 2026'!Z10</f>
        <v>88</v>
      </c>
      <c r="T4">
        <f>S4+'Temporada 2026'!AA10</f>
        <v>88</v>
      </c>
      <c r="U4">
        <f>T4+'Temporada 2026'!AB10</f>
        <v>88</v>
      </c>
      <c r="V4">
        <f>U4+'Temporada 2026'!AC10</f>
        <v>88</v>
      </c>
      <c r="W4">
        <f>V4+'Temporada 2026'!AD10</f>
        <v>88</v>
      </c>
      <c r="X4">
        <f>W4+'Temporada 2026'!AE10</f>
        <v>88</v>
      </c>
      <c r="Y4">
        <f>X4+'Temporada 2026'!AF10</f>
        <v>88</v>
      </c>
      <c r="Z4">
        <f>Y4+'Temporada 2026'!AG10</f>
        <v>88</v>
      </c>
    </row>
    <row r="5" spans="1:26" x14ac:dyDescent="0.2">
      <c r="A5">
        <f>'Temporada 2026'!B11</f>
        <v>4</v>
      </c>
      <c r="B5" t="str">
        <f>'Temporada 2026'!C11</f>
        <v>Charles Leclerc</v>
      </c>
      <c r="C5">
        <f>'Temporada 2026'!J11</f>
        <v>15</v>
      </c>
      <c r="D5">
        <f>C5+'Temporada 2026'!K11</f>
        <v>34</v>
      </c>
      <c r="E5">
        <f>D5+'Temporada 2026'!L11</f>
        <v>49</v>
      </c>
      <c r="F5">
        <f>E5+'Temporada 2026'!M11</f>
        <v>49</v>
      </c>
      <c r="G5">
        <f>F5+'Temporada 2026'!N11</f>
        <v>49</v>
      </c>
      <c r="H5">
        <f>G5+'Temporada 2026'!O11</f>
        <v>59</v>
      </c>
      <c r="I5">
        <f>H5+'Temporada 2026'!P11</f>
        <v>75</v>
      </c>
      <c r="J5">
        <f>I5+'Temporada 2026'!Q11</f>
        <v>75</v>
      </c>
      <c r="K5">
        <f>J5+'Temporada 2026'!R11</f>
        <v>75</v>
      </c>
      <c r="L5">
        <f>K5+'Temporada 2026'!S11</f>
        <v>75</v>
      </c>
      <c r="M5">
        <f>L5+'Temporada 2026'!T11</f>
        <v>75</v>
      </c>
      <c r="N5">
        <f>M5+'Temporada 2026'!U11</f>
        <v>75</v>
      </c>
      <c r="O5">
        <f>N5+'Temporada 2026'!V11</f>
        <v>75</v>
      </c>
      <c r="P5">
        <f>O5+'Temporada 2026'!W11</f>
        <v>75</v>
      </c>
      <c r="Q5">
        <f>P5+'Temporada 2026'!X11</f>
        <v>75</v>
      </c>
      <c r="R5">
        <f>Q5+'Temporada 2026'!Y11</f>
        <v>75</v>
      </c>
      <c r="S5">
        <f>R5+'Temporada 2026'!Z11</f>
        <v>75</v>
      </c>
      <c r="T5">
        <f>S5+'Temporada 2026'!AA11</f>
        <v>75</v>
      </c>
      <c r="U5">
        <f>T5+'Temporada 2026'!AB11</f>
        <v>75</v>
      </c>
      <c r="V5">
        <f>U5+'Temporada 2026'!AC11</f>
        <v>75</v>
      </c>
      <c r="W5">
        <f>V5+'Temporada 2026'!AD11</f>
        <v>75</v>
      </c>
      <c r="X5">
        <f>W5+'Temporada 2026'!AE11</f>
        <v>75</v>
      </c>
      <c r="Y5">
        <f>X5+'Temporada 2026'!AF11</f>
        <v>75</v>
      </c>
      <c r="Z5">
        <f>Y5+'Temporada 2026'!AG11</f>
        <v>75</v>
      </c>
    </row>
    <row r="6" spans="1:26" x14ac:dyDescent="0.2">
      <c r="A6">
        <f>'Temporada 2026'!B12</f>
        <v>5</v>
      </c>
      <c r="B6" t="str">
        <f>'Temporada 2026'!C12</f>
        <v>Oscar Piastri</v>
      </c>
      <c r="C6">
        <f>'Temporada 2026'!J12</f>
        <v>0</v>
      </c>
      <c r="D6">
        <f>C6+'Temporada 2026'!K12</f>
        <v>3</v>
      </c>
      <c r="E6">
        <f>D6+'Temporada 2026'!L12</f>
        <v>21</v>
      </c>
      <c r="F6">
        <f>E6+'Temporada 2026'!M12</f>
        <v>21</v>
      </c>
      <c r="G6">
        <f>F6+'Temporada 2026'!N12</f>
        <v>21</v>
      </c>
      <c r="H6">
        <f>G6+'Temporada 2026'!O12</f>
        <v>43</v>
      </c>
      <c r="I6">
        <f>H6+'Temporada 2026'!P12</f>
        <v>48</v>
      </c>
      <c r="J6">
        <f>I6+'Temporada 2026'!Q12</f>
        <v>60</v>
      </c>
      <c r="K6">
        <f>J6+'Temporada 2026'!R12</f>
        <v>60</v>
      </c>
      <c r="L6">
        <f>K6+'Temporada 2026'!S12</f>
        <v>60</v>
      </c>
      <c r="M6">
        <f>L6+'Temporada 2026'!T12</f>
        <v>60</v>
      </c>
      <c r="N6">
        <f>M6+'Temporada 2026'!U12</f>
        <v>60</v>
      </c>
      <c r="O6">
        <f>N6+'Temporada 2026'!V12</f>
        <v>60</v>
      </c>
      <c r="P6">
        <f>O6+'Temporada 2026'!W12</f>
        <v>60</v>
      </c>
      <c r="Q6">
        <f>P6+'Temporada 2026'!X12</f>
        <v>60</v>
      </c>
      <c r="R6">
        <f>Q6+'Temporada 2026'!Y12</f>
        <v>60</v>
      </c>
      <c r="S6">
        <f>R6+'Temporada 2026'!Z12</f>
        <v>60</v>
      </c>
      <c r="T6">
        <f>S6+'Temporada 2026'!AA12</f>
        <v>60</v>
      </c>
      <c r="U6">
        <f>T6+'Temporada 2026'!AB12</f>
        <v>60</v>
      </c>
      <c r="V6">
        <f>U6+'Temporada 2026'!AC12</f>
        <v>60</v>
      </c>
      <c r="W6">
        <f>V6+'Temporada 2026'!AD12</f>
        <v>60</v>
      </c>
      <c r="X6">
        <f>W6+'Temporada 2026'!AE12</f>
        <v>60</v>
      </c>
      <c r="Y6">
        <f>X6+'Temporada 2026'!AF12</f>
        <v>60</v>
      </c>
      <c r="Z6">
        <f>Y6+'Temporada 2026'!AG12</f>
        <v>60</v>
      </c>
    </row>
    <row r="7" spans="1:26" x14ac:dyDescent="0.2">
      <c r="A7">
        <f>'Temporada 2026'!B13</f>
        <v>6</v>
      </c>
      <c r="B7" t="str">
        <f>'Temporada 2026'!C13</f>
        <v>Lando Norris</v>
      </c>
      <c r="C7">
        <f>'Temporada 2026'!J13</f>
        <v>10</v>
      </c>
      <c r="D7">
        <f>C7+'Temporada 2026'!K13</f>
        <v>15</v>
      </c>
      <c r="E7">
        <f>D7+'Temporada 2026'!L13</f>
        <v>25</v>
      </c>
      <c r="F7">
        <f>E7+'Temporada 2026'!M13</f>
        <v>25</v>
      </c>
      <c r="G7">
        <f>F7+'Temporada 2026'!N13</f>
        <v>25</v>
      </c>
      <c r="H7">
        <f>G7+'Temporada 2026'!O13</f>
        <v>51</v>
      </c>
      <c r="I7">
        <f>H7+'Temporada 2026'!P13</f>
        <v>58</v>
      </c>
      <c r="J7">
        <f>I7+'Temporada 2026'!Q13</f>
        <v>58</v>
      </c>
      <c r="K7">
        <f>J7+'Temporada 2026'!R13</f>
        <v>58</v>
      </c>
      <c r="L7">
        <f>K7+'Temporada 2026'!S13</f>
        <v>58</v>
      </c>
      <c r="M7">
        <f>L7+'Temporada 2026'!T13</f>
        <v>58</v>
      </c>
      <c r="N7">
        <f>M7+'Temporada 2026'!U13</f>
        <v>58</v>
      </c>
      <c r="O7">
        <f>N7+'Temporada 2026'!V13</f>
        <v>58</v>
      </c>
      <c r="P7">
        <f>O7+'Temporada 2026'!W13</f>
        <v>58</v>
      </c>
      <c r="Q7">
        <f>P7+'Temporada 2026'!X13</f>
        <v>58</v>
      </c>
      <c r="R7">
        <f>Q7+'Temporada 2026'!Y13</f>
        <v>58</v>
      </c>
      <c r="S7">
        <f>R7+'Temporada 2026'!Z13</f>
        <v>58</v>
      </c>
      <c r="T7">
        <f>S7+'Temporada 2026'!AA13</f>
        <v>58</v>
      </c>
      <c r="U7">
        <f>T7+'Temporada 2026'!AB13</f>
        <v>58</v>
      </c>
      <c r="V7">
        <f>U7+'Temporada 2026'!AC13</f>
        <v>58</v>
      </c>
      <c r="W7">
        <f>V7+'Temporada 2026'!AD13</f>
        <v>58</v>
      </c>
      <c r="X7">
        <f>W7+'Temporada 2026'!AE13</f>
        <v>58</v>
      </c>
      <c r="Y7">
        <f>X7+'Temporada 2026'!AF13</f>
        <v>58</v>
      </c>
      <c r="Z7">
        <f>Y7+'Temporada 2026'!AG13</f>
        <v>58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43</v>
      </c>
      <c r="J8">
        <f>I8+'Temporada 2026'!Q14</f>
        <v>43</v>
      </c>
      <c r="K8">
        <f>J8+'Temporada 2026'!R14</f>
        <v>43</v>
      </c>
      <c r="L8">
        <f>K8+'Temporada 2026'!S14</f>
        <v>43</v>
      </c>
      <c r="M8">
        <f>L8+'Temporada 2026'!T14</f>
        <v>43</v>
      </c>
      <c r="N8">
        <f>M8+'Temporada 2026'!U14</f>
        <v>43</v>
      </c>
      <c r="O8">
        <f>N8+'Temporada 2026'!V14</f>
        <v>43</v>
      </c>
      <c r="P8">
        <f>O8+'Temporada 2026'!W14</f>
        <v>43</v>
      </c>
      <c r="Q8">
        <f>P8+'Temporada 2026'!X14</f>
        <v>43</v>
      </c>
      <c r="R8">
        <f>Q8+'Temporada 2026'!Y14</f>
        <v>43</v>
      </c>
      <c r="S8">
        <f>R8+'Temporada 2026'!Z14</f>
        <v>43</v>
      </c>
      <c r="T8">
        <f>S8+'Temporada 2026'!AA14</f>
        <v>43</v>
      </c>
      <c r="U8">
        <f>T8+'Temporada 2026'!AB14</f>
        <v>43</v>
      </c>
      <c r="V8">
        <f>U8+'Temporada 2026'!AC14</f>
        <v>43</v>
      </c>
      <c r="W8">
        <f>V8+'Temporada 2026'!AD14</f>
        <v>43</v>
      </c>
      <c r="X8">
        <f>W8+'Temporada 2026'!AE14</f>
        <v>43</v>
      </c>
      <c r="Y8">
        <f>X8+'Temporada 2026'!AF14</f>
        <v>43</v>
      </c>
      <c r="Z8">
        <f>Y8+'Temporada 2026'!AG14</f>
        <v>43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29</v>
      </c>
      <c r="K9">
        <f>J9+'Temporada 2026'!R15</f>
        <v>29</v>
      </c>
      <c r="L9">
        <f>K9+'Temporada 2026'!S15</f>
        <v>29</v>
      </c>
      <c r="M9">
        <f>L9+'Temporada 2026'!T15</f>
        <v>29</v>
      </c>
      <c r="N9">
        <f>M9+'Temporada 2026'!U15</f>
        <v>29</v>
      </c>
      <c r="O9">
        <f>N9+'Temporada 2026'!V15</f>
        <v>29</v>
      </c>
      <c r="P9">
        <f>O9+'Temporada 2026'!W15</f>
        <v>29</v>
      </c>
      <c r="Q9">
        <f>P9+'Temporada 2026'!X15</f>
        <v>29</v>
      </c>
      <c r="R9">
        <f>Q9+'Temporada 2026'!Y15</f>
        <v>29</v>
      </c>
      <c r="S9">
        <f>R9+'Temporada 2026'!Z15</f>
        <v>29</v>
      </c>
      <c r="T9">
        <f>S9+'Temporada 2026'!AA15</f>
        <v>29</v>
      </c>
      <c r="U9">
        <f>T9+'Temporada 2026'!AB15</f>
        <v>29</v>
      </c>
      <c r="V9">
        <f>U9+'Temporada 2026'!AC15</f>
        <v>29</v>
      </c>
      <c r="W9">
        <f>V9+'Temporada 2026'!AD15</f>
        <v>29</v>
      </c>
      <c r="X9">
        <f>W9+'Temporada 2026'!AE15</f>
        <v>29</v>
      </c>
      <c r="Y9">
        <f>X9+'Temporada 2026'!AF15</f>
        <v>29</v>
      </c>
      <c r="Z9">
        <f>Y9+'Temporada 2026'!AG15</f>
        <v>29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10</v>
      </c>
      <c r="G10">
        <f>F10+'Temporada 2026'!N16</f>
        <v>10</v>
      </c>
      <c r="H10">
        <f>G10+'Temporada 2026'!O16</f>
        <v>10</v>
      </c>
      <c r="I10">
        <f>H10+'Temporada 2026'!P16</f>
        <v>16</v>
      </c>
      <c r="J10">
        <f>I10+'Temporada 2026'!Q16</f>
        <v>26</v>
      </c>
      <c r="K10">
        <f>J10+'Temporada 2026'!R16</f>
        <v>26</v>
      </c>
      <c r="L10">
        <f>K10+'Temporada 2026'!S16</f>
        <v>26</v>
      </c>
      <c r="M10">
        <f>L10+'Temporada 2026'!T16</f>
        <v>26</v>
      </c>
      <c r="N10">
        <f>M10+'Temporada 2026'!U16</f>
        <v>26</v>
      </c>
      <c r="O10">
        <f>N10+'Temporada 2026'!V16</f>
        <v>26</v>
      </c>
      <c r="P10">
        <f>O10+'Temporada 2026'!W16</f>
        <v>26</v>
      </c>
      <c r="Q10">
        <f>P10+'Temporada 2026'!X16</f>
        <v>26</v>
      </c>
      <c r="R10">
        <f>Q10+'Temporada 2026'!Y16</f>
        <v>26</v>
      </c>
      <c r="S10">
        <f>R10+'Temporada 2026'!Z16</f>
        <v>26</v>
      </c>
      <c r="T10">
        <f>S10+'Temporada 2026'!AA16</f>
        <v>26</v>
      </c>
      <c r="U10">
        <f>T10+'Temporada 2026'!AB16</f>
        <v>26</v>
      </c>
      <c r="V10">
        <f>U10+'Temporada 2026'!AC16</f>
        <v>26</v>
      </c>
      <c r="W10">
        <f>V10+'Temporada 2026'!AD16</f>
        <v>26</v>
      </c>
      <c r="X10">
        <f>W10+'Temporada 2026'!AE16</f>
        <v>26</v>
      </c>
      <c r="Y10">
        <f>X10+'Temporada 2026'!AF16</f>
        <v>26</v>
      </c>
      <c r="Z10">
        <f>Y10+'Temporada 2026'!AG16</f>
        <v>26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26</v>
      </c>
      <c r="K11">
        <f>J11+'Temporada 2026'!R17</f>
        <v>26</v>
      </c>
      <c r="L11">
        <f>K11+'Temporada 2026'!S17</f>
        <v>26</v>
      </c>
      <c r="M11">
        <f>L11+'Temporada 2026'!T17</f>
        <v>26</v>
      </c>
      <c r="N11">
        <f>M11+'Temporada 2026'!U17</f>
        <v>26</v>
      </c>
      <c r="O11">
        <f>N11+'Temporada 2026'!V17</f>
        <v>26</v>
      </c>
      <c r="P11">
        <f>O11+'Temporada 2026'!W17</f>
        <v>26</v>
      </c>
      <c r="Q11">
        <f>P11+'Temporada 2026'!X17</f>
        <v>26</v>
      </c>
      <c r="R11">
        <f>Q11+'Temporada 2026'!Y17</f>
        <v>26</v>
      </c>
      <c r="S11">
        <f>R11+'Temporada 2026'!Z17</f>
        <v>26</v>
      </c>
      <c r="T11">
        <f>S11+'Temporada 2026'!AA17</f>
        <v>26</v>
      </c>
      <c r="U11">
        <f>T11+'Temporada 2026'!AB17</f>
        <v>26</v>
      </c>
      <c r="V11">
        <f>U11+'Temporada 2026'!AC17</f>
        <v>26</v>
      </c>
      <c r="W11">
        <f>V11+'Temporada 2026'!AD17</f>
        <v>26</v>
      </c>
      <c r="X11">
        <f>W11+'Temporada 2026'!AE17</f>
        <v>26</v>
      </c>
      <c r="Y11">
        <f>X11+'Temporada 2026'!AF17</f>
        <v>26</v>
      </c>
      <c r="Z11">
        <f>Y11+'Temporada 2026'!AG17</f>
        <v>26</v>
      </c>
    </row>
    <row r="12" spans="1:26" x14ac:dyDescent="0.2">
      <c r="A12">
        <f>'Temporada 2026'!B18</f>
        <v>11</v>
      </c>
      <c r="B12" t="str">
        <f>'Temporada 2026'!C18</f>
        <v>Oliver Bearman</v>
      </c>
      <c r="C12">
        <f>'Temporada 2026'!J18</f>
        <v>6</v>
      </c>
      <c r="D12">
        <f>C12+'Temporada 2026'!K18</f>
        <v>17</v>
      </c>
      <c r="E12">
        <f>D12+'Temporada 2026'!L18</f>
        <v>17</v>
      </c>
      <c r="F12">
        <f>E12+'Temporada 2026'!M18</f>
        <v>17</v>
      </c>
      <c r="G12">
        <f>F12+'Temporada 2026'!N18</f>
        <v>17</v>
      </c>
      <c r="H12">
        <f>G12+'Temporada 2026'!O18</f>
        <v>17</v>
      </c>
      <c r="I12">
        <f>H12+'Temporada 2026'!P18</f>
        <v>18</v>
      </c>
      <c r="J12">
        <f>I12+'Temporada 2026'!Q18</f>
        <v>18</v>
      </c>
      <c r="K12">
        <f>J12+'Temporada 2026'!R18</f>
        <v>18</v>
      </c>
      <c r="L12">
        <f>K12+'Temporada 2026'!S18</f>
        <v>18</v>
      </c>
      <c r="M12">
        <f>L12+'Temporada 2026'!T18</f>
        <v>18</v>
      </c>
      <c r="N12">
        <f>M12+'Temporada 2026'!U18</f>
        <v>18</v>
      </c>
      <c r="O12">
        <f>N12+'Temporada 2026'!V18</f>
        <v>18</v>
      </c>
      <c r="P12">
        <f>O12+'Temporada 2026'!W18</f>
        <v>18</v>
      </c>
      <c r="Q12">
        <f>P12+'Temporada 2026'!X18</f>
        <v>18</v>
      </c>
      <c r="R12">
        <f>Q12+'Temporada 2026'!Y18</f>
        <v>18</v>
      </c>
      <c r="S12">
        <f>R12+'Temporada 2026'!Z18</f>
        <v>18</v>
      </c>
      <c r="T12">
        <f>S12+'Temporada 2026'!AA18</f>
        <v>18</v>
      </c>
      <c r="U12">
        <f>T12+'Temporada 2026'!AB18</f>
        <v>18</v>
      </c>
      <c r="V12">
        <f>U12+'Temporada 2026'!AC18</f>
        <v>18</v>
      </c>
      <c r="W12">
        <f>V12+'Temporada 2026'!AD18</f>
        <v>18</v>
      </c>
      <c r="X12">
        <f>W12+'Temporada 2026'!AE18</f>
        <v>18</v>
      </c>
      <c r="Y12">
        <f>X12+'Temporada 2026'!AF18</f>
        <v>18</v>
      </c>
      <c r="Z12">
        <f>Y12+'Temporada 2026'!AG18</f>
        <v>18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15</v>
      </c>
      <c r="L13">
        <f>K13+'Temporada 2026'!S19</f>
        <v>15</v>
      </c>
      <c r="M13">
        <f>L13+'Temporada 2026'!T19</f>
        <v>15</v>
      </c>
      <c r="N13">
        <f>M13+'Temporada 2026'!U19</f>
        <v>15</v>
      </c>
      <c r="O13">
        <f>N13+'Temporada 2026'!V19</f>
        <v>15</v>
      </c>
      <c r="P13">
        <f>O13+'Temporada 2026'!W19</f>
        <v>15</v>
      </c>
      <c r="Q13">
        <f>P13+'Temporada 2026'!X19</f>
        <v>15</v>
      </c>
      <c r="R13">
        <f>Q13+'Temporada 2026'!Y19</f>
        <v>15</v>
      </c>
      <c r="S13">
        <f>R13+'Temporada 2026'!Z19</f>
        <v>15</v>
      </c>
      <c r="T13">
        <f>S13+'Temporada 2026'!AA19</f>
        <v>15</v>
      </c>
      <c r="U13">
        <f>T13+'Temporada 2026'!AB19</f>
        <v>15</v>
      </c>
      <c r="V13">
        <f>U13+'Temporada 2026'!AC19</f>
        <v>15</v>
      </c>
      <c r="W13">
        <f>V13+'Temporada 2026'!AD19</f>
        <v>15</v>
      </c>
      <c r="X13">
        <f>W13+'Temporada 2026'!AE19</f>
        <v>15</v>
      </c>
      <c r="Y13">
        <f>X13+'Temporada 2026'!AF19</f>
        <v>15</v>
      </c>
      <c r="Z13">
        <f>Y13+'Temporada 2026'!AG19</f>
        <v>15</v>
      </c>
    </row>
    <row r="14" spans="1:26" x14ac:dyDescent="0.2">
      <c r="A14">
        <f>'Temporada 2026'!B20</f>
        <v>13</v>
      </c>
      <c r="B14" t="str">
        <f>'Temporada 2026'!C20</f>
        <v>Arvid Lindblad</v>
      </c>
      <c r="C14">
        <f>'Temporada 2026'!J20</f>
        <v>4</v>
      </c>
      <c r="D14">
        <f>C14+'Temporada 2026'!K20</f>
        <v>4</v>
      </c>
      <c r="E14">
        <f>D14+'Temporada 2026'!L20</f>
        <v>4</v>
      </c>
      <c r="F14">
        <f>E14+'Temporada 2026'!M20</f>
        <v>4</v>
      </c>
      <c r="G14">
        <f>F14+'Temporada 2026'!N20</f>
        <v>4</v>
      </c>
      <c r="H14">
        <f>G14+'Temporada 2026'!O20</f>
        <v>4</v>
      </c>
      <c r="I14">
        <f>H14+'Temporada 2026'!P20</f>
        <v>5</v>
      </c>
      <c r="J14">
        <f>I14+'Temporada 2026'!Q20</f>
        <v>13</v>
      </c>
      <c r="K14">
        <f>J14+'Temporada 2026'!R20</f>
        <v>13</v>
      </c>
      <c r="L14">
        <f>K14+'Temporada 2026'!S20</f>
        <v>13</v>
      </c>
      <c r="M14">
        <f>L14+'Temporada 2026'!T20</f>
        <v>13</v>
      </c>
      <c r="N14">
        <f>M14+'Temporada 2026'!U20</f>
        <v>13</v>
      </c>
      <c r="O14">
        <f>N14+'Temporada 2026'!V20</f>
        <v>13</v>
      </c>
      <c r="P14">
        <f>O14+'Temporada 2026'!W20</f>
        <v>13</v>
      </c>
      <c r="Q14">
        <f>P14+'Temporada 2026'!X20</f>
        <v>13</v>
      </c>
      <c r="R14">
        <f>Q14+'Temporada 2026'!Y20</f>
        <v>13</v>
      </c>
      <c r="S14">
        <f>R14+'Temporada 2026'!Z20</f>
        <v>13</v>
      </c>
      <c r="T14">
        <f>S14+'Temporada 2026'!AA20</f>
        <v>13</v>
      </c>
      <c r="U14">
        <f>T14+'Temporada 2026'!AB20</f>
        <v>13</v>
      </c>
      <c r="V14">
        <f>U14+'Temporada 2026'!AC20</f>
        <v>13</v>
      </c>
      <c r="W14">
        <f>V14+'Temporada 2026'!AD20</f>
        <v>13</v>
      </c>
      <c r="X14">
        <f>W14+'Temporada 2026'!AE20</f>
        <v>13</v>
      </c>
      <c r="Y14">
        <f>X14+'Temporada 2026'!AF20</f>
        <v>13</v>
      </c>
      <c r="Z14">
        <f>Y14+'Temporada 2026'!AG20</f>
        <v>13</v>
      </c>
    </row>
    <row r="15" spans="1:26" x14ac:dyDescent="0.2">
      <c r="A15">
        <f>'Temporada 2026'!B21</f>
        <v>14</v>
      </c>
      <c r="B15" t="str">
        <f>'Temporada 2026'!C21</f>
        <v>Carlos Sainz</v>
      </c>
      <c r="C15">
        <f>'Temporada 2026'!J21</f>
        <v>0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4</v>
      </c>
      <c r="I15">
        <f>H15+'Temporada 2026'!P21</f>
        <v>6</v>
      </c>
      <c r="J15">
        <f>I15+'Temporada 2026'!Q21</f>
        <v>6</v>
      </c>
      <c r="K15">
        <f>J15+'Temporada 2026'!R21</f>
        <v>6</v>
      </c>
      <c r="L15">
        <f>K15+'Temporada 2026'!S21</f>
        <v>6</v>
      </c>
      <c r="M15">
        <f>L15+'Temporada 2026'!T21</f>
        <v>6</v>
      </c>
      <c r="N15">
        <f>M15+'Temporada 2026'!U21</f>
        <v>6</v>
      </c>
      <c r="O15">
        <f>N15+'Temporada 2026'!V21</f>
        <v>6</v>
      </c>
      <c r="P15">
        <f>O15+'Temporada 2026'!W21</f>
        <v>6</v>
      </c>
      <c r="Q15">
        <f>P15+'Temporada 2026'!X21</f>
        <v>6</v>
      </c>
      <c r="R15">
        <f>Q15+'Temporada 2026'!Y21</f>
        <v>6</v>
      </c>
      <c r="S15">
        <f>R15+'Temporada 2026'!Z21</f>
        <v>6</v>
      </c>
      <c r="T15">
        <f>S15+'Temporada 2026'!AA21</f>
        <v>6</v>
      </c>
      <c r="U15">
        <f>T15+'Temporada 2026'!AB21</f>
        <v>6</v>
      </c>
      <c r="V15">
        <f>U15+'Temporada 2026'!AC21</f>
        <v>6</v>
      </c>
      <c r="W15">
        <f>V15+'Temporada 2026'!AD21</f>
        <v>6</v>
      </c>
      <c r="X15">
        <f>W15+'Temporada 2026'!AE21</f>
        <v>6</v>
      </c>
      <c r="Y15">
        <f>X15+'Temporada 2026'!AF21</f>
        <v>6</v>
      </c>
      <c r="Z15">
        <f>Y15+'Temporada 2026'!AG21</f>
        <v>6</v>
      </c>
    </row>
    <row r="16" spans="1:26" x14ac:dyDescent="0.2">
      <c r="A16">
        <f>'Temporada 2026'!B22</f>
        <v>15</v>
      </c>
      <c r="B16" t="str">
        <f>'Temporada 2026'!C22</f>
        <v>Alexander Albon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1</v>
      </c>
      <c r="I16">
        <f>H16+'Temporada 2026'!P22</f>
        <v>1</v>
      </c>
      <c r="J16">
        <f>I16+'Temporada 2026'!Q22</f>
        <v>5</v>
      </c>
      <c r="K16">
        <f>J16+'Temporada 2026'!R22</f>
        <v>5</v>
      </c>
      <c r="L16">
        <f>K16+'Temporada 2026'!S22</f>
        <v>5</v>
      </c>
      <c r="M16">
        <f>L16+'Temporada 2026'!T22</f>
        <v>5</v>
      </c>
      <c r="N16">
        <f>M16+'Temporada 2026'!U22</f>
        <v>5</v>
      </c>
      <c r="O16">
        <f>N16+'Temporada 2026'!V22</f>
        <v>5</v>
      </c>
      <c r="P16">
        <f>O16+'Temporada 2026'!W22</f>
        <v>5</v>
      </c>
      <c r="Q16">
        <f>P16+'Temporada 2026'!X22</f>
        <v>5</v>
      </c>
      <c r="R16">
        <f>Q16+'Temporada 2026'!Y22</f>
        <v>5</v>
      </c>
      <c r="S16">
        <f>R16+'Temporada 2026'!Z22</f>
        <v>5</v>
      </c>
      <c r="T16">
        <f>S16+'Temporada 2026'!AA22</f>
        <v>5</v>
      </c>
      <c r="U16">
        <f>T16+'Temporada 2026'!AB22</f>
        <v>5</v>
      </c>
      <c r="V16">
        <f>U16+'Temporada 2026'!AC22</f>
        <v>5</v>
      </c>
      <c r="W16">
        <f>V16+'Temporada 2026'!AD22</f>
        <v>5</v>
      </c>
      <c r="X16">
        <f>W16+'Temporada 2026'!AE22</f>
        <v>5</v>
      </c>
      <c r="Y16">
        <f>X16+'Temporada 2026'!AF22</f>
        <v>5</v>
      </c>
      <c r="Z16">
        <f>Y16+'Temporada 2026'!AG22</f>
        <v>5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3</v>
      </c>
      <c r="K17">
        <f>J17+'Temporada 2026'!R23</f>
        <v>3</v>
      </c>
      <c r="L17">
        <f>K17+'Temporada 2026'!S23</f>
        <v>3</v>
      </c>
      <c r="M17">
        <f>L17+'Temporada 2026'!T23</f>
        <v>3</v>
      </c>
      <c r="N17">
        <f>M17+'Temporada 2026'!U23</f>
        <v>3</v>
      </c>
      <c r="O17">
        <f>N17+'Temporada 2026'!V23</f>
        <v>3</v>
      </c>
      <c r="P17">
        <f>O17+'Temporada 2026'!W23</f>
        <v>3</v>
      </c>
      <c r="Q17">
        <f>P17+'Temporada 2026'!X23</f>
        <v>3</v>
      </c>
      <c r="R17">
        <f>Q17+'Temporada 2026'!Y23</f>
        <v>3</v>
      </c>
      <c r="S17">
        <f>R17+'Temporada 2026'!Z23</f>
        <v>3</v>
      </c>
      <c r="T17">
        <f>S17+'Temporada 2026'!AA23</f>
        <v>3</v>
      </c>
      <c r="U17">
        <f>T17+'Temporada 2026'!AB23</f>
        <v>3</v>
      </c>
      <c r="V17">
        <f>U17+'Temporada 2026'!AC23</f>
        <v>3</v>
      </c>
      <c r="W17">
        <f>V17+'Temporada 2026'!AD23</f>
        <v>3</v>
      </c>
      <c r="X17">
        <f>W17+'Temporada 2026'!AE23</f>
        <v>3</v>
      </c>
      <c r="Y17">
        <f>X17+'Temporada 2026'!AF23</f>
        <v>3</v>
      </c>
      <c r="Z17">
        <f>Y17+'Temporada 2026'!AG23</f>
        <v>3</v>
      </c>
    </row>
    <row r="18" spans="1:26" x14ac:dyDescent="0.2">
      <c r="A18">
        <f>'Temporada 2026'!B24</f>
        <v>17</v>
      </c>
      <c r="B18" t="str">
        <f>'Temporada 2026'!C24</f>
        <v>Gabriel Bortoleto</v>
      </c>
      <c r="C18">
        <f>'Temporada 2026'!J24</f>
        <v>2</v>
      </c>
      <c r="D18">
        <f>C18+'Temporada 2026'!K24</f>
        <v>2</v>
      </c>
      <c r="E18">
        <f>D18+'Temporada 2026'!L24</f>
        <v>2</v>
      </c>
      <c r="F18">
        <f>E18+'Temporada 2026'!M24</f>
        <v>2</v>
      </c>
      <c r="G18">
        <f>F18+'Temporada 2026'!N24</f>
        <v>2</v>
      </c>
      <c r="H18">
        <f>G18+'Temporada 2026'!O24</f>
        <v>2</v>
      </c>
      <c r="I18">
        <f>H18+'Temporada 2026'!P24</f>
        <v>2</v>
      </c>
      <c r="J18">
        <f>I18+'Temporada 2026'!Q24</f>
        <v>2</v>
      </c>
      <c r="K18">
        <f>J18+'Temporada 2026'!R24</f>
        <v>2</v>
      </c>
      <c r="L18">
        <f>K18+'Temporada 2026'!S24</f>
        <v>2</v>
      </c>
      <c r="M18">
        <f>L18+'Temporada 2026'!T24</f>
        <v>2</v>
      </c>
      <c r="N18">
        <f>M18+'Temporada 2026'!U24</f>
        <v>2</v>
      </c>
      <c r="O18">
        <f>N18+'Temporada 2026'!V24</f>
        <v>2</v>
      </c>
      <c r="P18">
        <f>O18+'Temporada 2026'!W24</f>
        <v>2</v>
      </c>
      <c r="Q18">
        <f>P18+'Temporada 2026'!X24</f>
        <v>2</v>
      </c>
      <c r="R18">
        <f>Q18+'Temporada 2026'!Y24</f>
        <v>2</v>
      </c>
      <c r="S18">
        <f>R18+'Temporada 2026'!Z24</f>
        <v>2</v>
      </c>
      <c r="T18">
        <f>S18+'Temporada 2026'!AA24</f>
        <v>2</v>
      </c>
      <c r="U18">
        <f>T18+'Temporada 2026'!AB24</f>
        <v>2</v>
      </c>
      <c r="V18">
        <f>U18+'Temporada 2026'!AC24</f>
        <v>2</v>
      </c>
      <c r="W18">
        <f>V18+'Temporada 2026'!AD24</f>
        <v>2</v>
      </c>
      <c r="X18">
        <f>W18+'Temporada 2026'!AE24</f>
        <v>2</v>
      </c>
      <c r="Y18">
        <f>X18+'Temporada 2026'!AF24</f>
        <v>2</v>
      </c>
      <c r="Z18">
        <f>Y18+'Temporada 2026'!AG24</f>
        <v>2</v>
      </c>
    </row>
    <row r="19" spans="1:26" x14ac:dyDescent="0.2">
      <c r="A19">
        <f>'Temporada 2026'!B25</f>
        <v>18</v>
      </c>
      <c r="B19" t="str">
        <f>'Temporada 2026'!C25</f>
        <v>Fernando Alonso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1</v>
      </c>
      <c r="K19">
        <f>J19+'Temporada 2026'!R25</f>
        <v>1</v>
      </c>
      <c r="L19">
        <f>K19+'Temporada 2026'!S25</f>
        <v>1</v>
      </c>
      <c r="M19">
        <f>L19+'Temporada 2026'!T25</f>
        <v>1</v>
      </c>
      <c r="N19">
        <f>M19+'Temporada 2026'!U25</f>
        <v>1</v>
      </c>
      <c r="O19">
        <f>N19+'Temporada 2026'!V25</f>
        <v>1</v>
      </c>
      <c r="P19">
        <f>O19+'Temporada 2026'!W25</f>
        <v>1</v>
      </c>
      <c r="Q19">
        <f>P19+'Temporada 2026'!X25</f>
        <v>1</v>
      </c>
      <c r="R19">
        <f>Q19+'Temporada 2026'!Y25</f>
        <v>1</v>
      </c>
      <c r="S19">
        <f>R19+'Temporada 2026'!Z25</f>
        <v>1</v>
      </c>
      <c r="T19">
        <f>S19+'Temporada 2026'!AA25</f>
        <v>1</v>
      </c>
      <c r="U19">
        <f>T19+'Temporada 2026'!AB25</f>
        <v>1</v>
      </c>
      <c r="V19">
        <f>U19+'Temporada 2026'!AC25</f>
        <v>1</v>
      </c>
      <c r="W19">
        <f>V19+'Temporada 2026'!AD25</f>
        <v>1</v>
      </c>
      <c r="X19">
        <f>W19+'Temporada 2026'!AE25</f>
        <v>1</v>
      </c>
      <c r="Y19">
        <f>X19+'Temporada 2026'!AF25</f>
        <v>1</v>
      </c>
      <c r="Z19">
        <f>Y19+'Temporada 2026'!AG25</f>
        <v>1</v>
      </c>
    </row>
    <row r="20" spans="1:26" x14ac:dyDescent="0.2">
      <c r="A20">
        <f>'Temporada 2026'!B26</f>
        <v>19</v>
      </c>
      <c r="B20" t="str">
        <f>'Temporada 2026'!C26</f>
        <v>Nico Hulkenberg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Valtteri Bottas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Row],[SAL]]+'Temporada 2026'!O39</f>
        <v>180</v>
      </c>
      <c r="I30">
        <f>Tabela2[[#This Row],[MIA]]+'Temporada 2026'!P39</f>
        <v>205</v>
      </c>
      <c r="J30">
        <f>Tabela2[[#This Row],[EMI]]+'Temporada 2026'!Q39</f>
        <v>205</v>
      </c>
      <c r="K30">
        <f>Tabela2[[#This Row],[MON]]+'Temporada 2026'!R39</f>
        <v>205</v>
      </c>
      <c r="L30">
        <f>Tabela2[[#This Row],[ESP]]+'Temporada 2026'!S39</f>
        <v>205</v>
      </c>
      <c r="M30">
        <f>Tabela2[[#This Row],[CAN]]+'Temporada 2026'!T39</f>
        <v>205</v>
      </c>
      <c r="N30">
        <f>Tabela2[[#This Row],[AUT]]+'Temporada 2026'!U39</f>
        <v>205</v>
      </c>
      <c r="O30">
        <f>Tabela2[[#This Row],[ING]]+'Temporada 2026'!V39</f>
        <v>205</v>
      </c>
      <c r="P30">
        <f>Tabela2[[#This Row],[BEL]]+'Temporada 2026'!W39</f>
        <v>205</v>
      </c>
      <c r="Q30">
        <f>Tabela2[[#This Row],[HUN]]+'Temporada 2026'!X39</f>
        <v>205</v>
      </c>
      <c r="R30">
        <f>Tabela2[[#This Row],[HOL]]+'Temporada 2026'!Y39</f>
        <v>205</v>
      </c>
      <c r="S30">
        <f>Tabela2[[#This Row],[ITA]]+'Temporada 2026'!Z39</f>
        <v>205</v>
      </c>
      <c r="T30">
        <f>Tabela2[[#This Row],[AZE]]+'Temporada 2026'!AA39</f>
        <v>205</v>
      </c>
      <c r="U30">
        <f>Tabela2[[#This Row],[SIN]]+'Temporada 2026'!AB39</f>
        <v>205</v>
      </c>
      <c r="V30">
        <f>Tabela2[[#This Row],[USA]]+'Temporada 2026'!AC39</f>
        <v>205</v>
      </c>
      <c r="W30">
        <f>Tabela2[[#This Row],[MEX]]+'Temporada 2026'!AD39</f>
        <v>205</v>
      </c>
      <c r="X30">
        <f>Tabela2[[#This Row],[SÃO]]+'Temporada 2026'!AE39</f>
        <v>205</v>
      </c>
      <c r="Y30">
        <f>Tabela2[[#This Row],[VEG]]+'Temporada 2026'!AF39</f>
        <v>205</v>
      </c>
      <c r="Z30">
        <f>Tabela2[[#This Row],[QAT]]+'Temporada 2026'!AG39</f>
        <v>205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Row],[SAL]]+'Temporada 2026'!O40</f>
        <v>110</v>
      </c>
      <c r="I31">
        <f>Tabela2[[#This Row],[MIA]]+'Temporada 2026'!P40</f>
        <v>140</v>
      </c>
      <c r="J31">
        <f>Tabela2[[#This Row],[EMI]]+'Temporada 2026'!Q40</f>
        <v>140</v>
      </c>
      <c r="K31">
        <f>Tabela2[[#This Row],[MON]]+'Temporada 2026'!R40</f>
        <v>140</v>
      </c>
      <c r="L31">
        <f>Tabela2[[#This Row],[ESP]]+'Temporada 2026'!S40</f>
        <v>140</v>
      </c>
      <c r="M31">
        <f>Tabela2[[#This Row],[CAN]]+'Temporada 2026'!T40</f>
        <v>140</v>
      </c>
      <c r="N31">
        <f>Tabela2[[#This Row],[AUT]]+'Temporada 2026'!U40</f>
        <v>140</v>
      </c>
      <c r="O31">
        <f>Tabela2[[#This Row],[ING]]+'Temporada 2026'!V40</f>
        <v>140</v>
      </c>
      <c r="P31">
        <f>Tabela2[[#This Row],[BEL]]+'Temporada 2026'!W40</f>
        <v>140</v>
      </c>
      <c r="Q31">
        <f>Tabela2[[#This Row],[HUN]]+'Temporada 2026'!X40</f>
        <v>140</v>
      </c>
      <c r="R31">
        <f>Tabela2[[#This Row],[HOL]]+'Temporada 2026'!Y40</f>
        <v>140</v>
      </c>
      <c r="S31">
        <f>Tabela2[[#This Row],[ITA]]+'Temporada 2026'!Z40</f>
        <v>140</v>
      </c>
      <c r="T31">
        <f>Tabela2[[#This Row],[AZE]]+'Temporada 2026'!AA40</f>
        <v>140</v>
      </c>
      <c r="U31">
        <f>Tabela2[[#This Row],[SIN]]+'Temporada 2026'!AB40</f>
        <v>140</v>
      </c>
      <c r="V31">
        <f>Tabela2[[#This Row],[USA]]+'Temporada 2026'!AC40</f>
        <v>140</v>
      </c>
      <c r="W31">
        <f>Tabela2[[#This Row],[MEX]]+'Temporada 2026'!AD40</f>
        <v>140</v>
      </c>
      <c r="X31">
        <f>Tabela2[[#This Row],[SÃO]]+'Temporada 2026'!AE40</f>
        <v>140</v>
      </c>
      <c r="Y31">
        <f>Tabela2[[#This Row],[VEG]]+'Temporada 2026'!AF40</f>
        <v>140</v>
      </c>
      <c r="Z31">
        <f>Tabela2[[#This Row],[QAT]]+'Temporada 2026'!AG40</f>
        <v>140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Row],[SAL]]+'Temporada 2026'!O41</f>
        <v>94</v>
      </c>
      <c r="I32">
        <f>Tabela2[[#This Row],[MIA]]+'Temporada 2026'!P41</f>
        <v>94</v>
      </c>
      <c r="J32">
        <f>Tabela2[[#This Row],[EMI]]+'Temporada 2026'!Q41</f>
        <v>94</v>
      </c>
      <c r="K32">
        <f>Tabela2[[#This Row],[MON]]+'Temporada 2026'!R41</f>
        <v>94</v>
      </c>
      <c r="L32">
        <f>Tabela2[[#This Row],[ESP]]+'Temporada 2026'!S41</f>
        <v>94</v>
      </c>
      <c r="M32">
        <f>Tabela2[[#This Row],[CAN]]+'Temporada 2026'!T41</f>
        <v>94</v>
      </c>
      <c r="N32">
        <f>Tabela2[[#This Row],[AUT]]+'Temporada 2026'!U41</f>
        <v>94</v>
      </c>
      <c r="O32">
        <f>Tabela2[[#This Row],[ING]]+'Temporada 2026'!V41</f>
        <v>94</v>
      </c>
      <c r="P32">
        <f>Tabela2[[#This Row],[BEL]]+'Temporada 2026'!W41</f>
        <v>94</v>
      </c>
      <c r="Q32">
        <f>Tabela2[[#This Row],[HUN]]+'Temporada 2026'!X41</f>
        <v>94</v>
      </c>
      <c r="R32">
        <f>Tabela2[[#This Row],[HOL]]+'Temporada 2026'!Y41</f>
        <v>94</v>
      </c>
      <c r="S32">
        <f>Tabela2[[#This Row],[ITA]]+'Temporada 2026'!Z41</f>
        <v>94</v>
      </c>
      <c r="T32">
        <f>Tabela2[[#This Row],[AZE]]+'Temporada 2026'!AA41</f>
        <v>94</v>
      </c>
      <c r="U32">
        <f>Tabela2[[#This Row],[SIN]]+'Temporada 2026'!AB41</f>
        <v>94</v>
      </c>
      <c r="V32">
        <f>Tabela2[[#This Row],[USA]]+'Temporada 2026'!AC41</f>
        <v>94</v>
      </c>
      <c r="W32">
        <f>Tabela2[[#This Row],[MEX]]+'Temporada 2026'!AD41</f>
        <v>94</v>
      </c>
      <c r="X32">
        <f>Tabela2[[#This Row],[SÃO]]+'Temporada 2026'!AE41</f>
        <v>94</v>
      </c>
      <c r="Y32">
        <f>Tabela2[[#This Row],[VEG]]+'Temporada 2026'!AF41</f>
        <v>94</v>
      </c>
      <c r="Z32">
        <f>Tabela2[[#This Row],[QAT]]+'Temporada 2026'!AG41</f>
        <v>94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Row],[SAL]]+'Temporada 2026'!O42</f>
        <v>30</v>
      </c>
      <c r="I33">
        <f>Tabela2[[#This Row],[MIA]]+'Temporada 2026'!P42</f>
        <v>55</v>
      </c>
      <c r="J33">
        <f>Tabela2[[#This Row],[EMI]]+'Temporada 2026'!Q42</f>
        <v>55</v>
      </c>
      <c r="K33">
        <f>Tabela2[[#This Row],[MON]]+'Temporada 2026'!R42</f>
        <v>55</v>
      </c>
      <c r="L33">
        <f>Tabela2[[#This Row],[ESP]]+'Temporada 2026'!S42</f>
        <v>55</v>
      </c>
      <c r="M33">
        <f>Tabela2[[#This Row],[CAN]]+'Temporada 2026'!T42</f>
        <v>55</v>
      </c>
      <c r="N33">
        <f>Tabela2[[#This Row],[AUT]]+'Temporada 2026'!U42</f>
        <v>55</v>
      </c>
      <c r="O33">
        <f>Tabela2[[#This Row],[ING]]+'Temporada 2026'!V42</f>
        <v>55</v>
      </c>
      <c r="P33">
        <f>Tabela2[[#This Row],[BEL]]+'Temporada 2026'!W42</f>
        <v>55</v>
      </c>
      <c r="Q33">
        <f>Tabela2[[#This Row],[HUN]]+'Temporada 2026'!X42</f>
        <v>55</v>
      </c>
      <c r="R33">
        <f>Tabela2[[#This Row],[HOL]]+'Temporada 2026'!Y42</f>
        <v>55</v>
      </c>
      <c r="S33">
        <f>Tabela2[[#This Row],[ITA]]+'Temporada 2026'!Z42</f>
        <v>55</v>
      </c>
      <c r="T33">
        <f>Tabela2[[#This Row],[AZE]]+'Temporada 2026'!AA42</f>
        <v>55</v>
      </c>
      <c r="U33">
        <f>Tabela2[[#This Row],[SIN]]+'Temporada 2026'!AB42</f>
        <v>55</v>
      </c>
      <c r="V33">
        <f>Tabela2[[#This Row],[USA]]+'Temporada 2026'!AC42</f>
        <v>55</v>
      </c>
      <c r="W33">
        <f>Tabela2[[#This Row],[MEX]]+'Temporada 2026'!AD42</f>
        <v>55</v>
      </c>
      <c r="X33">
        <f>Tabela2[[#This Row],[SÃO]]+'Temporada 2026'!AE42</f>
        <v>55</v>
      </c>
      <c r="Y33">
        <f>Tabela2[[#This Row],[VEG]]+'Temporada 2026'!AF42</f>
        <v>55</v>
      </c>
      <c r="Z33">
        <f>Tabela2[[#This Row],[QAT]]+'Temporada 2026'!AG42</f>
        <v>55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Row],[SAL]]+'Temporada 2026'!O43</f>
        <v>23</v>
      </c>
      <c r="I34">
        <f>Tabela2[[#This Row],[MIA]]+'Temporada 2026'!P43</f>
        <v>35</v>
      </c>
      <c r="J34">
        <f>Tabela2[[#This Row],[EMI]]+'Temporada 2026'!Q43</f>
        <v>35</v>
      </c>
      <c r="K34">
        <f>Tabela2[[#This Row],[MON]]+'Temporada 2026'!R43</f>
        <v>35</v>
      </c>
      <c r="L34">
        <f>Tabela2[[#This Row],[ESP]]+'Temporada 2026'!S43</f>
        <v>35</v>
      </c>
      <c r="M34">
        <f>Tabela2[[#This Row],[CAN]]+'Temporada 2026'!T43</f>
        <v>35</v>
      </c>
      <c r="N34">
        <f>Tabela2[[#This Row],[AUT]]+'Temporada 2026'!U43</f>
        <v>35</v>
      </c>
      <c r="O34">
        <f>Tabela2[[#This Row],[ING]]+'Temporada 2026'!V43</f>
        <v>35</v>
      </c>
      <c r="P34">
        <f>Tabela2[[#This Row],[BEL]]+'Temporada 2026'!W43</f>
        <v>35</v>
      </c>
      <c r="Q34">
        <f>Tabela2[[#This Row],[HUN]]+'Temporada 2026'!X43</f>
        <v>35</v>
      </c>
      <c r="R34">
        <f>Tabela2[[#This Row],[HOL]]+'Temporada 2026'!Y43</f>
        <v>35</v>
      </c>
      <c r="S34">
        <f>Tabela2[[#This Row],[ITA]]+'Temporada 2026'!Z43</f>
        <v>35</v>
      </c>
      <c r="T34">
        <f>Tabela2[[#This Row],[AZE]]+'Temporada 2026'!AA43</f>
        <v>35</v>
      </c>
      <c r="U34">
        <f>Tabela2[[#This Row],[SIN]]+'Temporada 2026'!AB43</f>
        <v>35</v>
      </c>
      <c r="V34">
        <f>Tabela2[[#This Row],[USA]]+'Temporada 2026'!AC43</f>
        <v>35</v>
      </c>
      <c r="W34">
        <f>Tabela2[[#This Row],[MEX]]+'Temporada 2026'!AD43</f>
        <v>35</v>
      </c>
      <c r="X34">
        <f>Tabela2[[#This Row],[SÃO]]+'Temporada 2026'!AE43</f>
        <v>35</v>
      </c>
      <c r="Y34">
        <f>Tabela2[[#This Row],[VEG]]+'Temporada 2026'!AF43</f>
        <v>35</v>
      </c>
      <c r="Z34">
        <f>Tabela2[[#This Row],[QAT]]+'Temporada 2026'!AG43</f>
        <v>35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14</v>
      </c>
      <c r="F35">
        <f>Tabela2[[#This Row],[JAP]]+'Temporada 2026'!M44</f>
        <v>14</v>
      </c>
      <c r="G35">
        <f>Tabela2[[#This Row],[BAH]]+'Temporada 2026'!N44</f>
        <v>14</v>
      </c>
      <c r="H35">
        <f>Tabela2[[#This Row],[SAL]]+'Temporada 2026'!O44</f>
        <v>14</v>
      </c>
      <c r="I35">
        <f>Tabela2[[#This Row],[MIA]]+'Temporada 2026'!P44</f>
        <v>20</v>
      </c>
      <c r="J35">
        <f>Tabela2[[#This Row],[EMI]]+'Temporada 2026'!Q44</f>
        <v>20</v>
      </c>
      <c r="K35">
        <f>Tabela2[[#This Row],[MON]]+'Temporada 2026'!R44</f>
        <v>20</v>
      </c>
      <c r="L35">
        <f>Tabela2[[#This Row],[ESP]]+'Temporada 2026'!S44</f>
        <v>20</v>
      </c>
      <c r="M35">
        <f>Tabela2[[#This Row],[CAN]]+'Temporada 2026'!T44</f>
        <v>20</v>
      </c>
      <c r="N35">
        <f>Tabela2[[#This Row],[AUT]]+'Temporada 2026'!U44</f>
        <v>20</v>
      </c>
      <c r="O35">
        <f>Tabela2[[#This Row],[ING]]+'Temporada 2026'!V44</f>
        <v>20</v>
      </c>
      <c r="P35">
        <f>Tabela2[[#This Row],[BEL]]+'Temporada 2026'!W44</f>
        <v>20</v>
      </c>
      <c r="Q35">
        <f>Tabela2[[#This Row],[HUN]]+'Temporada 2026'!X44</f>
        <v>20</v>
      </c>
      <c r="R35">
        <f>Tabela2[[#This Row],[HOL]]+'Temporada 2026'!Y44</f>
        <v>20</v>
      </c>
      <c r="S35">
        <f>Tabela2[[#This Row],[ITA]]+'Temporada 2026'!Z44</f>
        <v>20</v>
      </c>
      <c r="T35">
        <f>Tabela2[[#This Row],[AZE]]+'Temporada 2026'!AA44</f>
        <v>20</v>
      </c>
      <c r="U35">
        <f>Tabela2[[#This Row],[SIN]]+'Temporada 2026'!AB44</f>
        <v>20</v>
      </c>
      <c r="V35">
        <f>Tabela2[[#This Row],[USA]]+'Temporada 2026'!AC44</f>
        <v>20</v>
      </c>
      <c r="W35">
        <f>Tabela2[[#This Row],[MEX]]+'Temporada 2026'!AD44</f>
        <v>20</v>
      </c>
      <c r="X35">
        <f>Tabela2[[#This Row],[SÃO]]+'Temporada 2026'!AE44</f>
        <v>20</v>
      </c>
      <c r="Y35">
        <f>Tabela2[[#This Row],[VEG]]+'Temporada 2026'!AF44</f>
        <v>20</v>
      </c>
      <c r="Z35">
        <f>Tabela2[[#This Row],[QAT]]+'Temporada 2026'!AG44</f>
        <v>20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Row],[SAL]]+'Temporada 2026'!O45</f>
        <v>18</v>
      </c>
      <c r="I36">
        <f>Tabela2[[#This Row],[MIA]]+'Temporada 2026'!P45</f>
        <v>19</v>
      </c>
      <c r="J36">
        <f>Tabela2[[#This Row],[EMI]]+'Temporada 2026'!Q45</f>
        <v>19</v>
      </c>
      <c r="K36">
        <f>Tabela2[[#This Row],[MON]]+'Temporada 2026'!R45</f>
        <v>19</v>
      </c>
      <c r="L36">
        <f>Tabela2[[#This Row],[ESP]]+'Temporada 2026'!S45</f>
        <v>19</v>
      </c>
      <c r="M36">
        <f>Tabela2[[#This Row],[CAN]]+'Temporada 2026'!T45</f>
        <v>19</v>
      </c>
      <c r="N36">
        <f>Tabela2[[#This Row],[AUT]]+'Temporada 2026'!U45</f>
        <v>19</v>
      </c>
      <c r="O36">
        <f>Tabela2[[#This Row],[ING]]+'Temporada 2026'!V45</f>
        <v>19</v>
      </c>
      <c r="P36">
        <f>Tabela2[[#This Row],[BEL]]+'Temporada 2026'!W45</f>
        <v>19</v>
      </c>
      <c r="Q36">
        <f>Tabela2[[#This Row],[HUN]]+'Temporada 2026'!X45</f>
        <v>19</v>
      </c>
      <c r="R36">
        <f>Tabela2[[#This Row],[HOL]]+'Temporada 2026'!Y45</f>
        <v>19</v>
      </c>
      <c r="S36">
        <f>Tabela2[[#This Row],[ITA]]+'Temporada 2026'!Z45</f>
        <v>19</v>
      </c>
      <c r="T36">
        <f>Tabela2[[#This Row],[AZE]]+'Temporada 2026'!AA45</f>
        <v>19</v>
      </c>
      <c r="U36">
        <f>Tabela2[[#This Row],[SIN]]+'Temporada 2026'!AB45</f>
        <v>19</v>
      </c>
      <c r="V36">
        <f>Tabela2[[#This Row],[USA]]+'Temporada 2026'!AC45</f>
        <v>19</v>
      </c>
      <c r="W36">
        <f>Tabela2[[#This Row],[MEX]]+'Temporada 2026'!AD45</f>
        <v>19</v>
      </c>
      <c r="X36">
        <f>Tabela2[[#This Row],[SÃO]]+'Temporada 2026'!AE45</f>
        <v>19</v>
      </c>
      <c r="Y36">
        <f>Tabela2[[#This Row],[VEG]]+'Temporada 2026'!AF45</f>
        <v>19</v>
      </c>
      <c r="Z36">
        <f>Tabela2[[#This Row],[QAT]]+'Temporada 2026'!AG45</f>
        <v>19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5</v>
      </c>
      <c r="I37">
        <f>Tabela2[[#This Row],[MIA]]+'Temporada 2026'!P46</f>
        <v>7</v>
      </c>
      <c r="J37">
        <f>Tabela2[[#This Row],[EMI]]+'Temporada 2026'!Q46</f>
        <v>7</v>
      </c>
      <c r="K37">
        <f>Tabela2[[#This Row],[MON]]+'Temporada 2026'!R46</f>
        <v>7</v>
      </c>
      <c r="L37">
        <f>Tabela2[[#This Row],[ESP]]+'Temporada 2026'!S46</f>
        <v>7</v>
      </c>
      <c r="M37">
        <f>Tabela2[[#This Row],[CAN]]+'Temporada 2026'!T46</f>
        <v>7</v>
      </c>
      <c r="N37">
        <f>Tabela2[[#This Row],[AUT]]+'Temporada 2026'!U46</f>
        <v>7</v>
      </c>
      <c r="O37">
        <f>Tabela2[[#This Row],[ING]]+'Temporada 2026'!V46</f>
        <v>7</v>
      </c>
      <c r="P37">
        <f>Tabela2[[#This Row],[BEL]]+'Temporada 2026'!W46</f>
        <v>7</v>
      </c>
      <c r="Q37">
        <f>Tabela2[[#This Row],[HUN]]+'Temporada 2026'!X46</f>
        <v>7</v>
      </c>
      <c r="R37">
        <f>Tabela2[[#This Row],[HOL]]+'Temporada 2026'!Y46</f>
        <v>7</v>
      </c>
      <c r="S37">
        <f>Tabela2[[#This Row],[ITA]]+'Temporada 2026'!Z46</f>
        <v>7</v>
      </c>
      <c r="T37">
        <f>Tabela2[[#This Row],[AZE]]+'Temporada 2026'!AA46</f>
        <v>7</v>
      </c>
      <c r="U37">
        <f>Tabela2[[#This Row],[SIN]]+'Temporada 2026'!AB46</f>
        <v>7</v>
      </c>
      <c r="V37">
        <f>Tabela2[[#This Row],[USA]]+'Temporada 2026'!AC46</f>
        <v>7</v>
      </c>
      <c r="W37">
        <f>Tabela2[[#This Row],[MEX]]+'Temporada 2026'!AD46</f>
        <v>7</v>
      </c>
      <c r="X37">
        <f>Tabela2[[#This Row],[SÃO]]+'Temporada 2026'!AE46</f>
        <v>7</v>
      </c>
      <c r="Y37">
        <f>Tabela2[[#This Row],[VEG]]+'Temporada 2026'!AF46</f>
        <v>7</v>
      </c>
      <c r="Z37">
        <f>Tabela2[[#This Row],[QAT]]+'Temporada 2026'!AG46</f>
        <v>7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3" t="s">
        <v>397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 spans="1:42" ht="12.75" customHeight="1" x14ac:dyDescent="0.2"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4" t="s">
        <v>415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</row>
    <row r="6" spans="1:42" x14ac:dyDescent="0.2">
      <c r="B6" s="156" t="s">
        <v>244</v>
      </c>
      <c r="C6" s="156" t="s">
        <v>29</v>
      </c>
      <c r="D6" s="156" t="s">
        <v>16</v>
      </c>
      <c r="E6" s="156" t="s">
        <v>17</v>
      </c>
      <c r="F6" s="156" t="s">
        <v>245</v>
      </c>
      <c r="G6" s="156" t="s">
        <v>246</v>
      </c>
      <c r="H6" s="156" t="s">
        <v>359</v>
      </c>
      <c r="I6" s="156" t="s">
        <v>253</v>
      </c>
      <c r="J6" s="157" t="s">
        <v>232</v>
      </c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J6" s="110"/>
    </row>
    <row r="7" spans="1:42" x14ac:dyDescent="0.2">
      <c r="B7" s="156"/>
      <c r="C7" s="156"/>
      <c r="D7" s="156"/>
      <c r="E7" s="156"/>
      <c r="F7" s="156"/>
      <c r="G7" s="156"/>
      <c r="H7" s="156"/>
      <c r="I7" s="156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156</v>
      </c>
      <c r="H8" s="123"/>
      <c r="I8" s="126">
        <f>IF(B8="","",SUMIF(Resultados!$M$3:$M$30,C8,Resultados!$O$3:$O$30))</f>
        <v>5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IF(C8&lt;&gt;"",SUMIF(Resultados!$C$360:$C$409,'Temporada 2026'!C8,Resultados!$F$360:$F$409),"")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IF(C8&lt;&gt;"",SUMIF(Resultados!$C$440:$C$465,'Temporada 2026'!C8,Resultados!$F$440:$F$465),"")</f>
        <v>0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Lewis Hamilton</v>
      </c>
      <c r="D9" s="123" t="str">
        <f>VLOOKUP(B9,'Dummy Table'!$A$3:$C$30,3,FALSE)</f>
        <v>Inglaterra</v>
      </c>
      <c r="E9" s="123" t="str">
        <f>VLOOKUP(B9,'Dummy Table'!$A$3:$D$30,4,FALSE)</f>
        <v>Ferrari</v>
      </c>
      <c r="F9" s="124" t="str">
        <f>IF(C9&lt;&gt;"",IF(G9+Resultados!$K$35&gt;$G$8,"J","L"),"")</f>
        <v>J</v>
      </c>
      <c r="G9" s="125">
        <f>VLOOKUP(B9,'Dummy Table'!$A$3:$E$30,5,FALSE)</f>
        <v>90</v>
      </c>
      <c r="H9" s="123">
        <f>IF(C9&lt;&gt;"",G9-G$8,"")</f>
        <v>-66</v>
      </c>
      <c r="I9" s="126">
        <f>IF(B9="","",SUMIF(Resultados!$M$3:$M$30,C9,Resultados!$O$3:$O$30))</f>
        <v>0</v>
      </c>
      <c r="J9" s="121">
        <f>IF(C9&lt;&gt;"",SUMIF(Resultados!$C$4:$C$29,'Temporada 2026'!C9,Resultados!$F$4:$F$29),"")</f>
        <v>12</v>
      </c>
      <c r="K9" s="121">
        <f>IF(C9&lt;&gt;"",SUMIF(Resultados!$C$33:$C$82,'Temporada 2026'!C9,Resultados!$F$33:$F$82),"")</f>
        <v>21</v>
      </c>
      <c r="L9" s="121">
        <f>IF(C9&lt;&gt;"",SUMIF(Resultados!$C$85:$C$110,'Temporada 2026'!C9,Resultados!$F$85:$F$110),"")</f>
        <v>8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10</v>
      </c>
      <c r="P9" s="121">
        <f>IF(C9&lt;&gt;"",SUMIF(Resultados!$C$223:$C$268,'Temporada 2026'!C9,Resultados!$F$223:$F$268),"")</f>
        <v>21</v>
      </c>
      <c r="Q9" s="121">
        <f>IF(C9&lt;&gt;"",SUMIF(Resultados!$C$275:$C$300,'Temporada 2026'!C9,Resultados!$F$275:$F$300),"")</f>
        <v>18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IF(C9&lt;&gt;"",SUMIF(Resultados!$C$360:$C$409,'Temporada 2026'!C9,Resultados!$F$360:$F$409),"")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George Russell</v>
      </c>
      <c r="D10" s="123" t="str">
        <f>VLOOKUP(B10,'Dummy Table'!$A$3:$C$30,3,FALSE)</f>
        <v>Inglaterra</v>
      </c>
      <c r="E10" s="123" t="str">
        <f>VLOOKUP(B10,'Dummy Table'!$A$3:$D$30,4,FALSE)</f>
        <v>Mercedes</v>
      </c>
      <c r="F10" s="124" t="str">
        <f>IF(C10&lt;&gt;"",IF(G10+Resultados!$K$35&gt;$G$8,"J","L"),"")</f>
        <v>J</v>
      </c>
      <c r="G10" s="125">
        <f>VLOOKUP(B10,'Dummy Table'!$A$3:$E$30,5,FALSE)</f>
        <v>88</v>
      </c>
      <c r="H10" s="123">
        <f t="shared" ref="H10:H31" si="0">IF(C10&lt;&gt;"",G10-G$8,"")</f>
        <v>-68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25</v>
      </c>
      <c r="K10" s="121">
        <f>IF(C10&lt;&gt;"",SUMIF(Resultados!$C$33:$C$82,'Temporada 2026'!C10,Resultados!$F$33:$F$82),"")</f>
        <v>26</v>
      </c>
      <c r="L10" s="121">
        <f>IF(C10&lt;&gt;"",SUMIF(Resultados!$C$85:$C$110,'Temporada 2026'!C10,Resultados!$F$85:$F$110),"")</f>
        <v>12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17</v>
      </c>
      <c r="P10" s="121">
        <f>IF(C10&lt;&gt;"",SUMIF(Resultados!$C$223:$C$268,'Temporada 2026'!C10,Resultados!$F$223:$F$268),"")</f>
        <v>8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IF(C10&lt;&gt;"",SUMIF(Resultados!$C$360:$C$409,'Temporada 2026'!C10,Resultados!$F$360:$F$409),"")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0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Charles Leclerc</v>
      </c>
      <c r="D11" s="123" t="str">
        <f>VLOOKUP(B11,'Dummy Table'!$A$3:$C$30,3,FALSE)</f>
        <v>Mônaco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75</v>
      </c>
      <c r="H11" s="123">
        <f t="shared" si="0"/>
        <v>-81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15</v>
      </c>
      <c r="K11" s="121">
        <f>IF(C11&lt;&gt;"",SUMIF(Resultados!$C$33:$C$82,'Temporada 2026'!C11,Resultados!$F$33:$F$82),"")</f>
        <v>19</v>
      </c>
      <c r="L11" s="121">
        <f>IF(C11&lt;&gt;"",SUMIF(Resultados!$C$85:$C$110,'Temporada 2026'!C11,Resultados!$F$85:$F$110),"")</f>
        <v>15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16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IF(C11&lt;&gt;"",SUMIF(Resultados!$C$360:$C$409,'Temporada 2026'!C11,Resultados!$F$360:$F$409),"")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IF(C11&lt;&gt;"",SUMIF(Resultados!$C$440:$C$465,'Temporada 2026'!C11,Resultados!$F$440:$F$465),"")</f>
        <v>0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Oscar Piastri</v>
      </c>
      <c r="D12" s="123" t="str">
        <f>VLOOKUP(B12,'Dummy Table'!$A$3:$C$30,3,FALSE)</f>
        <v>Austrália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60</v>
      </c>
      <c r="H12" s="123">
        <f t="shared" si="0"/>
        <v>-96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0</v>
      </c>
      <c r="K12" s="121">
        <f>IF(C12&lt;&gt;"",SUMIF(Resultados!$C$33:$C$82,'Temporada 2026'!C12,Resultados!$F$33:$F$82),"")</f>
        <v>3</v>
      </c>
      <c r="L12" s="121">
        <f>IF(C12&lt;&gt;"",SUMIF(Resultados!$C$85:$C$110,'Temporada 2026'!C12,Resultados!$F$85:$F$110),"")</f>
        <v>18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22</v>
      </c>
      <c r="P12" s="121">
        <f>IF(C12&lt;&gt;"",SUMIF(Resultados!$C$223:$C$268,'Temporada 2026'!C12,Resultados!$F$223:$F$268),"")</f>
        <v>5</v>
      </c>
      <c r="Q12" s="121">
        <f>IF(C12&lt;&gt;"",SUMIF(Resultados!$C$275:$C$300,'Temporada 2026'!C12,Resultados!$F$275:$F$300),"")</f>
        <v>12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IF(C12&lt;&gt;"",SUMIF(Resultados!$C$360:$C$409,'Temporada 2026'!C12,Resultados!$F$360:$F$409),"")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IF(C12&lt;&gt;"",SUMIF(Resultados!$C$440:$C$465,'Temporada 2026'!C12,Resultados!$F$440:$F$465),"")</f>
        <v>0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Lando Norris</v>
      </c>
      <c r="D13" s="123" t="str">
        <f>VLOOKUP(B13,'Dummy Table'!$A$3:$C$30,3,FALSE)</f>
        <v>Inglaterra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58</v>
      </c>
      <c r="H13" s="123">
        <f t="shared" si="0"/>
        <v>-98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10</v>
      </c>
      <c r="K13" s="121">
        <f>IF(C13&lt;&gt;"",SUMIF(Resultados!$C$33:$C$82,'Temporada 2026'!C13,Resultados!$F$33:$F$82),"")</f>
        <v>5</v>
      </c>
      <c r="L13" s="121">
        <f>IF(C13&lt;&gt;"",SUMIF(Resultados!$C$85:$C$110,'Temporada 2026'!C13,Resultados!$F$85:$F$110),"")</f>
        <v>10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26</v>
      </c>
      <c r="P13" s="121">
        <f>IF(C13&lt;&gt;"",SUMIF(Resultados!$C$223:$C$268,'Temporada 2026'!C13,Resultados!$F$223:$F$268),"")</f>
        <v>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IF(C13&lt;&gt;"",SUMIF(Resultados!$C$360:$C$409,'Temporada 2026'!C13,Resultados!$F$360:$F$409),"")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IF(C13&lt;&gt;"",SUMIF(Resultados!$C$440:$C$465,'Temporada 2026'!C13,Resultados!$F$440:$F$465),"")</f>
        <v>0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43</v>
      </c>
      <c r="H14" s="123">
        <f t="shared" si="0"/>
        <v>-113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IF(C14&lt;&gt;"",SUMIF(Resultados!$C$223:$C$268,'Temporada 2026'!C14,Resultados!$F$223:$F$268),"")</f>
        <v>17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IF(C14&lt;&gt;"",SUMIF(Resultados!$C$360:$C$409,'Temporada 2026'!C14,Resultados!$F$360:$F$409),"")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29</v>
      </c>
      <c r="H15" s="123">
        <f t="shared" si="0"/>
        <v>-127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15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IF(C15&lt;&gt;"",SUMIF(Resultados!$C$360:$C$409,'Temporada 2026'!C15,Resultados!$F$360:$F$409),"")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IF(C15&lt;&gt;"",SUMIF(Resultados!$C$440:$C$465,'Temporada 2026'!C15,Resultados!$F$440:$F$465),"")</f>
        <v>0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J</v>
      </c>
      <c r="G16" s="125">
        <f>VLOOKUP(B16,'Dummy Table'!$A$3:$E$30,5,FALSE)</f>
        <v>26</v>
      </c>
      <c r="H16" s="123">
        <f t="shared" si="0"/>
        <v>-130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10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IF(C16&lt;&gt;"",SUMIF(Resultados!$C$360:$C$409,'Temporada 2026'!C16,Resultados!$F$360:$F$409),"")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0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J</v>
      </c>
      <c r="G17" s="125">
        <f>VLOOKUP(B17,'Dummy Table'!$A$3:$E$30,5,FALSE)</f>
        <v>26</v>
      </c>
      <c r="H17" s="123">
        <f t="shared" si="0"/>
        <v>-130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6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Oliver Bearman</v>
      </c>
      <c r="D18" s="123" t="str">
        <f>VLOOKUP(B18,'Dummy Table'!$A$3:$C$30,3,FALSE)</f>
        <v>Inglaterra</v>
      </c>
      <c r="E18" s="123" t="str">
        <f>VLOOKUP(B18,'Dummy Table'!$A$3:$D$30,4,FALSE)</f>
        <v>Haas</v>
      </c>
      <c r="F18" s="124" t="str">
        <f>IF(C18&lt;&gt;"",IF(G18+Resultados!$K$35&gt;$G$8,"J","L"),"")</f>
        <v>J</v>
      </c>
      <c r="G18" s="125">
        <f>VLOOKUP(B18,'Dummy Table'!$A$3:$E$30,5,FALSE)</f>
        <v>18</v>
      </c>
      <c r="H18" s="123">
        <f t="shared" si="0"/>
        <v>-138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6</v>
      </c>
      <c r="K18" s="121">
        <f>IF(C18&lt;&gt;"",SUMIF(Resultados!$C$33:$C$82,'Temporada 2026'!C18,Resultados!$F$33:$F$82),"")</f>
        <v>11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IF(C18&lt;&gt;"",SUMIF(Resultados!$C$360:$C$409,'Temporada 2026'!C18,Resultados!$F$360:$F$409),"")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IF(C18&lt;&gt;"",SUMIF(Resultados!$C$440:$C$465,'Temporada 2026'!C18,Resultados!$F$440:$F$465),"")</f>
        <v>0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15</v>
      </c>
      <c r="H19" s="123">
        <f t="shared" si="0"/>
        <v>-141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Arvid Lindblad</v>
      </c>
      <c r="D20" s="123" t="str">
        <f>VLOOKUP(B20,'Dummy Table'!$A$3:$C$30,3,FALSE)</f>
        <v>Inglaterra</v>
      </c>
      <c r="E20" s="123" t="str">
        <f>VLOOKUP(B20,'Dummy Table'!$A$3:$D$30,4,FALSE)</f>
        <v>Racing Bulls</v>
      </c>
      <c r="F20" s="124" t="str">
        <f>IF(C20&lt;&gt;"",IF(G20+Resultados!$K$35&gt;$G$8,"J","L"),"")</f>
        <v>J</v>
      </c>
      <c r="G20" s="125">
        <f>VLOOKUP(B20,'Dummy Table'!$A$3:$E$30,5,FALSE)</f>
        <v>13</v>
      </c>
      <c r="H20" s="123">
        <f t="shared" si="0"/>
        <v>-143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4</v>
      </c>
      <c r="K20" s="121">
        <f>IF(C20&lt;&gt;"",SUMIF(Resultados!$C$33:$C$82,'Temporada 2026'!C20,Resultados!$F$33:$F$82),"")</f>
        <v>0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8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Carlos Sainz</v>
      </c>
      <c r="D21" s="123" t="str">
        <f>VLOOKUP(B21,'Dummy Table'!$A$3:$C$30,3,FALSE)</f>
        <v>Espanha</v>
      </c>
      <c r="E21" s="123" t="str">
        <f>VLOOKUP(B21,'Dummy Table'!$A$3:$D$30,4,FALSE)</f>
        <v>Williams</v>
      </c>
      <c r="F21" s="124" t="str">
        <f>IF(C21&lt;&gt;"",IF(G21+Resultados!$K$35&gt;$G$8,"J","L"),"")</f>
        <v>J</v>
      </c>
      <c r="G21" s="125">
        <f>VLOOKUP(B21,'Dummy Table'!$A$3:$E$30,5,FALSE)</f>
        <v>6</v>
      </c>
      <c r="H21" s="123">
        <f t="shared" si="0"/>
        <v>-150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2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2</v>
      </c>
      <c r="P21" s="121">
        <f>IF(C21&lt;&gt;"",SUMIF(Resultados!$C$223:$C$268,'Temporada 2026'!C21,Resultados!$F$223:$F$268),"")</f>
        <v>2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Alexander Albon</v>
      </c>
      <c r="D22" s="123" t="str">
        <f>VLOOKUP(B22,'Dummy Table'!$A$3:$C$30,3,FALSE)</f>
        <v>Tailandia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5</v>
      </c>
      <c r="H22" s="123">
        <f t="shared" si="0"/>
        <v>-151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1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4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J</v>
      </c>
      <c r="G23" s="125">
        <f>VLOOKUP(B23,'Dummy Table'!$A$3:$E$30,5,FALSE)</f>
        <v>3</v>
      </c>
      <c r="H23" s="123">
        <f t="shared" si="0"/>
        <v>-153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1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2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Gabriel Bortoleto</v>
      </c>
      <c r="D24" s="123" t="str">
        <f>VLOOKUP(B24,'Dummy Table'!$A$3:$C$30,3,FALSE)</f>
        <v>Brasil</v>
      </c>
      <c r="E24" s="123" t="str">
        <f>VLOOKUP(B24,'Dummy Table'!$A$3:$D$30,4,FALSE)</f>
        <v>Audi</v>
      </c>
      <c r="F24" s="124" t="str">
        <f>IF(C24&lt;&gt;"",IF(G24+Resultados!$K$35&gt;$G$8,"J","L"),"")</f>
        <v>J</v>
      </c>
      <c r="G24" s="125">
        <f>VLOOKUP(B24,'Dummy Table'!$A$3:$E$30,5,FALSE)</f>
        <v>2</v>
      </c>
      <c r="H24" s="123">
        <f t="shared" si="0"/>
        <v>-154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2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Fernando Alonso</v>
      </c>
      <c r="D25" s="123" t="str">
        <f>VLOOKUP(B25,'Dummy Table'!$A$3:$C$30,3,FALSE)</f>
        <v>Espanha</v>
      </c>
      <c r="E25" s="123" t="str">
        <f>VLOOKUP(B25,'Dummy Table'!$A$3:$D$30,4,FALSE)</f>
        <v>Aston Martin</v>
      </c>
      <c r="F25" s="124" t="str">
        <f>IF(C25&lt;&gt;"",IF(G25+Resultados!$K$35&gt;$G$8,"J","L"),"")</f>
        <v>J</v>
      </c>
      <c r="G25" s="125">
        <f>VLOOKUP(B25,'Dummy Table'!$A$3:$E$30,5,FALSE)</f>
        <v>1</v>
      </c>
      <c r="H25" s="123">
        <f t="shared" si="0"/>
        <v>-155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1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Nico Hulkenberg</v>
      </c>
      <c r="D26" s="123" t="str">
        <f>VLOOKUP(B26,'Dummy Table'!$A$3:$C$30,3,FALSE)</f>
        <v>Alemanha</v>
      </c>
      <c r="E26" s="123" t="str">
        <f>VLOOKUP(B26,'Dummy Table'!$A$3:$D$30,4,FALSE)</f>
        <v>Audi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-156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Valtteri Bottas</v>
      </c>
      <c r="D27" s="123" t="str">
        <f>VLOOKUP(B27,'Dummy Table'!$A$3:$C$30,3,FALSE)</f>
        <v>Finlândia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-156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-156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-156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8" t="s">
        <v>358</v>
      </c>
      <c r="C36" s="158"/>
      <c r="D36" s="158"/>
      <c r="E36" s="158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6" t="s">
        <v>244</v>
      </c>
      <c r="C37" s="156" t="s">
        <v>233</v>
      </c>
      <c r="D37" s="156" t="s">
        <v>16</v>
      </c>
      <c r="E37" s="156" t="s">
        <v>236</v>
      </c>
      <c r="F37" s="156" t="s">
        <v>245</v>
      </c>
      <c r="G37" s="156" t="s">
        <v>246</v>
      </c>
      <c r="H37" s="120"/>
      <c r="I37" s="156" t="s">
        <v>253</v>
      </c>
      <c r="J37" s="157" t="s">
        <v>232</v>
      </c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</row>
    <row r="38" spans="2:33" x14ac:dyDescent="0.2">
      <c r="B38" s="156"/>
      <c r="C38" s="156"/>
      <c r="D38" s="156"/>
      <c r="E38" s="156"/>
      <c r="F38" s="156"/>
      <c r="G38" s="156"/>
      <c r="H38" s="120"/>
      <c r="I38" s="156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244</v>
      </c>
      <c r="H39" s="125"/>
      <c r="I39" s="126">
        <f>IF(B39="","",SUMIF(Resultados!$N$3:$N$30,C39,Resultados!$O$3:$O$30))</f>
        <v>6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IF(C39&lt;&gt;"",SUMIF(Resultados!$C$275:$C$300,'Temporada 2026'!C39,Resultados!$F$275:$F$300),"")</f>
        <v>0</v>
      </c>
      <c r="R39" s="121">
        <f>IF(C39&lt;&gt;"",SUMIF(Resultados!$C$303:$C$328,'Temporada 2026'!C39,Resultados!$F$303:$F$328),"")</f>
        <v>0</v>
      </c>
      <c r="S39" s="121">
        <f>IF(C39&lt;&gt;"",SUMIF(Resultados!$C$331:$C$356,'Temporada 2026'!C39,Resultados!$F$331:$F$356),"")</f>
        <v>0</v>
      </c>
      <c r="T39" s="121">
        <f>IF(C39&lt;&gt;"",SUMIF(Resultados!$C$360:$C$409,'Temporada 2026'!C39,Resultados!$F$360:$F$409),"")</f>
        <v>0</v>
      </c>
      <c r="U39" s="121">
        <f>IF(C39&lt;&gt;"",SUMIF(Resultados!$C$412:$C$437,'Temporada 2026'!C39,Resultados!$F$412:$F$437),"")</f>
        <v>0</v>
      </c>
      <c r="V39" s="121">
        <f>IF(C39&lt;&gt;"",SUMIF(Resultados!$C$440:$C$465,'Temporada 2026'!C39,Resultados!$F$440:$F$465),"")</f>
        <v>0</v>
      </c>
      <c r="W39" s="121">
        <f>IF(C39&lt;&gt;"",SUMIF(Resultados!$C$469:$C$518,'Temporada 2026'!C39,Resultados!$F$469:$F$518),"")</f>
        <v>0</v>
      </c>
      <c r="X39" s="121">
        <f>IF(C39&lt;&gt;"",SUMIF(Resultados!$C$521:$C$546,'Temporada 2026'!C39,Resultados!$F$521:$F$546),"")</f>
        <v>0</v>
      </c>
      <c r="Y39" s="121">
        <f>IF(C39&lt;&gt;"",SUMIF(Resultados!$C$549:$C$574,'Temporada 2026'!C39,Resultados!$F$549:$F$574),"")</f>
        <v>0</v>
      </c>
      <c r="Z39" s="121">
        <f>IF(C39&lt;&gt;"",SUMIF(Resultados!$C$577:$C$602,'Temporada 2026'!C39,Resultados!$F$577:$F$602),"")</f>
        <v>0</v>
      </c>
      <c r="AA39" s="121">
        <f>IF(C39&lt;&gt;"",SUMIF(Resultados!$C$606:$C$655,'Temporada 2026'!C39,Resultados!$F$606:$F$655),"")</f>
        <v>0</v>
      </c>
      <c r="AB39" s="121">
        <f>IF(C39&lt;&gt;"",SUMIF(Resultados!$C$658:$C$683,'Temporada 2026'!C39,Resultados!$F$658:$F$683),"")</f>
        <v>0</v>
      </c>
      <c r="AC39" s="121">
        <f>IF(C39&lt;&gt;"",SUMIF(Resultados!$C$686:$C$711,'Temporada 2026'!C39,Resultados!$F$686:$F$711),"")</f>
        <v>0</v>
      </c>
      <c r="AD39" s="121">
        <f>IF(C39&lt;&gt;"",SUMIF(Resultados!$C$714:$C$739,'Temporada 2026'!C39,Resultados!$F$714:$F$739),"")</f>
        <v>0</v>
      </c>
      <c r="AE39" s="121">
        <f>IF(C39&lt;&gt;"",SUMIF(Resultados!$C$742:$C$767,'Temporada 2026'!C39,Resultados!$F$742:$F$767),"")</f>
        <v>0</v>
      </c>
      <c r="AF39" s="121">
        <f>IF(C39&lt;&gt;"",SUMIF(Resultados!$C$770:$C$795,'Temporada 2026'!C39,Resultados!$F$770:$F$795),"")</f>
        <v>0</v>
      </c>
      <c r="AG39" s="121">
        <f>IF(C39&lt;&gt;"",SUMIF(Resultados!$C$798:$C$823,'Temporada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165</v>
      </c>
      <c r="H40" s="123">
        <f>IF(C40&lt;&gt;"",G40-G$39,"")</f>
        <v>-79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IF(C40&lt;&gt;"",SUMIF(Resultados!$C$275:$C$300,'Temporada 2026'!C40,Resultados!$F$275:$F$300),"")</f>
        <v>0</v>
      </c>
      <c r="R40" s="121">
        <f>IF(C40&lt;&gt;"",SUMIF(Resultados!$C$303:$C$328,'Temporada 2026'!C40,Resultados!$F$303:$F$328),"")</f>
        <v>0</v>
      </c>
      <c r="S40" s="121">
        <f>IF(C40&lt;&gt;"",SUMIF(Resultados!$C$331:$C$356,'Temporada 2026'!C40,Resultados!$F$331:$F$356),"")</f>
        <v>0</v>
      </c>
      <c r="T40" s="121">
        <f>IF(C40&lt;&gt;"",SUMIF(Resultados!$C$360:$C$409,'Temporada 2026'!C40,Resultados!$F$360:$F$409),"")</f>
        <v>0</v>
      </c>
      <c r="U40" s="121">
        <f>IF(C40&lt;&gt;"",SUMIF(Resultados!$C$412:$C$437,'Temporada 2026'!C40,Resultados!$F$412:$F$437),"")</f>
        <v>0</v>
      </c>
      <c r="V40" s="121">
        <f>IF(C40&lt;&gt;"",SUMIF(Resultados!$C$440:$C$465,'Temporada 2026'!C40,Resultados!$F$440:$F$465),"")</f>
        <v>0</v>
      </c>
      <c r="W40" s="121">
        <f>IF(C40&lt;&gt;"",SUMIF(Resultados!$C$469:$C$518,'Temporada 2026'!C40,Resultados!$F$469:$F$518),"")</f>
        <v>0</v>
      </c>
      <c r="X40" s="121">
        <f>IF(C40&lt;&gt;"",SUMIF(Resultados!$C$521:$C$546,'Temporada 2026'!C40,Resultados!$F$521:$F$546),"")</f>
        <v>0</v>
      </c>
      <c r="Y40" s="121">
        <f>IF(C40&lt;&gt;"",SUMIF(Resultados!$C$549:$C$574,'Temporada 2026'!C40,Resultados!$F$549:$F$574),"")</f>
        <v>0</v>
      </c>
      <c r="Z40" s="121">
        <f>IF(C40&lt;&gt;"",SUMIF(Resultados!$C$577:$C$602,'Temporada 2026'!C40,Resultados!$F$577:$F$602),"")</f>
        <v>0</v>
      </c>
      <c r="AA40" s="121">
        <f>IF(C40&lt;&gt;"",SUMIF(Resultados!$C$606:$C$655,'Temporada 2026'!C40,Resultados!$F$606:$F$655),"")</f>
        <v>0</v>
      </c>
      <c r="AB40" s="121">
        <f>IF(C40&lt;&gt;"",SUMIF(Resultados!$C$658:$C$683,'Temporada 2026'!C40,Resultados!$F$658:$F$683),"")</f>
        <v>0</v>
      </c>
      <c r="AC40" s="121">
        <f>IF(C40&lt;&gt;"",SUMIF(Resultados!$C$686:$C$711,'Temporada 2026'!C40,Resultados!$F$686:$F$711),"")</f>
        <v>0</v>
      </c>
      <c r="AD40" s="121">
        <f>IF(C40&lt;&gt;"",SUMIF(Resultados!$C$714:$C$739,'Temporada 2026'!C40,Resultados!$F$714:$F$739),"")</f>
        <v>0</v>
      </c>
      <c r="AE40" s="121">
        <f>IF(C40&lt;&gt;"",SUMIF(Resultados!$C$742:$C$767,'Temporada 2026'!C40,Resultados!$F$742:$F$767),"")</f>
        <v>0</v>
      </c>
      <c r="AF40" s="121">
        <f>IF(C40&lt;&gt;"",SUMIF(Resultados!$C$770:$C$795,'Temporada 2026'!C40,Resultados!$F$770:$F$795),"")</f>
        <v>0</v>
      </c>
      <c r="AG40" s="121">
        <f>IF(C40&lt;&gt;"",SUMIF(Resultados!$C$798:$C$823,'Temporada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118</v>
      </c>
      <c r="H41" s="123">
        <f t="shared" ref="H41:H51" si="1">IF(C41&lt;&gt;"",G41-G$39,"")</f>
        <v>-126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IF(C41&lt;&gt;"",SUMIF(Resultados!$C$275:$C$300,'Temporada 2026'!C41,Resultados!$F$275:$F$300),"")</f>
        <v>0</v>
      </c>
      <c r="R41" s="121">
        <f>IF(C41&lt;&gt;"",SUMIF(Resultados!$C$303:$C$328,'Temporada 2026'!C41,Resultados!$F$303:$F$328),"")</f>
        <v>0</v>
      </c>
      <c r="S41" s="121">
        <f>IF(C41&lt;&gt;"",SUMIF(Resultados!$C$331:$C$356,'Temporada 2026'!C41,Resultados!$F$331:$F$356),"")</f>
        <v>0</v>
      </c>
      <c r="T41" s="121">
        <f>IF(C41&lt;&gt;"",SUMIF(Resultados!$C$360:$C$409,'Temporada 2026'!C41,Resultados!$F$360:$F$409),"")</f>
        <v>0</v>
      </c>
      <c r="U41" s="121">
        <f>IF(C41&lt;&gt;"",SUMIF(Resultados!$C$412:$C$437,'Temporada 2026'!C41,Resultados!$F$412:$F$437),"")</f>
        <v>0</v>
      </c>
      <c r="V41" s="121">
        <f>IF(C41&lt;&gt;"",SUMIF(Resultados!$C$440:$C$465,'Temporada 2026'!C41,Resultados!$F$440:$F$465),"")</f>
        <v>0</v>
      </c>
      <c r="W41" s="121">
        <f>IF(C41&lt;&gt;"",SUMIF(Resultados!$C$469:$C$518,'Temporada 2026'!C41,Resultados!$F$469:$F$518),"")</f>
        <v>0</v>
      </c>
      <c r="X41" s="121">
        <f>IF(C41&lt;&gt;"",SUMIF(Resultados!$C$521:$C$546,'Temporada 2026'!C41,Resultados!$F$521:$F$546),"")</f>
        <v>0</v>
      </c>
      <c r="Y41" s="121">
        <f>IF(C41&lt;&gt;"",SUMIF(Resultados!$C$549:$C$574,'Temporada 2026'!C41,Resultados!$F$549:$F$574),"")</f>
        <v>0</v>
      </c>
      <c r="Z41" s="121">
        <f>IF(C41&lt;&gt;"",SUMIF(Resultados!$C$577:$C$602,'Temporada 2026'!C41,Resultados!$F$577:$F$602),"")</f>
        <v>0</v>
      </c>
      <c r="AA41" s="121">
        <f>IF(C41&lt;&gt;"",SUMIF(Resultados!$C$606:$C$655,'Temporada 2026'!C41,Resultados!$F$606:$F$655),"")</f>
        <v>0</v>
      </c>
      <c r="AB41" s="121">
        <f>IF(C41&lt;&gt;"",SUMIF(Resultados!$C$658:$C$683,'Temporada 2026'!C41,Resultados!$F$658:$F$683),"")</f>
        <v>0</v>
      </c>
      <c r="AC41" s="121">
        <f>IF(C41&lt;&gt;"",SUMIF(Resultados!$C$686:$C$711,'Temporada 2026'!C41,Resultados!$F$686:$F$711),"")</f>
        <v>0</v>
      </c>
      <c r="AD41" s="121">
        <f>IF(C41&lt;&gt;"",SUMIF(Resultados!$C$714:$C$739,'Temporada 2026'!C41,Resultados!$F$714:$F$739),"")</f>
        <v>0</v>
      </c>
      <c r="AE41" s="121">
        <f>IF(C41&lt;&gt;"",SUMIF(Resultados!$C$742:$C$767,'Temporada 2026'!C41,Resultados!$F$742:$F$767),"")</f>
        <v>0</v>
      </c>
      <c r="AF41" s="121">
        <f>IF(C41&lt;&gt;"",SUMIF(Resultados!$C$770:$C$795,'Temporada 2026'!C41,Resultados!$F$770:$F$795),"")</f>
        <v>0</v>
      </c>
      <c r="AG41" s="121">
        <f>IF(C41&lt;&gt;"",SUMIF(Resultados!$C$798:$C$823,'Temporada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72</v>
      </c>
      <c r="H42" s="123">
        <f t="shared" si="1"/>
        <v>-172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IF(C42&lt;&gt;"",SUMIF(Resultados!$C$275:$C$300,'Temporada 2026'!C42,Resultados!$F$275:$F$300),"")</f>
        <v>0</v>
      </c>
      <c r="R42" s="121">
        <f>IF(C42&lt;&gt;"",SUMIF(Resultados!$C$303:$C$328,'Temporada 2026'!C42,Resultados!$F$303:$F$328),"")</f>
        <v>0</v>
      </c>
      <c r="S42" s="121">
        <f>IF(C42&lt;&gt;"",SUMIF(Resultados!$C$331:$C$356,'Temporada 2026'!C42,Resultados!$F$331:$F$356),"")</f>
        <v>0</v>
      </c>
      <c r="T42" s="121">
        <f>IF(C42&lt;&gt;"",SUMIF(Resultados!$C$360:$C$409,'Temporada 2026'!C42,Resultados!$F$360:$F$409),"")</f>
        <v>0</v>
      </c>
      <c r="U42" s="121">
        <f>IF(C42&lt;&gt;"",SUMIF(Resultados!$C$412:$C$437,'Temporada 2026'!C42,Resultados!$F$412:$F$437),"")</f>
        <v>0</v>
      </c>
      <c r="V42" s="121">
        <f>IF(C42&lt;&gt;"",SUMIF(Resultados!$C$440:$C$465,'Temporada 2026'!C42,Resultados!$F$440:$F$465),"")</f>
        <v>0</v>
      </c>
      <c r="W42" s="121">
        <f>IF(C42&lt;&gt;"",SUMIF(Resultados!$C$469:$C$518,'Temporada 2026'!C42,Resultados!$F$469:$F$518),"")</f>
        <v>0</v>
      </c>
      <c r="X42" s="121">
        <f>IF(C42&lt;&gt;"",SUMIF(Resultados!$C$521:$C$546,'Temporada 2026'!C42,Resultados!$F$521:$F$546),"")</f>
        <v>0</v>
      </c>
      <c r="Y42" s="121">
        <f>IF(C42&lt;&gt;"",SUMIF(Resultados!$C$549:$C$574,'Temporada 2026'!C42,Resultados!$F$549:$F$574),"")</f>
        <v>0</v>
      </c>
      <c r="Z42" s="121">
        <f>IF(C42&lt;&gt;"",SUMIF(Resultados!$C$577:$C$602,'Temporada 2026'!C42,Resultados!$F$577:$F$602),"")</f>
        <v>0</v>
      </c>
      <c r="AA42" s="121">
        <f>IF(C42&lt;&gt;"",SUMIF(Resultados!$C$606:$C$655,'Temporada 2026'!C42,Resultados!$F$606:$F$655),"")</f>
        <v>0</v>
      </c>
      <c r="AB42" s="121">
        <f>IF(C42&lt;&gt;"",SUMIF(Resultados!$C$658:$C$683,'Temporada 2026'!C42,Resultados!$F$658:$F$683),"")</f>
        <v>0</v>
      </c>
      <c r="AC42" s="121">
        <f>IF(C42&lt;&gt;"",SUMIF(Resultados!$C$686:$C$711,'Temporada 2026'!C42,Resultados!$F$686:$F$711),"")</f>
        <v>0</v>
      </c>
      <c r="AD42" s="121">
        <f>IF(C42&lt;&gt;"",SUMIF(Resultados!$C$714:$C$739,'Temporada 2026'!C42,Resultados!$F$714:$F$739),"")</f>
        <v>0</v>
      </c>
      <c r="AE42" s="121">
        <f>IF(C42&lt;&gt;"",SUMIF(Resultados!$C$742:$C$767,'Temporada 2026'!C42,Resultados!$F$742:$F$767),"")</f>
        <v>0</v>
      </c>
      <c r="AF42" s="121">
        <f>IF(C42&lt;&gt;"",SUMIF(Resultados!$C$770:$C$795,'Temporada 2026'!C42,Resultados!$F$770:$F$795),"")</f>
        <v>0</v>
      </c>
      <c r="AG42" s="121">
        <f>IF(C42&lt;&gt;"",SUMIF(Resultados!$C$798:$C$823,'Temporada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41</v>
      </c>
      <c r="H43" s="123">
        <f t="shared" si="1"/>
        <v>-203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12</v>
      </c>
      <c r="Q43" s="121">
        <f>IF(C43&lt;&gt;"",SUMIF(Resultados!$C$275:$C$300,'Temporada 2026'!C43,Resultados!$F$275:$F$300),"")</f>
        <v>0</v>
      </c>
      <c r="R43" s="121">
        <f>IF(C43&lt;&gt;"",SUMIF(Resultados!$C$303:$C$328,'Temporada 2026'!C43,Resultados!$F$303:$F$328),"")</f>
        <v>0</v>
      </c>
      <c r="S43" s="121">
        <f>IF(C43&lt;&gt;"",SUMIF(Resultados!$C$331:$C$356,'Temporada 2026'!C43,Resultados!$F$331:$F$356),"")</f>
        <v>0</v>
      </c>
      <c r="T43" s="121">
        <f>IF(C43&lt;&gt;"",SUMIF(Resultados!$C$360:$C$409,'Temporada 2026'!C43,Resultados!$F$360:$F$409),"")</f>
        <v>0</v>
      </c>
      <c r="U43" s="121">
        <f>IF(C43&lt;&gt;"",SUMIF(Resultados!$C$412:$C$437,'Temporada 2026'!C43,Resultados!$F$412:$F$437),"")</f>
        <v>0</v>
      </c>
      <c r="V43" s="121">
        <f>IF(C43&lt;&gt;"",SUMIF(Resultados!$C$440:$C$465,'Temporada 2026'!C43,Resultados!$F$440:$F$465),"")</f>
        <v>0</v>
      </c>
      <c r="W43" s="121">
        <f>IF(C43&lt;&gt;"",SUMIF(Resultados!$C$469:$C$518,'Temporada 2026'!C43,Resultados!$F$469:$F$518),"")</f>
        <v>0</v>
      </c>
      <c r="X43" s="121">
        <f>IF(C43&lt;&gt;"",SUMIF(Resultados!$C$521:$C$546,'Temporada 2026'!C43,Resultados!$F$521:$F$546),"")</f>
        <v>0</v>
      </c>
      <c r="Y43" s="121">
        <f>IF(C43&lt;&gt;"",SUMIF(Resultados!$C$549:$C$574,'Temporada 2026'!C43,Resultados!$F$549:$F$574),"")</f>
        <v>0</v>
      </c>
      <c r="Z43" s="121">
        <f>IF(C43&lt;&gt;"",SUMIF(Resultados!$C$577:$C$602,'Temporada 2026'!C43,Resultados!$F$577:$F$602),"")</f>
        <v>0</v>
      </c>
      <c r="AA43" s="121">
        <f>IF(C43&lt;&gt;"",SUMIF(Resultados!$C$606:$C$655,'Temporada 2026'!C43,Resultados!$F$606:$F$655),"")</f>
        <v>0</v>
      </c>
      <c r="AB43" s="121">
        <f>IF(C43&lt;&gt;"",SUMIF(Resultados!$C$658:$C$683,'Temporada 2026'!C43,Resultados!$F$658:$F$683),"")</f>
        <v>0</v>
      </c>
      <c r="AC43" s="121">
        <f>IF(C43&lt;&gt;"",SUMIF(Resultados!$C$686:$C$711,'Temporada 2026'!C43,Resultados!$F$686:$F$711),"")</f>
        <v>0</v>
      </c>
      <c r="AD43" s="121">
        <f>IF(C43&lt;&gt;"",SUMIF(Resultados!$C$714:$C$739,'Temporada 2026'!C43,Resultados!$F$714:$F$739),"")</f>
        <v>0</v>
      </c>
      <c r="AE43" s="121">
        <f>IF(C43&lt;&gt;"",SUMIF(Resultados!$C$742:$C$767,'Temporada 2026'!C43,Resultados!$F$742:$F$767),"")</f>
        <v>0</v>
      </c>
      <c r="AF43" s="121">
        <f>IF(C43&lt;&gt;"",SUMIF(Resultados!$C$770:$C$795,'Temporada 2026'!C43,Resultados!$F$770:$F$795),"")</f>
        <v>0</v>
      </c>
      <c r="AG43" s="121">
        <f>IF(C43&lt;&gt;"",SUMIF(Resultados!$C$798:$C$823,'Temporada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39</v>
      </c>
      <c r="H44" s="123">
        <f t="shared" si="1"/>
        <v>-205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2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6</v>
      </c>
      <c r="Q44" s="121">
        <f>IF(C44&lt;&gt;"",SUMIF(Resultados!$C$275:$C$300,'Temporada 2026'!C44,Resultados!$F$275:$F$300),"")</f>
        <v>0</v>
      </c>
      <c r="R44" s="121">
        <f>IF(C44&lt;&gt;"",SUMIF(Resultados!$C$303:$C$328,'Temporada 2026'!C44,Resultados!$F$303:$F$328),"")</f>
        <v>0</v>
      </c>
      <c r="S44" s="121">
        <f>IF(C44&lt;&gt;"",SUMIF(Resultados!$C$331:$C$356,'Temporada 2026'!C44,Resultados!$F$331:$F$356),"")</f>
        <v>0</v>
      </c>
      <c r="T44" s="121">
        <f>IF(C44&lt;&gt;"",SUMIF(Resultados!$C$360:$C$409,'Temporada 2026'!C44,Resultados!$F$360:$F$409),"")</f>
        <v>0</v>
      </c>
      <c r="U44" s="121">
        <f>IF(C44&lt;&gt;"",SUMIF(Resultados!$C$412:$C$437,'Temporada 2026'!C44,Resultados!$F$412:$F$437),"")</f>
        <v>0</v>
      </c>
      <c r="V44" s="121">
        <f>IF(C44&lt;&gt;"",SUMIF(Resultados!$C$440:$C$465,'Temporada 2026'!C44,Resultados!$F$440:$F$465),"")</f>
        <v>0</v>
      </c>
      <c r="W44" s="121">
        <f>IF(C44&lt;&gt;"",SUMIF(Resultados!$C$469:$C$518,'Temporada 2026'!C44,Resultados!$F$469:$F$518),"")</f>
        <v>0</v>
      </c>
      <c r="X44" s="121">
        <f>IF(C44&lt;&gt;"",SUMIF(Resultados!$C$521:$C$546,'Temporada 2026'!C44,Resultados!$F$521:$F$546),"")</f>
        <v>0</v>
      </c>
      <c r="Y44" s="121">
        <f>IF(C44&lt;&gt;"",SUMIF(Resultados!$C$549:$C$574,'Temporada 2026'!C44,Resultados!$F$549:$F$574),"")</f>
        <v>0</v>
      </c>
      <c r="Z44" s="121">
        <f>IF(C44&lt;&gt;"",SUMIF(Resultados!$C$577:$C$602,'Temporada 2026'!C44,Resultados!$F$577:$F$602),"")</f>
        <v>0</v>
      </c>
      <c r="AA44" s="121">
        <f>IF(C44&lt;&gt;"",SUMIF(Resultados!$C$606:$C$655,'Temporada 2026'!C44,Resultados!$F$606:$F$655),"")</f>
        <v>0</v>
      </c>
      <c r="AB44" s="121">
        <f>IF(C44&lt;&gt;"",SUMIF(Resultados!$C$658:$C$683,'Temporada 2026'!C44,Resultados!$F$658:$F$683),"")</f>
        <v>0</v>
      </c>
      <c r="AC44" s="121">
        <f>IF(C44&lt;&gt;"",SUMIF(Resultados!$C$686:$C$711,'Temporada 2026'!C44,Resultados!$F$686:$F$711),"")</f>
        <v>0</v>
      </c>
      <c r="AD44" s="121">
        <f>IF(C44&lt;&gt;"",SUMIF(Resultados!$C$714:$C$739,'Temporada 2026'!C44,Resultados!$F$714:$F$739),"")</f>
        <v>0</v>
      </c>
      <c r="AE44" s="121">
        <f>IF(C44&lt;&gt;"",SUMIF(Resultados!$C$742:$C$767,'Temporada 2026'!C44,Resultados!$F$742:$F$767),"")</f>
        <v>0</v>
      </c>
      <c r="AF44" s="121">
        <f>IF(C44&lt;&gt;"",SUMIF(Resultados!$C$770:$C$795,'Temporada 2026'!C44,Resultados!$F$770:$F$795),"")</f>
        <v>0</v>
      </c>
      <c r="AG44" s="121">
        <f>IF(C44&lt;&gt;"",SUMIF(Resultados!$C$798:$C$823,'Temporada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-223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IF(C45&lt;&gt;"",SUMIF(Resultados!$C$275:$C$300,'Temporada 2026'!C45,Resultados!$F$275:$F$300),"")</f>
        <v>0</v>
      </c>
      <c r="R45" s="121">
        <f>IF(C45&lt;&gt;"",SUMIF(Resultados!$C$303:$C$328,'Temporada 2026'!C45,Resultados!$F$303:$F$328),"")</f>
        <v>0</v>
      </c>
      <c r="S45" s="121">
        <f>IF(C45&lt;&gt;"",SUMIF(Resultados!$C$331:$C$356,'Temporada 2026'!C45,Resultados!$F$331:$F$356),"")</f>
        <v>0</v>
      </c>
      <c r="T45" s="121">
        <f>IF(C45&lt;&gt;"",SUMIF(Resultados!$C$360:$C$409,'Temporada 2026'!C45,Resultados!$F$360:$F$409),"")</f>
        <v>0</v>
      </c>
      <c r="U45" s="121">
        <f>IF(C45&lt;&gt;"",SUMIF(Resultados!$C$412:$C$437,'Temporada 2026'!C45,Resultados!$F$412:$F$437),"")</f>
        <v>0</v>
      </c>
      <c r="V45" s="121">
        <f>IF(C45&lt;&gt;"",SUMIF(Resultados!$C$440:$C$465,'Temporada 2026'!C45,Resultados!$F$440:$F$465),"")</f>
        <v>0</v>
      </c>
      <c r="W45" s="121">
        <f>IF(C45&lt;&gt;"",SUMIF(Resultados!$C$469:$C$518,'Temporada 2026'!C45,Resultados!$F$469:$F$518),"")</f>
        <v>0</v>
      </c>
      <c r="X45" s="121">
        <f>IF(C45&lt;&gt;"",SUMIF(Resultados!$C$521:$C$546,'Temporada 2026'!C45,Resultados!$F$521:$F$546),"")</f>
        <v>0</v>
      </c>
      <c r="Y45" s="121">
        <f>IF(C45&lt;&gt;"",SUMIF(Resultados!$C$549:$C$574,'Temporada 2026'!C45,Resultados!$F$549:$F$574),"")</f>
        <v>0</v>
      </c>
      <c r="Z45" s="121">
        <f>IF(C45&lt;&gt;"",SUMIF(Resultados!$C$577:$C$602,'Temporada 2026'!C45,Resultados!$F$577:$F$602),"")</f>
        <v>0</v>
      </c>
      <c r="AA45" s="121">
        <f>IF(C45&lt;&gt;"",SUMIF(Resultados!$C$606:$C$655,'Temporada 2026'!C45,Resultados!$F$606:$F$655),"")</f>
        <v>0</v>
      </c>
      <c r="AB45" s="121">
        <f>IF(C45&lt;&gt;"",SUMIF(Resultados!$C$658:$C$683,'Temporada 2026'!C45,Resultados!$F$658:$F$683),"")</f>
        <v>0</v>
      </c>
      <c r="AC45" s="121">
        <f>IF(C45&lt;&gt;"",SUMIF(Resultados!$C$686:$C$711,'Temporada 2026'!C45,Resultados!$F$686:$F$711),"")</f>
        <v>0</v>
      </c>
      <c r="AD45" s="121">
        <f>IF(C45&lt;&gt;"",SUMIF(Resultados!$C$714:$C$739,'Temporada 2026'!C45,Resultados!$F$714:$F$739),"")</f>
        <v>0</v>
      </c>
      <c r="AE45" s="121">
        <f>IF(C45&lt;&gt;"",SUMIF(Resultados!$C$742:$C$767,'Temporada 2026'!C45,Resultados!$F$742:$F$767),"")</f>
        <v>0</v>
      </c>
      <c r="AF45" s="121">
        <f>IF(C45&lt;&gt;"",SUMIF(Resultados!$C$770:$C$795,'Temporada 2026'!C45,Resultados!$F$770:$F$795),"")</f>
        <v>0</v>
      </c>
      <c r="AG45" s="121">
        <f>IF(C45&lt;&gt;"",SUMIF(Resultados!$C$798:$C$823,'Temporada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11</v>
      </c>
      <c r="H46" s="123">
        <f t="shared" si="1"/>
        <v>-233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2</v>
      </c>
      <c r="Q46" s="121">
        <f>IF(C46&lt;&gt;"",SUMIF(Resultados!$C$275:$C$300,'Temporada 2026'!C46,Resultados!$F$275:$F$300),"")</f>
        <v>0</v>
      </c>
      <c r="R46" s="121">
        <f>IF(C46&lt;&gt;"",SUMIF(Resultados!$C$303:$C$328,'Temporada 2026'!C46,Resultados!$F$303:$F$328),"")</f>
        <v>0</v>
      </c>
      <c r="S46" s="121">
        <f>IF(C46&lt;&gt;"",SUMIF(Resultados!$C$331:$C$356,'Temporada 2026'!C46,Resultados!$F$331:$F$356),"")</f>
        <v>0</v>
      </c>
      <c r="T46" s="121">
        <f>IF(C46&lt;&gt;"",SUMIF(Resultados!$C$360:$C$409,'Temporada 2026'!C46,Resultados!$F$360:$F$409),"")</f>
        <v>0</v>
      </c>
      <c r="U46" s="121">
        <f>IF(C46&lt;&gt;"",SUMIF(Resultados!$C$412:$C$437,'Temporada 2026'!C46,Resultados!$F$412:$F$437),"")</f>
        <v>0</v>
      </c>
      <c r="V46" s="121">
        <f>IF(C46&lt;&gt;"",SUMIF(Resultados!$C$440:$C$465,'Temporada 2026'!C46,Resultados!$F$440:$F$465),"")</f>
        <v>0</v>
      </c>
      <c r="W46" s="121">
        <f>IF(C46&lt;&gt;"",SUMIF(Resultados!$C$469:$C$518,'Temporada 2026'!C46,Resultados!$F$469:$F$518),"")</f>
        <v>0</v>
      </c>
      <c r="X46" s="121">
        <f>IF(C46&lt;&gt;"",SUMIF(Resultados!$C$521:$C$546,'Temporada 2026'!C46,Resultados!$F$521:$F$546),"")</f>
        <v>0</v>
      </c>
      <c r="Y46" s="121">
        <f>IF(C46&lt;&gt;"",SUMIF(Resultados!$C$549:$C$574,'Temporada 2026'!C46,Resultados!$F$549:$F$574),"")</f>
        <v>0</v>
      </c>
      <c r="Z46" s="121">
        <f>IF(C46&lt;&gt;"",SUMIF(Resultados!$C$577:$C$602,'Temporada 2026'!C46,Resultados!$F$577:$F$602),"")</f>
        <v>0</v>
      </c>
      <c r="AA46" s="121">
        <f>IF(C46&lt;&gt;"",SUMIF(Resultados!$C$606:$C$655,'Temporada 2026'!C46,Resultados!$F$606:$F$655),"")</f>
        <v>0</v>
      </c>
      <c r="AB46" s="121">
        <f>IF(C46&lt;&gt;"",SUMIF(Resultados!$C$658:$C$683,'Temporada 2026'!C46,Resultados!$F$658:$F$683),"")</f>
        <v>0</v>
      </c>
      <c r="AC46" s="121">
        <f>IF(C46&lt;&gt;"",SUMIF(Resultados!$C$686:$C$711,'Temporada 2026'!C46,Resultados!$F$686:$F$711),"")</f>
        <v>0</v>
      </c>
      <c r="AD46" s="121">
        <f>IF(C46&lt;&gt;"",SUMIF(Resultados!$C$714:$C$739,'Temporada 2026'!C46,Resultados!$F$714:$F$739),"")</f>
        <v>0</v>
      </c>
      <c r="AE46" s="121">
        <f>IF(C46&lt;&gt;"",SUMIF(Resultados!$C$742:$C$767,'Temporada 2026'!C46,Resultados!$F$742:$F$767),"")</f>
        <v>0</v>
      </c>
      <c r="AF46" s="121">
        <f>IF(C46&lt;&gt;"",SUMIF(Resultados!$C$770:$C$795,'Temporada 2026'!C46,Resultados!$F$770:$F$795),"")</f>
        <v>0</v>
      </c>
      <c r="AG46" s="121">
        <f>IF(C46&lt;&gt;"",SUMIF(Resultados!$C$798:$C$823,'Temporada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-242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IF(C47&lt;&gt;"",SUMIF(Resultados!$C$275:$C$300,'Temporada 2026'!C47,Resultados!$F$275:$F$300),"")</f>
        <v>0</v>
      </c>
      <c r="R47" s="121">
        <f>IF(C47&lt;&gt;"",SUMIF(Resultados!$C$303:$C$328,'Temporada 2026'!C47,Resultados!$F$303:$F$328),"")</f>
        <v>0</v>
      </c>
      <c r="S47" s="121">
        <f>IF(C47&lt;&gt;"",SUMIF(Resultados!$C$331:$C$356,'Temporada 2026'!C47,Resultados!$F$331:$F$356),"")</f>
        <v>0</v>
      </c>
      <c r="T47" s="121">
        <f>IF(C47&lt;&gt;"",SUMIF(Resultados!$C$360:$C$409,'Temporada 2026'!C47,Resultados!$F$360:$F$409),"")</f>
        <v>0</v>
      </c>
      <c r="U47" s="121">
        <f>IF(C47&lt;&gt;"",SUMIF(Resultados!$C$412:$C$437,'Temporada 2026'!C47,Resultados!$F$412:$F$437),"")</f>
        <v>0</v>
      </c>
      <c r="V47" s="121">
        <f>IF(C47&lt;&gt;"",SUMIF(Resultados!$C$440:$C$465,'Temporada 2026'!C47,Resultados!$F$440:$F$465),"")</f>
        <v>0</v>
      </c>
      <c r="W47" s="121">
        <f>IF(C47&lt;&gt;"",SUMIF(Resultados!$C$469:$C$518,'Temporada 2026'!C47,Resultados!$F$469:$F$518),"")</f>
        <v>0</v>
      </c>
      <c r="X47" s="121">
        <f>IF(C47&lt;&gt;"",SUMIF(Resultados!$C$521:$C$546,'Temporada 2026'!C47,Resultados!$F$521:$F$546),"")</f>
        <v>0</v>
      </c>
      <c r="Y47" s="121">
        <f>IF(C47&lt;&gt;"",SUMIF(Resultados!$C$549:$C$574,'Temporada 2026'!C47,Resultados!$F$549:$F$574),"")</f>
        <v>0</v>
      </c>
      <c r="Z47" s="121">
        <f>IF(C47&lt;&gt;"",SUMIF(Resultados!$C$577:$C$602,'Temporada 2026'!C47,Resultados!$F$577:$F$602),"")</f>
        <v>0</v>
      </c>
      <c r="AA47" s="121">
        <f>IF(C47&lt;&gt;"",SUMIF(Resultados!$C$606:$C$655,'Temporada 2026'!C47,Resultados!$F$606:$F$655),"")</f>
        <v>0</v>
      </c>
      <c r="AB47" s="121">
        <f>IF(C47&lt;&gt;"",SUMIF(Resultados!$C$658:$C$683,'Temporada 2026'!C47,Resultados!$F$658:$F$683),"")</f>
        <v>0</v>
      </c>
      <c r="AC47" s="121">
        <f>IF(C47&lt;&gt;"",SUMIF(Resultados!$C$686:$C$711,'Temporada 2026'!C47,Resultados!$F$686:$F$711),"")</f>
        <v>0</v>
      </c>
      <c r="AD47" s="121">
        <f>IF(C47&lt;&gt;"",SUMIF(Resultados!$C$714:$C$739,'Temporada 2026'!C47,Resultados!$F$714:$F$739),"")</f>
        <v>0</v>
      </c>
      <c r="AE47" s="121">
        <f>IF(C47&lt;&gt;"",SUMIF(Resultados!$C$742:$C$767,'Temporada 2026'!C47,Resultados!$F$742:$F$767),"")</f>
        <v>0</v>
      </c>
      <c r="AF47" s="121">
        <f>IF(C47&lt;&gt;"",SUMIF(Resultados!$C$770:$C$795,'Temporada 2026'!C47,Resultados!$F$770:$F$795),"")</f>
        <v>0</v>
      </c>
      <c r="AG47" s="121">
        <f>IF(C47&lt;&gt;"",SUMIF(Resultados!$C$798:$C$823,'Temporada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1</v>
      </c>
      <c r="H48" s="123">
        <f t="shared" si="1"/>
        <v>-243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IF(C48&lt;&gt;"",SUMIF(Resultados!$C$275:$C$300,'Temporada 2026'!C48,Resultados!$F$275:$F$300),"")</f>
        <v>0</v>
      </c>
      <c r="R48" s="121">
        <f>IF(C48&lt;&gt;"",SUMIF(Resultados!$C$303:$C$328,'Temporada 2026'!C48,Resultados!$F$303:$F$328),"")</f>
        <v>0</v>
      </c>
      <c r="S48" s="121">
        <f>IF(C48&lt;&gt;"",SUMIF(Resultados!$C$331:$C$356,'Temporada 2026'!C48,Resultados!$F$331:$F$356),"")</f>
        <v>0</v>
      </c>
      <c r="T48" s="121">
        <f>IF(C48&lt;&gt;"",SUMIF(Resultados!$C$360:$C$409,'Temporada 2026'!C48,Resultados!$F$360:$F$409),"")</f>
        <v>0</v>
      </c>
      <c r="U48" s="121">
        <f>IF(C48&lt;&gt;"",SUMIF(Resultados!$C$412:$C$437,'Temporada 2026'!C48,Resultados!$F$412:$F$437),"")</f>
        <v>0</v>
      </c>
      <c r="V48" s="121">
        <f>IF(C48&lt;&gt;"",SUMIF(Resultados!$C$440:$C$465,'Temporada 2026'!C48,Resultados!$F$440:$F$465),"")</f>
        <v>0</v>
      </c>
      <c r="W48" s="121">
        <f>IF(C48&lt;&gt;"",SUMIF(Resultados!$C$469:$C$518,'Temporada 2026'!C48,Resultados!$F$469:$F$518),"")</f>
        <v>0</v>
      </c>
      <c r="X48" s="121">
        <f>IF(C48&lt;&gt;"",SUMIF(Resultados!$C$521:$C$546,'Temporada 2026'!C48,Resultados!$F$521:$F$546),"")</f>
        <v>0</v>
      </c>
      <c r="Y48" s="121">
        <f>IF(C48&lt;&gt;"",SUMIF(Resultados!$C$549:$C$574,'Temporada 2026'!C48,Resultados!$F$549:$F$574),"")</f>
        <v>0</v>
      </c>
      <c r="Z48" s="121">
        <f>IF(C48&lt;&gt;"",SUMIF(Resultados!$C$577:$C$602,'Temporada 2026'!C48,Resultados!$F$577:$F$602),"")</f>
        <v>0</v>
      </c>
      <c r="AA48" s="121">
        <f>IF(C48&lt;&gt;"",SUMIF(Resultados!$C$606:$C$655,'Temporada 2026'!C48,Resultados!$F$606:$F$655),"")</f>
        <v>0</v>
      </c>
      <c r="AB48" s="121">
        <f>IF(C48&lt;&gt;"",SUMIF(Resultados!$C$658:$C$683,'Temporada 2026'!C48,Resultados!$F$658:$F$683),"")</f>
        <v>0</v>
      </c>
      <c r="AC48" s="121">
        <f>IF(C48&lt;&gt;"",SUMIF(Resultados!$C$686:$C$711,'Temporada 2026'!C48,Resultados!$F$686:$F$711),"")</f>
        <v>0</v>
      </c>
      <c r="AD48" s="121">
        <f>IF(C48&lt;&gt;"",SUMIF(Resultados!$C$714:$C$739,'Temporada 2026'!C48,Resultados!$F$714:$F$739),"")</f>
        <v>0</v>
      </c>
      <c r="AE48" s="121">
        <f>IF(C48&lt;&gt;"",SUMIF(Resultados!$C$742:$C$767,'Temporada 2026'!C48,Resultados!$F$742:$F$767),"")</f>
        <v>0</v>
      </c>
      <c r="AF48" s="121">
        <f>IF(C48&lt;&gt;"",SUMIF(Resultados!$C$770:$C$795,'Temporada 2026'!C48,Resultados!$F$770:$F$795),"")</f>
        <v>0</v>
      </c>
      <c r="AG48" s="121">
        <f>IF(C48&lt;&gt;"",SUMIF(Resultados!$C$798:$C$823,'Temporada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-244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IF(C49&lt;&gt;"",SUMIF(Resultados!$C$275:$C$300,'Temporada 2026'!C49,Resultados!$F$275:$F$300),"")</f>
        <v>0</v>
      </c>
      <c r="R49" s="121">
        <f>IF(C49&lt;&gt;"",SUMIF(Resultados!$C$303:$C$328,'Temporada 2026'!C49,Resultados!$F$303:$F$328),"")</f>
        <v>0</v>
      </c>
      <c r="S49" s="121">
        <f>IF(C49&lt;&gt;"",SUMIF(Resultados!$C$331:$C$356,'Temporada 2026'!C49,Resultados!$F$331:$F$356),"")</f>
        <v>0</v>
      </c>
      <c r="T49" s="121">
        <f>IF(C49&lt;&gt;"",SUMIF(Resultados!$C$360:$C$409,'Temporada 2026'!C49,Resultados!$F$360:$F$409),"")</f>
        <v>0</v>
      </c>
      <c r="U49" s="121">
        <f>IF(C49&lt;&gt;"",SUMIF(Resultados!$C$412:$C$437,'Temporada 2026'!C49,Resultados!$F$412:$F$437),"")</f>
        <v>0</v>
      </c>
      <c r="V49" s="121">
        <f>IF(C49&lt;&gt;"",SUMIF(Resultados!$C$440:$C$465,'Temporada 2026'!C49,Resultados!$F$440:$F$465),"")</f>
        <v>0</v>
      </c>
      <c r="W49" s="121">
        <f>IF(C49&lt;&gt;"",SUMIF(Resultados!$C$469:$C$518,'Temporada 2026'!C49,Resultados!$F$469:$F$518),"")</f>
        <v>0</v>
      </c>
      <c r="X49" s="121">
        <f>IF(C49&lt;&gt;"",SUMIF(Resultados!$C$521:$C$546,'Temporada 2026'!C49,Resultados!$F$521:$F$546),"")</f>
        <v>0</v>
      </c>
      <c r="Y49" s="121">
        <f>IF(C49&lt;&gt;"",SUMIF(Resultados!$C$549:$C$574,'Temporada 2026'!C49,Resultados!$F$549:$F$574),"")</f>
        <v>0</v>
      </c>
      <c r="Z49" s="121">
        <f>IF(C49&lt;&gt;"",SUMIF(Resultados!$C$577:$C$602,'Temporada 2026'!C49,Resultados!$F$577:$F$602),"")</f>
        <v>0</v>
      </c>
      <c r="AA49" s="121">
        <f>IF(C49&lt;&gt;"",SUMIF(Resultados!$C$606:$C$655,'Temporada 2026'!C49,Resultados!$F$606:$F$655),"")</f>
        <v>0</v>
      </c>
      <c r="AB49" s="121">
        <f>IF(C49&lt;&gt;"",SUMIF(Resultados!$C$658:$C$683,'Temporada 2026'!C49,Resultados!$F$658:$F$683),"")</f>
        <v>0</v>
      </c>
      <c r="AC49" s="121">
        <f>IF(C49&lt;&gt;"",SUMIF(Resultados!$C$686:$C$711,'Temporada 2026'!C49,Resultados!$F$686:$F$711),"")</f>
        <v>0</v>
      </c>
      <c r="AD49" s="121">
        <f>IF(C49&lt;&gt;"",SUMIF(Resultados!$C$714:$C$739,'Temporada 2026'!C49,Resultados!$F$714:$F$739),"")</f>
        <v>0</v>
      </c>
      <c r="AE49" s="121">
        <f>IF(C49&lt;&gt;"",SUMIF(Resultados!$C$742:$C$767,'Temporada 2026'!C49,Resultados!$F$742:$F$767),"")</f>
        <v>0</v>
      </c>
      <c r="AF49" s="121">
        <f>IF(C49&lt;&gt;"",SUMIF(Resultados!$C$770:$C$795,'Temporada 2026'!C49,Resultados!$F$770:$F$795),"")</f>
        <v>0</v>
      </c>
      <c r="AG49" s="121">
        <f>IF(C49&lt;&gt;"",SUMIF(Resultados!$C$798:$C$823,'Temporada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IF(C50&lt;&gt;"",SUMIF(Resultados!$C$275:$C$300,'Temporada 2026'!C50,Resultados!$F$275:$F$300),"")</f>
        <v/>
      </c>
      <c r="R50" s="121" t="str">
        <f>IF(C50&lt;&gt;"",SUMIF(Resultados!$C$303:$C$328,'Temporada 2026'!C50,Resultados!$F$303:$F$328),"")</f>
        <v/>
      </c>
      <c r="S50" s="121" t="str">
        <f>IF(C50&lt;&gt;"",SUMIF(Resultados!$C$331:$C$356,'Temporada 2026'!C50,Resultados!$F$331:$F$356),"")</f>
        <v/>
      </c>
      <c r="T50" s="121" t="str">
        <f>IF(C50&lt;&gt;"",SUMIF(Resultados!$C$360:$C$409,'Temporada 2026'!C50,Resultados!$F$360:$F$409),"")</f>
        <v/>
      </c>
      <c r="U50" s="121" t="str">
        <f>IF(C50&lt;&gt;"",SUMIF(Resultados!$C$412:$C$437,'Temporada 2026'!C50,Resultados!$F$412:$F$437),"")</f>
        <v/>
      </c>
      <c r="V50" s="121" t="str">
        <f>IF(C50&lt;&gt;"",SUMIF(Resultados!$C$440:$C$465,'Temporada 2026'!C50,Resultados!$F$440:$F$465),"")</f>
        <v/>
      </c>
      <c r="W50" s="121" t="str">
        <f>IF(C50&lt;&gt;"",SUMIF(Resultados!$C$469:$C$518,'Temporada 2026'!C50,Resultados!$F$469:$F$518),"")</f>
        <v/>
      </c>
      <c r="X50" s="121" t="str">
        <f>IF(C50&lt;&gt;"",SUMIF(Resultados!$C$521:$C$546,'Temporada 2026'!C50,Resultados!$F$521:$F$546),"")</f>
        <v/>
      </c>
      <c r="Y50" s="121" t="str">
        <f>IF(C50&lt;&gt;"",SUMIF(Resultados!$C$549:$C$574,'Temporada 2026'!C50,Resultados!$F$549:$F$574),"")</f>
        <v/>
      </c>
      <c r="Z50" s="121" t="str">
        <f>IF(C50&lt;&gt;"",SUMIF(Resultados!$C$577:$C$602,'Temporada 2026'!C50,Resultados!$F$577:$F$602),"")</f>
        <v/>
      </c>
      <c r="AA50" s="121" t="str">
        <f>IF(C50&lt;&gt;"",SUMIF(Resultados!$C$606:$C$655,'Temporada 2026'!C50,Resultados!$F$606:$F$655),"")</f>
        <v/>
      </c>
      <c r="AB50" s="121" t="str">
        <f>IF(C50&lt;&gt;"",SUMIF(Resultados!$C$658:$C$683,'Temporada 2026'!C50,Resultados!$F$658:$F$683),"")</f>
        <v/>
      </c>
      <c r="AC50" s="121" t="str">
        <f>IF(C50&lt;&gt;"",SUMIF(Resultados!$C$686:$C$711,'Temporada 2026'!C50,Resultados!$F$686:$F$711),"")</f>
        <v/>
      </c>
      <c r="AD50" s="121" t="str">
        <f>IF(C50&lt;&gt;"",SUMIF(Resultados!$C$714:$C$739,'Temporada 2026'!C50,Resultados!$F$714:$F$739),"")</f>
        <v/>
      </c>
      <c r="AE50" s="121" t="str">
        <f>IF(C50&lt;&gt;"",SUMIF(Resultados!$C$742:$C$767,'Temporada 2026'!C50,Resultados!$F$742:$F$767),"")</f>
        <v/>
      </c>
      <c r="AF50" s="121" t="str">
        <f>IF(C50&lt;&gt;"",SUMIF(Resultados!$C$770:$C$795,'Temporada 2026'!C50,Resultados!$F$770:$F$795),"")</f>
        <v/>
      </c>
      <c r="AG50" s="121" t="str">
        <f>IF(C50&lt;&gt;"",SUMIF(Resultados!$C$798:$C$823,'Temporada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5" t="s">
        <v>249</v>
      </c>
      <c r="C54" s="155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JbxgcU7gGSyV+HAsfEQn2Q9YPlBlxMJLA0M1a3kilhHZC0ku/dm+8x9jSEkxj8F3LFlUcCJ9V7SERdiQkHcP+w==" saltValue="kX4ynslg71RY7eem/gU9pQ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8" t="s">
        <v>28</v>
      </c>
      <c r="C2" s="168"/>
      <c r="D2" s="168"/>
      <c r="E2" s="168"/>
      <c r="F2" s="168"/>
      <c r="G2" s="168"/>
      <c r="H2" s="168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59">
        <v>1</v>
      </c>
      <c r="C5" s="160">
        <f>'Calendário atual'!B2</f>
        <v>46089</v>
      </c>
      <c r="D5" s="165" t="str">
        <f>'Calendário atual'!C2</f>
        <v>Australia</v>
      </c>
      <c r="E5" s="162" t="str">
        <f>'Calendário atual'!D2</f>
        <v>FORMULA 1 QATAR AIRWAYS AUSTRALIAN GRAND PRIX 2026</v>
      </c>
      <c r="F5" s="165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59"/>
      <c r="C6" s="160"/>
      <c r="D6" s="166"/>
      <c r="E6" s="163"/>
      <c r="F6" s="166"/>
      <c r="G6" s="105">
        <v>2</v>
      </c>
      <c r="H6" s="103" t="str">
        <f>IF(Resultados!C5&lt;&gt;"",Resultados!C5,"")</f>
        <v>Kimi Antonelli</v>
      </c>
    </row>
    <row r="7" spans="2:8" x14ac:dyDescent="0.2">
      <c r="B7" s="159"/>
      <c r="C7" s="160"/>
      <c r="D7" s="167"/>
      <c r="E7" s="164"/>
      <c r="F7" s="167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0">
        <f>'Calendário atual'!B3</f>
        <v>46096</v>
      </c>
      <c r="D8" s="167" t="str">
        <f>'Calendário atual'!C3</f>
        <v>China</v>
      </c>
      <c r="E8" s="162" t="str">
        <f>'Calendário atual'!D3</f>
        <v>FORMULA 1 HEINEKEN CHINESE GRAND PRIX 2026</v>
      </c>
      <c r="F8" s="165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59"/>
      <c r="C9" s="160"/>
      <c r="D9" s="161"/>
      <c r="E9" s="163"/>
      <c r="F9" s="166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59"/>
      <c r="C10" s="160"/>
      <c r="D10" s="161"/>
      <c r="E10" s="164"/>
      <c r="F10" s="167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59">
        <v>3</v>
      </c>
      <c r="C11" s="160">
        <f>'Calendário atual'!B4</f>
        <v>46110</v>
      </c>
      <c r="D11" s="161" t="str">
        <f>'Calendário atual'!C4</f>
        <v>Japão</v>
      </c>
      <c r="E11" s="162" t="str">
        <f>'Calendário atual'!D4</f>
        <v>FORMULA 1 ARAMCO JAPANESE GRAND PRIX 2026</v>
      </c>
      <c r="F11" s="165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59"/>
      <c r="C12" s="160"/>
      <c r="D12" s="161"/>
      <c r="E12" s="163"/>
      <c r="F12" s="166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59"/>
      <c r="C13" s="160"/>
      <c r="D13" s="161"/>
      <c r="E13" s="164"/>
      <c r="F13" s="167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59">
        <v>4</v>
      </c>
      <c r="C14" s="160">
        <f>'Calendário atual'!B5</f>
        <v>46124</v>
      </c>
      <c r="D14" s="161" t="str">
        <f>'Calendário atual'!C5</f>
        <v>Bahrein</v>
      </c>
      <c r="E14" s="162" t="str">
        <f>'Calendário atual'!D5</f>
        <v>SUSPENSA - FORMULA 1 GULF AIR BAHRAIN GRAND PRIX 2026 - SUSPENSA</v>
      </c>
      <c r="F14" s="165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59"/>
      <c r="C15" s="160"/>
      <c r="D15" s="161"/>
      <c r="E15" s="163"/>
      <c r="F15" s="166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59"/>
      <c r="C16" s="160"/>
      <c r="D16" s="161"/>
      <c r="E16" s="164"/>
      <c r="F16" s="167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59">
        <v>5</v>
      </c>
      <c r="C17" s="160">
        <f>'Calendário atual'!B6</f>
        <v>46131</v>
      </c>
      <c r="D17" s="161" t="str">
        <f>'Calendário atual'!C6</f>
        <v>Arabia Saudita</v>
      </c>
      <c r="E17" s="162" t="str">
        <f>'Calendário atual'!D6</f>
        <v>SUSPENSA - FORMULA 1 STC SAUDI ARABIAN GRAND PRIX 2026 - SUSPENSA</v>
      </c>
      <c r="F17" s="165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59"/>
      <c r="C18" s="160"/>
      <c r="D18" s="161"/>
      <c r="E18" s="163"/>
      <c r="F18" s="166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59"/>
      <c r="C19" s="160"/>
      <c r="D19" s="161"/>
      <c r="E19" s="164"/>
      <c r="F19" s="167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59">
        <v>6</v>
      </c>
      <c r="C20" s="160">
        <f>'Calendário atual'!B7</f>
        <v>46145</v>
      </c>
      <c r="D20" s="161" t="str">
        <f>'Calendário atual'!C7</f>
        <v>USA</v>
      </c>
      <c r="E20" s="162" t="str">
        <f>'Calendário atual'!D7</f>
        <v>FORMULA 1 CRYPTO.COM MIAMI GRAND PRIX 2026</v>
      </c>
      <c r="F20" s="161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59"/>
      <c r="C21" s="160"/>
      <c r="D21" s="161"/>
      <c r="E21" s="163"/>
      <c r="F21" s="161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59"/>
      <c r="C22" s="160"/>
      <c r="D22" s="161"/>
      <c r="E22" s="164"/>
      <c r="F22" s="161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59">
        <v>7</v>
      </c>
      <c r="C23" s="160">
        <f>'Calendário atual'!B8</f>
        <v>46166</v>
      </c>
      <c r="D23" s="161" t="str">
        <f>'Calendário atual'!C8</f>
        <v>Canadá</v>
      </c>
      <c r="E23" s="162" t="str">
        <f>'Calendário atual'!D8</f>
        <v>FORMULA 1 LENOVO GRAND PRIX DU CANADA 2026</v>
      </c>
      <c r="F23" s="161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59"/>
      <c r="C24" s="160"/>
      <c r="D24" s="161"/>
      <c r="E24" s="163"/>
      <c r="F24" s="161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59"/>
      <c r="C25" s="160"/>
      <c r="D25" s="161"/>
      <c r="E25" s="164"/>
      <c r="F25" s="161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59">
        <v>8</v>
      </c>
      <c r="C26" s="160">
        <f>'Calendário atual'!B9</f>
        <v>46180</v>
      </c>
      <c r="D26" s="161" t="str">
        <f>'Calendário atual'!C9</f>
        <v>Mônaco</v>
      </c>
      <c r="E26" s="162" t="str">
        <f>'Calendário atual'!D9</f>
        <v>FORMULA 1 LOUIS VUITTON GRAND PRIX DE MONACO 2026</v>
      </c>
      <c r="F26" s="161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59"/>
      <c r="C27" s="160"/>
      <c r="D27" s="161"/>
      <c r="E27" s="163"/>
      <c r="F27" s="161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59"/>
      <c r="C28" s="160"/>
      <c r="D28" s="161"/>
      <c r="E28" s="164"/>
      <c r="F28" s="161"/>
      <c r="G28" s="106">
        <v>3</v>
      </c>
      <c r="H28" s="104" t="str">
        <f>IF(Resultados!C277&lt;&gt;"",Resultados!C277,"")</f>
        <v>Isack Hadjar</v>
      </c>
    </row>
    <row r="29" spans="2:8" ht="12.75" customHeight="1" x14ac:dyDescent="0.2">
      <c r="B29" s="159">
        <v>9</v>
      </c>
      <c r="C29" s="160">
        <f>'Calendário atual'!B10</f>
        <v>46187</v>
      </c>
      <c r="D29" s="161" t="str">
        <f>'Calendário atual'!C10</f>
        <v>Espanha</v>
      </c>
      <c r="E29" s="162" t="str">
        <f>'Calendário atual'!D10</f>
        <v>FORMULA 1 MSC CRUISES GRAN PREMIO DE BARCELONA-CATALUNYA 2026</v>
      </c>
      <c r="F29" s="161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59"/>
      <c r="C30" s="160"/>
      <c r="D30" s="161"/>
      <c r="E30" s="163"/>
      <c r="F30" s="161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59"/>
      <c r="C31" s="160"/>
      <c r="D31" s="161"/>
      <c r="E31" s="164"/>
      <c r="F31" s="161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59">
        <v>10</v>
      </c>
      <c r="C32" s="160">
        <f>'Calendário atual'!B11</f>
        <v>46201</v>
      </c>
      <c r="D32" s="165" t="str">
        <f>'Calendário atual'!C11</f>
        <v>Austria</v>
      </c>
      <c r="E32" s="162" t="str">
        <f>'Calendário atual'!D11</f>
        <v>FORMULA 1 LENOVO AUSTRIAN GRAND PRIX 2026</v>
      </c>
      <c r="F32" s="165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59"/>
      <c r="C33" s="160"/>
      <c r="D33" s="166"/>
      <c r="E33" s="163"/>
      <c r="F33" s="166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59"/>
      <c r="C34" s="160"/>
      <c r="D34" s="167"/>
      <c r="E34" s="164"/>
      <c r="F34" s="167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59">
        <v>11</v>
      </c>
      <c r="C35" s="160">
        <f>'Calendário atual'!B12</f>
        <v>46208</v>
      </c>
      <c r="D35" s="161" t="str">
        <f>'Calendário atual'!C12</f>
        <v>Inglaterra</v>
      </c>
      <c r="E35" s="162" t="str">
        <f>'Calendário atual'!D12</f>
        <v>FORMULA 1 PIRELLI BRITISH GRAND PRIX 2026</v>
      </c>
      <c r="F35" s="161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59"/>
      <c r="C36" s="160"/>
      <c r="D36" s="161"/>
      <c r="E36" s="163"/>
      <c r="F36" s="161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59"/>
      <c r="C37" s="160"/>
      <c r="D37" s="161"/>
      <c r="E37" s="164"/>
      <c r="F37" s="161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59">
        <v>12</v>
      </c>
      <c r="C38" s="160">
        <f>'Calendário atual'!B13</f>
        <v>46222</v>
      </c>
      <c r="D38" s="161" t="str">
        <f>'Calendário atual'!C13</f>
        <v>Bélgica</v>
      </c>
      <c r="E38" s="162" t="str">
        <f>'Calendário atual'!D13</f>
        <v>FORMULA 1 MOËT &amp; CHANDON BELGIAN GRAND PRIX 2026</v>
      </c>
      <c r="F38" s="161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59"/>
      <c r="C39" s="160"/>
      <c r="D39" s="161"/>
      <c r="E39" s="163"/>
      <c r="F39" s="161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59"/>
      <c r="C40" s="160"/>
      <c r="D40" s="161"/>
      <c r="E40" s="164"/>
      <c r="F40" s="161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59">
        <v>13</v>
      </c>
      <c r="C41" s="160">
        <f>'Calendário atual'!B14</f>
        <v>46229</v>
      </c>
      <c r="D41" s="161" t="str">
        <f>'Calendário atual'!C14</f>
        <v>Hungria</v>
      </c>
      <c r="E41" s="162" t="str">
        <f>'Calendário atual'!D14</f>
        <v>FORMULA 1 AWS HUNGARIAN GRAND PRIX 2026</v>
      </c>
      <c r="F41" s="161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59"/>
      <c r="C42" s="160"/>
      <c r="D42" s="161"/>
      <c r="E42" s="163"/>
      <c r="F42" s="161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59"/>
      <c r="C43" s="160"/>
      <c r="D43" s="161"/>
      <c r="E43" s="164"/>
      <c r="F43" s="161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59">
        <v>14</v>
      </c>
      <c r="C44" s="160">
        <f>'Calendário atual'!B15</f>
        <v>46257</v>
      </c>
      <c r="D44" s="161" t="str">
        <f>'Calendário atual'!C15</f>
        <v>Holanda</v>
      </c>
      <c r="E44" s="162" t="str">
        <f>'Calendário atual'!D15</f>
        <v>FORMULA 1 HEINEKEN DUTCH GRAND PRIX 2026</v>
      </c>
      <c r="F44" s="161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59"/>
      <c r="C45" s="160"/>
      <c r="D45" s="161"/>
      <c r="E45" s="163"/>
      <c r="F45" s="161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59"/>
      <c r="C46" s="160"/>
      <c r="D46" s="161"/>
      <c r="E46" s="164"/>
      <c r="F46" s="161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59">
        <v>15</v>
      </c>
      <c r="C47" s="160">
        <f>'Calendário atual'!B16</f>
        <v>46271</v>
      </c>
      <c r="D47" s="161" t="str">
        <f>'Calendário atual'!C16</f>
        <v>Itália</v>
      </c>
      <c r="E47" s="162" t="str">
        <f>'Calendário atual'!D16</f>
        <v>FORMULA 1 PIRELLI GRAN PREMIO D’ITALIA 2026</v>
      </c>
      <c r="F47" s="161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59"/>
      <c r="C48" s="160"/>
      <c r="D48" s="161"/>
      <c r="E48" s="163"/>
      <c r="F48" s="161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59"/>
      <c r="C49" s="160"/>
      <c r="D49" s="161"/>
      <c r="E49" s="164"/>
      <c r="F49" s="161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59">
        <v>16</v>
      </c>
      <c r="C50" s="160">
        <f>'Calendário atual'!B17</f>
        <v>46278</v>
      </c>
      <c r="D50" s="161" t="str">
        <f>'Calendário atual'!C17</f>
        <v>Espanha</v>
      </c>
      <c r="E50" s="162" t="str">
        <f>'Calendário atual'!D17</f>
        <v>FORMULA 1 TAG HEUER GRAN PREMIO DE ESPAÑA 2026</v>
      </c>
      <c r="F50" s="161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59"/>
      <c r="C51" s="160"/>
      <c r="D51" s="161"/>
      <c r="E51" s="163"/>
      <c r="F51" s="161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59"/>
      <c r="C52" s="160"/>
      <c r="D52" s="161"/>
      <c r="E52" s="164"/>
      <c r="F52" s="161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59">
        <v>17</v>
      </c>
      <c r="C53" s="160">
        <f>'Calendário atual'!B18</f>
        <v>46292</v>
      </c>
      <c r="D53" s="161" t="str">
        <f>'Calendário atual'!C18</f>
        <v>Azerbaijão</v>
      </c>
      <c r="E53" s="162" t="str">
        <f>'Calendário atual'!D18</f>
        <v>FORMULA 1 QATAR AIRWAYS AZERBAIJAN GRAND PRIX 2026</v>
      </c>
      <c r="F53" s="161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59"/>
      <c r="C54" s="160"/>
      <c r="D54" s="161"/>
      <c r="E54" s="163"/>
      <c r="F54" s="161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59"/>
      <c r="C55" s="160"/>
      <c r="D55" s="161"/>
      <c r="E55" s="164"/>
      <c r="F55" s="161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59">
        <v>18</v>
      </c>
      <c r="C56" s="160">
        <f>'Calendário atual'!B19</f>
        <v>46306</v>
      </c>
      <c r="D56" s="161" t="str">
        <f>'Calendário atual'!C19</f>
        <v>Singapura</v>
      </c>
      <c r="E56" s="162" t="str">
        <f>'Calendário atual'!D19</f>
        <v>FORMULA 1 SINGAPORE AIRLINES SINGAPORE GRAND PRIX 2026</v>
      </c>
      <c r="F56" s="161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59"/>
      <c r="C57" s="160"/>
      <c r="D57" s="161"/>
      <c r="E57" s="163"/>
      <c r="F57" s="161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59"/>
      <c r="C58" s="160"/>
      <c r="D58" s="161"/>
      <c r="E58" s="164"/>
      <c r="F58" s="161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59">
        <v>19</v>
      </c>
      <c r="C59" s="160">
        <f>'Calendário atual'!B20</f>
        <v>46320</v>
      </c>
      <c r="D59" s="161" t="str">
        <f>'Calendário atual'!C20</f>
        <v>USA</v>
      </c>
      <c r="E59" s="162" t="str">
        <f>'Calendário atual'!D20</f>
        <v>FORMULA 1 MSC CRUISES UNITED STATES GRAND PRIX 2026</v>
      </c>
      <c r="F59" s="161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59"/>
      <c r="C60" s="160"/>
      <c r="D60" s="161"/>
      <c r="E60" s="163"/>
      <c r="F60" s="161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59"/>
      <c r="C61" s="160"/>
      <c r="D61" s="161"/>
      <c r="E61" s="164"/>
      <c r="F61" s="161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59">
        <v>20</v>
      </c>
      <c r="C62" s="160">
        <f>'Calendário atual'!B21</f>
        <v>46327</v>
      </c>
      <c r="D62" s="161" t="str">
        <f>'Calendário atual'!C21</f>
        <v>México</v>
      </c>
      <c r="E62" s="162" t="str">
        <f>'Calendário atual'!D21</f>
        <v>FORMULA 1 GRAN PREMIO DE LA CIUDAD DE MÉXICO 2026</v>
      </c>
      <c r="F62" s="161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59"/>
      <c r="C63" s="160"/>
      <c r="D63" s="161"/>
      <c r="E63" s="163"/>
      <c r="F63" s="161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59"/>
      <c r="C64" s="160"/>
      <c r="D64" s="161"/>
      <c r="E64" s="164"/>
      <c r="F64" s="161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59">
        <v>21</v>
      </c>
      <c r="C65" s="160">
        <f>'Calendário atual'!B22</f>
        <v>46334</v>
      </c>
      <c r="D65" s="161" t="str">
        <f>'Calendário atual'!C22</f>
        <v>Brasil</v>
      </c>
      <c r="E65" s="162" t="str">
        <f>'Calendário atual'!D22</f>
        <v>FORMULA 1 MSC CRUISES GRANDE PRÊMIO DE SÃO PAULO 2026</v>
      </c>
      <c r="F65" s="161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59"/>
      <c r="C66" s="160"/>
      <c r="D66" s="161"/>
      <c r="E66" s="163"/>
      <c r="F66" s="161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59"/>
      <c r="C67" s="160"/>
      <c r="D67" s="161"/>
      <c r="E67" s="164"/>
      <c r="F67" s="161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59">
        <v>22</v>
      </c>
      <c r="C68" s="160">
        <f>'Calendário atual'!B23</f>
        <v>46347</v>
      </c>
      <c r="D68" s="161" t="str">
        <f>'Calendário atual'!C23</f>
        <v>USA</v>
      </c>
      <c r="E68" s="162" t="str">
        <f>'Calendário atual'!D23</f>
        <v>FORMULA 1 HEINEKEN LAS VEGAS GRAND PRIX 2026</v>
      </c>
      <c r="F68" s="161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59"/>
      <c r="C69" s="160"/>
      <c r="D69" s="161"/>
      <c r="E69" s="163"/>
      <c r="F69" s="161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59"/>
      <c r="C70" s="160"/>
      <c r="D70" s="161"/>
      <c r="E70" s="164"/>
      <c r="F70" s="161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59">
        <v>23</v>
      </c>
      <c r="C71" s="160">
        <f>'Calendário atual'!B24</f>
        <v>46355</v>
      </c>
      <c r="D71" s="161" t="str">
        <f>'Calendário atual'!C24</f>
        <v>Qatar</v>
      </c>
      <c r="E71" s="162" t="str">
        <f>'Calendário atual'!D24</f>
        <v>FORMULA 1 QATAR AIRWAYS QATAR GRAND PRIX 2026</v>
      </c>
      <c r="F71" s="161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59"/>
      <c r="C72" s="160"/>
      <c r="D72" s="161"/>
      <c r="E72" s="163"/>
      <c r="F72" s="161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59"/>
      <c r="C73" s="160"/>
      <c r="D73" s="161"/>
      <c r="E73" s="164"/>
      <c r="F73" s="161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59">
        <v>24</v>
      </c>
      <c r="C74" s="160">
        <f>'Calendário atual'!B25</f>
        <v>46362</v>
      </c>
      <c r="D74" s="161" t="str">
        <f>'Calendário atual'!C25</f>
        <v>Abu Dhabi</v>
      </c>
      <c r="E74" s="162" t="str">
        <f>'Calendário atual'!D25</f>
        <v>FORMULA 1 ETIHAD AIRWAYS ABU DHABI GRAND PRIX 2026</v>
      </c>
      <c r="F74" s="161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59"/>
      <c r="C75" s="160"/>
      <c r="D75" s="161"/>
      <c r="E75" s="163"/>
      <c r="F75" s="161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59"/>
      <c r="C76" s="160"/>
      <c r="D76" s="161"/>
      <c r="E76" s="164"/>
      <c r="F76" s="161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301" workbookViewId="0">
      <selection activeCell="C303" sqref="C303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819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474</v>
      </c>
      <c r="L35" s="77">
        <f>SUM(H:H)</f>
        <v>819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355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412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410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411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416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400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401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431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431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355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410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416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412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400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401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432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411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432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435</v>
      </c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355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416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411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400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401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431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412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431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431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410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431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355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411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416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412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400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401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410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431</v>
      </c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410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416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412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401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400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431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431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355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431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431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431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411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432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355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410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Red Bull</v>
      </c>
      <c r="F277" s="137">
        <v>15</v>
      </c>
    </row>
    <row r="278" spans="1:26" x14ac:dyDescent="0.2">
      <c r="B278" s="138">
        <f>$J$5</f>
        <v>4</v>
      </c>
      <c r="C278" s="86" t="s">
        <v>324</v>
      </c>
      <c r="D278" s="87" t="str">
        <f>IF(C278&lt;&gt;"",VLOOKUP(C278,'Dummy Table'!$B$3:$C$30,2,FALSE),"")</f>
        <v>Austrália</v>
      </c>
      <c r="E278" s="87" t="str">
        <f>IF(C278&lt;&gt;"",VLOOKUP(C278,'Dummy Table'!$B$3:$D$30,3,FALSE),"")</f>
        <v>McLaren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412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Racing Bulls</v>
      </c>
      <c r="F279" s="137">
        <v>10</v>
      </c>
    </row>
    <row r="280" spans="1:26" x14ac:dyDescent="0.2">
      <c r="B280" s="138">
        <f>$J$7</f>
        <v>6</v>
      </c>
      <c r="C280" s="86" t="s">
        <v>411</v>
      </c>
      <c r="D280" s="87" t="str">
        <f>IF(C280&lt;&gt;"",VLOOKUP(C280,'Dummy Table'!$B$3:$C$30,2,FALSE),"")</f>
        <v>Inglaterra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307</v>
      </c>
      <c r="D281" s="87" t="str">
        <f>IF(C281&lt;&gt;"",VLOOKUP(C281,'Dummy Table'!$B$3:$C$30,2,FALSE),"")</f>
        <v>França</v>
      </c>
      <c r="E281" s="87" t="str">
        <f>IF(C281&lt;&gt;"",VLOOKUP(C281,'Dummy Table'!$B$3:$D$30,3,FALSE),"")</f>
        <v>Alpine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355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416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400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431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431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431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431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431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401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431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431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ZehWbsKwKzVyHk2uH/34kwE2sQCM52r5Q/OrHEAL3/bOtwrYCLX/FPqvlehqsg1Lh3I7YgutF3QuYM0Wf1alVg==" saltValue="Ur2bbOy5lTd+aqHNsDEmlQ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2026-06-08T12:27:30Z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