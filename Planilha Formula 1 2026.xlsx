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9E205FAC-D7D4-45D5-83B5-3CD7DFE3ACCE}" xr6:coauthVersionLast="47" xr6:coauthVersionMax="47" xr10:uidLastSave="{00000000-0000-0000-0000-000000000000}"/>
  <workbookProtection workbookAlgorithmName="SHA-512" workbookHashValue="dPeTSc++d/eJT5MsfPCgO6sGSo7o9uh3asYVNUmhW6N2PDSbPcs5M3E0LDaIt7vME88W29FfUkBTQ8DLBjceHQ==" workbookSaltValue="fDdKbbwMhLsx8pf1IQfEDw==" workbookSpinCount="100000" lockStructure="1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6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Resultados!$B$1:$F$602</definedName>
    <definedName name="_xlnm.Print_Area" localSheetId="3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26" i="5" l="1"/>
  <c r="E626" i="5"/>
  <c r="D627" i="5"/>
  <c r="E627" i="5"/>
  <c r="D489" i="5"/>
  <c r="E489" i="5"/>
  <c r="D490" i="5"/>
  <c r="E490" i="5"/>
  <c r="D380" i="5"/>
  <c r="E380" i="5"/>
  <c r="D381" i="5"/>
  <c r="E381" i="5"/>
  <c r="D243" i="5"/>
  <c r="E243" i="5"/>
  <c r="D244" i="5"/>
  <c r="E244" i="5"/>
  <c r="D190" i="5"/>
  <c r="E190" i="5"/>
  <c r="D191" i="5"/>
  <c r="E191" i="5"/>
  <c r="D53" i="5"/>
  <c r="E53" i="5"/>
  <c r="D54" i="5"/>
  <c r="E54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E242" i="5" l="1"/>
  <c r="D242" i="5"/>
  <c r="E241" i="5"/>
  <c r="D241" i="5"/>
  <c r="E240" i="5"/>
  <c r="D240" i="5"/>
  <c r="E239" i="5"/>
  <c r="D239" i="5"/>
  <c r="E238" i="5"/>
  <c r="D238" i="5"/>
  <c r="E237" i="5"/>
  <c r="D237" i="5"/>
  <c r="E236" i="5"/>
  <c r="D236" i="5"/>
  <c r="E235" i="5"/>
  <c r="D235" i="5"/>
  <c r="E234" i="5"/>
  <c r="D234" i="5"/>
  <c r="E233" i="5"/>
  <c r="D233" i="5"/>
  <c r="E232" i="5"/>
  <c r="D232" i="5"/>
  <c r="E231" i="5"/>
  <c r="D231" i="5"/>
  <c r="E230" i="5"/>
  <c r="D230" i="5"/>
  <c r="E229" i="5"/>
  <c r="D229" i="5"/>
  <c r="E228" i="5"/>
  <c r="D228" i="5"/>
  <c r="E227" i="5"/>
  <c r="D227" i="5"/>
  <c r="E226" i="5"/>
  <c r="D226" i="5"/>
  <c r="E225" i="5"/>
  <c r="D225" i="5"/>
  <c r="H224" i="5"/>
  <c r="E224" i="5"/>
  <c r="D224" i="5"/>
  <c r="H223" i="5"/>
  <c r="G223" i="5"/>
  <c r="E223" i="5"/>
  <c r="D223" i="5"/>
  <c r="E379" i="5"/>
  <c r="D379" i="5"/>
  <c r="E378" i="5"/>
  <c r="D378" i="5"/>
  <c r="E377" i="5"/>
  <c r="D377" i="5"/>
  <c r="E376" i="5"/>
  <c r="D376" i="5"/>
  <c r="E375" i="5"/>
  <c r="D375" i="5"/>
  <c r="E374" i="5"/>
  <c r="D374" i="5"/>
  <c r="E373" i="5"/>
  <c r="D373" i="5"/>
  <c r="E372" i="5"/>
  <c r="D372" i="5"/>
  <c r="E371" i="5"/>
  <c r="D371" i="5"/>
  <c r="E370" i="5"/>
  <c r="D370" i="5"/>
  <c r="E369" i="5"/>
  <c r="D369" i="5"/>
  <c r="E368" i="5"/>
  <c r="D368" i="5"/>
  <c r="E367" i="5"/>
  <c r="D367" i="5"/>
  <c r="E366" i="5"/>
  <c r="D366" i="5"/>
  <c r="E365" i="5"/>
  <c r="D365" i="5"/>
  <c r="E364" i="5"/>
  <c r="D364" i="5"/>
  <c r="E363" i="5"/>
  <c r="D363" i="5"/>
  <c r="E362" i="5"/>
  <c r="D362" i="5"/>
  <c r="H361" i="5"/>
  <c r="E361" i="5"/>
  <c r="D361" i="5"/>
  <c r="H360" i="5"/>
  <c r="G360" i="5"/>
  <c r="E360" i="5"/>
  <c r="D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E514" i="5"/>
  <c r="D514" i="5"/>
  <c r="E513" i="5"/>
  <c r="D513" i="5"/>
  <c r="H494" i="5"/>
  <c r="I493" i="5"/>
  <c r="H493" i="5"/>
  <c r="G493" i="5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409" i="5"/>
  <c r="E407" i="5"/>
  <c r="D407" i="5"/>
  <c r="E406" i="5"/>
  <c r="D406" i="5"/>
  <c r="E405" i="5"/>
  <c r="D405" i="5"/>
  <c r="E404" i="5"/>
  <c r="D404" i="5"/>
  <c r="H385" i="5"/>
  <c r="I384" i="5"/>
  <c r="H384" i="5"/>
  <c r="G384" i="5"/>
  <c r="H356" i="5"/>
  <c r="E354" i="5"/>
  <c r="D354" i="5"/>
  <c r="E353" i="5"/>
  <c r="D353" i="5"/>
  <c r="E352" i="5"/>
  <c r="D352" i="5"/>
  <c r="E351" i="5"/>
  <c r="D351" i="5"/>
  <c r="H332" i="5"/>
  <c r="I331" i="5"/>
  <c r="H331" i="5"/>
  <c r="G331" i="5"/>
  <c r="H328" i="5"/>
  <c r="E326" i="5"/>
  <c r="D326" i="5"/>
  <c r="E325" i="5"/>
  <c r="D325" i="5"/>
  <c r="E324" i="5"/>
  <c r="D324" i="5"/>
  <c r="E323" i="5"/>
  <c r="D323" i="5"/>
  <c r="H304" i="5"/>
  <c r="I303" i="5"/>
  <c r="H303" i="5"/>
  <c r="G303" i="5"/>
  <c r="H300" i="5"/>
  <c r="E298" i="5"/>
  <c r="D298" i="5"/>
  <c r="E297" i="5"/>
  <c r="D297" i="5"/>
  <c r="E296" i="5"/>
  <c r="D296" i="5"/>
  <c r="E295" i="5"/>
  <c r="D295" i="5"/>
  <c r="H276" i="5"/>
  <c r="I275" i="5"/>
  <c r="H275" i="5"/>
  <c r="G275" i="5"/>
  <c r="H272" i="5"/>
  <c r="E270" i="5"/>
  <c r="D270" i="5"/>
  <c r="E269" i="5"/>
  <c r="D269" i="5"/>
  <c r="E268" i="5"/>
  <c r="D268" i="5"/>
  <c r="E267" i="5"/>
  <c r="D267" i="5"/>
  <c r="H248" i="5"/>
  <c r="I247" i="5"/>
  <c r="H247" i="5"/>
  <c r="G247" i="5"/>
  <c r="H219" i="5"/>
  <c r="E217" i="5"/>
  <c r="D217" i="5"/>
  <c r="E216" i="5"/>
  <c r="D216" i="5"/>
  <c r="E215" i="5"/>
  <c r="D215" i="5"/>
  <c r="E214" i="5"/>
  <c r="D214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E106" i="5"/>
  <c r="D106" i="5"/>
  <c r="E105" i="5"/>
  <c r="D105" i="5"/>
  <c r="H86" i="5"/>
  <c r="I85" i="5"/>
  <c r="H85" i="5"/>
  <c r="G85" i="5"/>
  <c r="H82" i="5"/>
  <c r="E80" i="5"/>
  <c r="D80" i="5"/>
  <c r="E79" i="5"/>
  <c r="D79" i="5"/>
  <c r="E78" i="5"/>
  <c r="D78" i="5"/>
  <c r="E77" i="5"/>
  <c r="D77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B11" i="1" l="1"/>
  <c r="A5" i="17" s="1"/>
  <c r="I51" i="1"/>
  <c r="A42" i="17"/>
  <c r="K35" i="5"/>
  <c r="AQ29" i="9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479" i="5"/>
  <c r="E641" i="5"/>
  <c r="E473" i="5"/>
  <c r="E647" i="5"/>
  <c r="D484" i="5"/>
  <c r="D643" i="5"/>
  <c r="D483" i="5"/>
  <c r="D655" i="5"/>
  <c r="D637" i="5"/>
  <c r="D476" i="5"/>
  <c r="D640" i="5"/>
  <c r="E480" i="5"/>
  <c r="E654" i="5"/>
  <c r="Q20" i="5" s="1"/>
  <c r="E630" i="5"/>
  <c r="N20" i="5" s="1"/>
  <c r="E486" i="5"/>
  <c r="E649" i="5"/>
  <c r="E485" i="5"/>
  <c r="E634" i="5"/>
  <c r="D477" i="5"/>
  <c r="D646" i="5"/>
  <c r="E470" i="5"/>
  <c r="E633" i="5"/>
  <c r="E481" i="5"/>
  <c r="E642" i="5"/>
  <c r="E469" i="5"/>
  <c r="E631" i="5"/>
  <c r="E482" i="5"/>
  <c r="E636" i="5"/>
  <c r="D488" i="5"/>
  <c r="D648" i="5"/>
  <c r="L35" i="5"/>
  <c r="K30" i="5"/>
  <c r="E51" i="5"/>
  <c r="E178" i="5"/>
  <c r="D50" i="5"/>
  <c r="D184" i="5"/>
  <c r="E36" i="5"/>
  <c r="E173" i="5"/>
  <c r="E39" i="5"/>
  <c r="E176" i="5"/>
  <c r="E42" i="5"/>
  <c r="E187" i="5"/>
  <c r="E41" i="5"/>
  <c r="E174" i="5"/>
  <c r="D44" i="5"/>
  <c r="D177" i="5"/>
  <c r="E34" i="5"/>
  <c r="E171" i="5"/>
  <c r="E48" i="5"/>
  <c r="E181" i="5"/>
  <c r="D37" i="5"/>
  <c r="D189" i="5"/>
  <c r="D33" i="5"/>
  <c r="D172" i="5"/>
  <c r="E38" i="5"/>
  <c r="E175" i="5"/>
  <c r="D45" i="5"/>
  <c r="D179" i="5"/>
  <c r="E35" i="5"/>
  <c r="E186" i="5"/>
  <c r="D43" i="5"/>
  <c r="D180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74" i="5" s="1"/>
  <c r="D23" i="9"/>
  <c r="E645" i="5" s="1"/>
  <c r="D19" i="9"/>
  <c r="E643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250" i="5" s="1"/>
  <c r="D28" i="9"/>
  <c r="D36" i="9"/>
  <c r="D40" i="9"/>
  <c r="D44" i="9"/>
  <c r="AB46" i="9"/>
  <c r="L46" i="9"/>
  <c r="X46" i="9"/>
  <c r="H46" i="9"/>
  <c r="D5" i="9"/>
  <c r="E635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646" i="5" s="1"/>
  <c r="C27" i="9"/>
  <c r="AJ28" i="9"/>
  <c r="D38" i="9"/>
  <c r="C11" i="9"/>
  <c r="D622" i="5" s="1"/>
  <c r="P28" i="9"/>
  <c r="BC5" i="9"/>
  <c r="C9" i="9"/>
  <c r="D607" i="5" s="1"/>
  <c r="BC17" i="9"/>
  <c r="C21" i="9"/>
  <c r="D649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494" i="5"/>
  <c r="E596" i="5"/>
  <c r="BC3" i="9"/>
  <c r="C3" i="9"/>
  <c r="D659" i="5" s="1"/>
  <c r="BC4" i="9"/>
  <c r="D3" i="9"/>
  <c r="E550" i="5" s="1"/>
  <c r="C4" i="9"/>
  <c r="D633" i="5" s="1"/>
  <c r="C16" i="9"/>
  <c r="D638" i="5" s="1"/>
  <c r="C17" i="9"/>
  <c r="D641" i="5" s="1"/>
  <c r="D18" i="9"/>
  <c r="E640" i="5" s="1"/>
  <c r="C7" i="9"/>
  <c r="C12" i="9"/>
  <c r="D625" i="5" s="1"/>
  <c r="D13" i="9"/>
  <c r="E648" i="5" s="1"/>
  <c r="C15" i="9"/>
  <c r="D672" i="5" s="1"/>
  <c r="D16" i="9"/>
  <c r="E620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644" i="5" s="1"/>
  <c r="D8" i="9"/>
  <c r="E644" i="5" s="1"/>
  <c r="BC11" i="9"/>
  <c r="BC15" i="9"/>
  <c r="BC19" i="9"/>
  <c r="B20" i="1"/>
  <c r="A14" i="17" s="1"/>
  <c r="B15" i="1"/>
  <c r="A9" i="17" s="1"/>
  <c r="B23" i="1"/>
  <c r="A17" i="17" s="1"/>
  <c r="C20" i="9"/>
  <c r="D677" i="5" s="1"/>
  <c r="D20" i="9"/>
  <c r="E677" i="5" s="1"/>
  <c r="BC20" i="9"/>
  <c r="D346" i="5"/>
  <c r="E413" i="5"/>
  <c r="E335" i="5"/>
  <c r="E278" i="5"/>
  <c r="E409" i="5"/>
  <c r="T13" i="5" s="1"/>
  <c r="E419" i="5"/>
  <c r="E442" i="5"/>
  <c r="E332" i="5"/>
  <c r="E196" i="5"/>
  <c r="E165" i="5"/>
  <c r="Q7" i="5" s="1"/>
  <c r="E29" i="5"/>
  <c r="T3" i="5" s="1"/>
  <c r="D415" i="5"/>
  <c r="E272" i="5"/>
  <c r="T9" i="5" s="1"/>
  <c r="E420" i="5"/>
  <c r="E337" i="5"/>
  <c r="E399" i="5"/>
  <c r="E280" i="5"/>
  <c r="E402" i="5"/>
  <c r="E258" i="5"/>
  <c r="E253" i="5"/>
  <c r="E447" i="5"/>
  <c r="E308" i="5"/>
  <c r="E155" i="5"/>
  <c r="E207" i="5"/>
  <c r="E118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F438" i="5" l="1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E37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E33" i="1"/>
  <c r="D22" i="1"/>
  <c r="E31" i="1"/>
  <c r="E16" i="1"/>
  <c r="E10" i="1"/>
  <c r="C20" i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E32" i="1"/>
  <c r="D11" i="1"/>
  <c r="E21" i="1"/>
  <c r="C28" i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C21" i="1"/>
  <c r="G24" i="1"/>
  <c r="G30" i="1"/>
  <c r="E18" i="1"/>
  <c r="C8" i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D47" i="1"/>
  <c r="C45" i="1"/>
  <c r="G46" i="1"/>
  <c r="C47" i="1"/>
  <c r="C42" i="1"/>
  <c r="E42" i="1"/>
  <c r="C44" i="1"/>
  <c r="G47" i="1"/>
  <c r="D39" i="1"/>
  <c r="E50" i="1"/>
  <c r="D49" i="1"/>
  <c r="D41" i="1"/>
  <c r="D48" i="1"/>
  <c r="C50" i="1"/>
  <c r="C40" i="1"/>
  <c r="C51" i="1"/>
  <c r="E39" i="1"/>
  <c r="G40" i="1"/>
  <c r="C46" i="1"/>
  <c r="D45" i="1"/>
  <c r="C43" i="1"/>
  <c r="C48" i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AB42" i="1" l="1"/>
  <c r="X42" i="1"/>
  <c r="AA42" i="1"/>
  <c r="Q42" i="1"/>
  <c r="Z42" i="1"/>
  <c r="Y42" i="1"/>
  <c r="W42" i="1"/>
  <c r="V42" i="1"/>
  <c r="AG42" i="1"/>
  <c r="U42" i="1"/>
  <c r="T42" i="1"/>
  <c r="R42" i="1"/>
  <c r="AF42" i="1"/>
  <c r="AE42" i="1"/>
  <c r="AD42" i="1"/>
  <c r="S42" i="1"/>
  <c r="AC42" i="1"/>
  <c r="AC39" i="1"/>
  <c r="AB39" i="1"/>
  <c r="Y39" i="1"/>
  <c r="AA39" i="1"/>
  <c r="X39" i="1"/>
  <c r="Z39" i="1"/>
  <c r="AD39" i="1"/>
  <c r="W39" i="1"/>
  <c r="V39" i="1"/>
  <c r="U39" i="1"/>
  <c r="AF39" i="1"/>
  <c r="AG39" i="1"/>
  <c r="T39" i="1"/>
  <c r="R39" i="1"/>
  <c r="AE39" i="1"/>
  <c r="S39" i="1"/>
  <c r="Q39" i="1"/>
  <c r="U47" i="1"/>
  <c r="AF47" i="1"/>
  <c r="T47" i="1"/>
  <c r="AE47" i="1"/>
  <c r="S47" i="1"/>
  <c r="AD47" i="1"/>
  <c r="R47" i="1"/>
  <c r="AB47" i="1"/>
  <c r="AC47" i="1"/>
  <c r="AA47" i="1"/>
  <c r="Z47" i="1"/>
  <c r="Q47" i="1"/>
  <c r="Y47" i="1"/>
  <c r="X47" i="1"/>
  <c r="W47" i="1"/>
  <c r="V47" i="1"/>
  <c r="AG47" i="1"/>
  <c r="Q40" i="1"/>
  <c r="Y40" i="1"/>
  <c r="T40" i="1"/>
  <c r="X40" i="1"/>
  <c r="AF40" i="1"/>
  <c r="W40" i="1"/>
  <c r="V40" i="1"/>
  <c r="U40" i="1"/>
  <c r="AG40" i="1"/>
  <c r="Z40" i="1"/>
  <c r="AE40" i="1"/>
  <c r="S40" i="1"/>
  <c r="AD40" i="1"/>
  <c r="R40" i="1"/>
  <c r="AC40" i="1"/>
  <c r="AB40" i="1"/>
  <c r="AA40" i="1"/>
  <c r="AG50" i="1"/>
  <c r="U50" i="1"/>
  <c r="AF50" i="1"/>
  <c r="T50" i="1"/>
  <c r="AE50" i="1"/>
  <c r="S50" i="1"/>
  <c r="AD50" i="1"/>
  <c r="R50" i="1"/>
  <c r="AC50" i="1"/>
  <c r="AB50" i="1"/>
  <c r="AA50" i="1"/>
  <c r="Z50" i="1"/>
  <c r="Q50" i="1"/>
  <c r="Y50" i="1"/>
  <c r="X50" i="1"/>
  <c r="W50" i="1"/>
  <c r="V50" i="1"/>
  <c r="AC45" i="1"/>
  <c r="AB45" i="1"/>
  <c r="Q45" i="1"/>
  <c r="AA45" i="1"/>
  <c r="Z45" i="1"/>
  <c r="X45" i="1"/>
  <c r="Y45" i="1"/>
  <c r="W45" i="1"/>
  <c r="V45" i="1"/>
  <c r="AG45" i="1"/>
  <c r="U45" i="1"/>
  <c r="AF45" i="1"/>
  <c r="T45" i="1"/>
  <c r="AE45" i="1"/>
  <c r="S45" i="1"/>
  <c r="AD45" i="1"/>
  <c r="R45" i="1"/>
  <c r="AG41" i="1"/>
  <c r="U41" i="1"/>
  <c r="Q41" i="1"/>
  <c r="AF41" i="1"/>
  <c r="AD41" i="1"/>
  <c r="T41" i="1"/>
  <c r="R41" i="1"/>
  <c r="AC41" i="1"/>
  <c r="AE41" i="1"/>
  <c r="S41" i="1"/>
  <c r="V41" i="1"/>
  <c r="AB41" i="1"/>
  <c r="AA41" i="1"/>
  <c r="Z41" i="1"/>
  <c r="Y41" i="1"/>
  <c r="X41" i="1"/>
  <c r="W41" i="1"/>
  <c r="AC48" i="1"/>
  <c r="AB48" i="1"/>
  <c r="AA48" i="1"/>
  <c r="X48" i="1"/>
  <c r="Z48" i="1"/>
  <c r="Y48" i="1"/>
  <c r="W48" i="1"/>
  <c r="V48" i="1"/>
  <c r="AG48" i="1"/>
  <c r="U48" i="1"/>
  <c r="Q48" i="1"/>
  <c r="T48" i="1"/>
  <c r="AF48" i="1"/>
  <c r="AE48" i="1"/>
  <c r="S48" i="1"/>
  <c r="AD48" i="1"/>
  <c r="R48" i="1"/>
  <c r="Y49" i="1"/>
  <c r="X49" i="1"/>
  <c r="AF49" i="1"/>
  <c r="W49" i="1"/>
  <c r="V49" i="1"/>
  <c r="AG49" i="1"/>
  <c r="T49" i="1"/>
  <c r="U49" i="1"/>
  <c r="AE49" i="1"/>
  <c r="S49" i="1"/>
  <c r="AD49" i="1"/>
  <c r="R49" i="1"/>
  <c r="Q49" i="1"/>
  <c r="AC49" i="1"/>
  <c r="AB49" i="1"/>
  <c r="AA49" i="1"/>
  <c r="Z49" i="1"/>
  <c r="X43" i="1"/>
  <c r="W43" i="1"/>
  <c r="AF43" i="1"/>
  <c r="V43" i="1"/>
  <c r="Q43" i="1"/>
  <c r="AG43" i="1"/>
  <c r="T43" i="1"/>
  <c r="U43" i="1"/>
  <c r="AE43" i="1"/>
  <c r="S43" i="1"/>
  <c r="AD43" i="1"/>
  <c r="R43" i="1"/>
  <c r="Y43" i="1"/>
  <c r="AC43" i="1"/>
  <c r="AB43" i="1"/>
  <c r="AA43" i="1"/>
  <c r="Z43" i="1"/>
  <c r="X46" i="1"/>
  <c r="W46" i="1"/>
  <c r="T46" i="1"/>
  <c r="AF46" i="1"/>
  <c r="V46" i="1"/>
  <c r="AG46" i="1"/>
  <c r="U46" i="1"/>
  <c r="Q46" i="1"/>
  <c r="AE46" i="1"/>
  <c r="S46" i="1"/>
  <c r="AD46" i="1"/>
  <c r="R46" i="1"/>
  <c r="AC46" i="1"/>
  <c r="AB46" i="1"/>
  <c r="AA46" i="1"/>
  <c r="Z46" i="1"/>
  <c r="Y46" i="1"/>
  <c r="U44" i="1"/>
  <c r="AF44" i="1"/>
  <c r="T44" i="1"/>
  <c r="AE44" i="1"/>
  <c r="AC44" i="1"/>
  <c r="S44" i="1"/>
  <c r="Q44" i="1"/>
  <c r="AG44" i="1"/>
  <c r="AD44" i="1"/>
  <c r="R44" i="1"/>
  <c r="AB44" i="1"/>
  <c r="AA44" i="1"/>
  <c r="Z44" i="1"/>
  <c r="Y44" i="1"/>
  <c r="X44" i="1"/>
  <c r="W44" i="1"/>
  <c r="V44" i="1"/>
  <c r="B33" i="17"/>
  <c r="B38" i="17"/>
  <c r="B16" i="17"/>
  <c r="X22" i="1"/>
  <c r="AD22" i="1"/>
  <c r="Y22" i="1"/>
  <c r="P22" i="1"/>
  <c r="Z22" i="1"/>
  <c r="AA22" i="1"/>
  <c r="AB22" i="1"/>
  <c r="R22" i="1"/>
  <c r="Q22" i="1"/>
  <c r="AC22" i="1"/>
  <c r="S22" i="1"/>
  <c r="AE22" i="1"/>
  <c r="T22" i="1"/>
  <c r="AF22" i="1"/>
  <c r="U22" i="1"/>
  <c r="AG22" i="1"/>
  <c r="V22" i="1"/>
  <c r="W22" i="1"/>
  <c r="AB26" i="1"/>
  <c r="Q26" i="1"/>
  <c r="AC26" i="1"/>
  <c r="R26" i="1"/>
  <c r="AD26" i="1"/>
  <c r="S26" i="1"/>
  <c r="AE26" i="1"/>
  <c r="T26" i="1"/>
  <c r="AF26" i="1"/>
  <c r="V26" i="1"/>
  <c r="U26" i="1"/>
  <c r="AG26" i="1"/>
  <c r="W26" i="1"/>
  <c r="P26" i="1"/>
  <c r="X26" i="1"/>
  <c r="Y26" i="1"/>
  <c r="Z26" i="1"/>
  <c r="AA26" i="1"/>
  <c r="B5" i="17"/>
  <c r="S11" i="1"/>
  <c r="AE11" i="1"/>
  <c r="T11" i="1"/>
  <c r="AF11" i="1"/>
  <c r="U11" i="1"/>
  <c r="AG11" i="1"/>
  <c r="V11" i="1"/>
  <c r="W11" i="1"/>
  <c r="P11" i="1"/>
  <c r="X11" i="1"/>
  <c r="Z11" i="1"/>
  <c r="AA11" i="1"/>
  <c r="AB11" i="1"/>
  <c r="Q11" i="1"/>
  <c r="AC11" i="1"/>
  <c r="Y11" i="1"/>
  <c r="R11" i="1"/>
  <c r="AD11" i="1"/>
  <c r="B22" i="17"/>
  <c r="R28" i="1"/>
  <c r="AD28" i="1"/>
  <c r="S28" i="1"/>
  <c r="AE28" i="1"/>
  <c r="T28" i="1"/>
  <c r="AF28" i="1"/>
  <c r="U28" i="1"/>
  <c r="AG28" i="1"/>
  <c r="V28" i="1"/>
  <c r="W28" i="1"/>
  <c r="X28" i="1"/>
  <c r="Y28" i="1"/>
  <c r="Z28" i="1"/>
  <c r="Q28" i="1"/>
  <c r="AA28" i="1"/>
  <c r="P28" i="1"/>
  <c r="AB28" i="1"/>
  <c r="AC28" i="1"/>
  <c r="B4" i="17"/>
  <c r="X10" i="1"/>
  <c r="R10" i="1"/>
  <c r="Y10" i="1"/>
  <c r="Z10" i="1"/>
  <c r="AA10" i="1"/>
  <c r="P10" i="1"/>
  <c r="AB10" i="1"/>
  <c r="Q10" i="1"/>
  <c r="AC10" i="1"/>
  <c r="S10" i="1"/>
  <c r="AE10" i="1"/>
  <c r="AD10" i="1"/>
  <c r="T10" i="1"/>
  <c r="AF10" i="1"/>
  <c r="U10" i="1"/>
  <c r="AG10" i="1"/>
  <c r="V10" i="1"/>
  <c r="W10" i="1"/>
  <c r="B8" i="17"/>
  <c r="AB14" i="1"/>
  <c r="Q14" i="1"/>
  <c r="AC14" i="1"/>
  <c r="R14" i="1"/>
  <c r="AD14" i="1"/>
  <c r="S14" i="1"/>
  <c r="AE14" i="1"/>
  <c r="V14" i="1"/>
  <c r="T14" i="1"/>
  <c r="AF14" i="1"/>
  <c r="U14" i="1"/>
  <c r="AG14" i="1"/>
  <c r="W14" i="1"/>
  <c r="P14" i="1"/>
  <c r="X14" i="1"/>
  <c r="Y14" i="1"/>
  <c r="Z14" i="1"/>
  <c r="AA14" i="1"/>
  <c r="B3" i="17"/>
  <c r="Q9" i="1"/>
  <c r="AC9" i="1"/>
  <c r="R9" i="1"/>
  <c r="AD9" i="1"/>
  <c r="S9" i="1"/>
  <c r="AE9" i="1"/>
  <c r="P9" i="1"/>
  <c r="T9" i="1"/>
  <c r="AF9" i="1"/>
  <c r="U9" i="1"/>
  <c r="AG9" i="1"/>
  <c r="V9" i="1"/>
  <c r="X9" i="1"/>
  <c r="Y9" i="1"/>
  <c r="Z9" i="1"/>
  <c r="W9" i="1"/>
  <c r="AA9" i="1"/>
  <c r="AB9" i="1"/>
  <c r="I50" i="1"/>
  <c r="B15" i="17"/>
  <c r="Q21" i="1"/>
  <c r="AC21" i="1"/>
  <c r="P21" i="1"/>
  <c r="R21" i="1"/>
  <c r="AD21" i="1"/>
  <c r="S21" i="1"/>
  <c r="AE21" i="1"/>
  <c r="T21" i="1"/>
  <c r="AF21" i="1"/>
  <c r="U21" i="1"/>
  <c r="AG21" i="1"/>
  <c r="V21" i="1"/>
  <c r="X21" i="1"/>
  <c r="Y21" i="1"/>
  <c r="Z21" i="1"/>
  <c r="AA21" i="1"/>
  <c r="AB21" i="1"/>
  <c r="W21" i="1"/>
  <c r="I31" i="1"/>
  <c r="AA31" i="1"/>
  <c r="P31" i="1"/>
  <c r="AB31" i="1"/>
  <c r="Q31" i="1"/>
  <c r="AC31" i="1"/>
  <c r="R31" i="1"/>
  <c r="AD31" i="1"/>
  <c r="S31" i="1"/>
  <c r="AE31" i="1"/>
  <c r="T31" i="1"/>
  <c r="AF31" i="1"/>
  <c r="V31" i="1"/>
  <c r="W31" i="1"/>
  <c r="AG31" i="1"/>
  <c r="X31" i="1"/>
  <c r="U31" i="1"/>
  <c r="Y31" i="1"/>
  <c r="Z31" i="1"/>
  <c r="B19" i="17"/>
  <c r="U25" i="1"/>
  <c r="AG25" i="1"/>
  <c r="V25" i="1"/>
  <c r="W25" i="1"/>
  <c r="X25" i="1"/>
  <c r="AA25" i="1"/>
  <c r="Y25" i="1"/>
  <c r="P25" i="1"/>
  <c r="Z25" i="1"/>
  <c r="AB25" i="1"/>
  <c r="Q25" i="1"/>
  <c r="AC25" i="1"/>
  <c r="R25" i="1"/>
  <c r="AD25" i="1"/>
  <c r="S25" i="1"/>
  <c r="AE25" i="1"/>
  <c r="T25" i="1"/>
  <c r="AF25" i="1"/>
  <c r="B13" i="17"/>
  <c r="AA19" i="1"/>
  <c r="P19" i="1"/>
  <c r="AB19" i="1"/>
  <c r="U19" i="1"/>
  <c r="Q19" i="1"/>
  <c r="AC19" i="1"/>
  <c r="R19" i="1"/>
  <c r="AD19" i="1"/>
  <c r="S19" i="1"/>
  <c r="AE19" i="1"/>
  <c r="T19" i="1"/>
  <c r="AF19" i="1"/>
  <c r="V19" i="1"/>
  <c r="W19" i="1"/>
  <c r="X19" i="1"/>
  <c r="AG19" i="1"/>
  <c r="Y19" i="1"/>
  <c r="Z19" i="1"/>
  <c r="B36" i="17"/>
  <c r="B32" i="17"/>
  <c r="I30" i="1"/>
  <c r="T30" i="1"/>
  <c r="AF30" i="1"/>
  <c r="AG30" i="1"/>
  <c r="U30" i="1"/>
  <c r="Z30" i="1"/>
  <c r="V30" i="1"/>
  <c r="W30" i="1"/>
  <c r="X30" i="1"/>
  <c r="Y30" i="1"/>
  <c r="AA30" i="1"/>
  <c r="AB30" i="1"/>
  <c r="Q30" i="1"/>
  <c r="AC30" i="1"/>
  <c r="AE30" i="1"/>
  <c r="R30" i="1"/>
  <c r="AD30" i="1"/>
  <c r="S30" i="1"/>
  <c r="P30" i="1"/>
  <c r="B14" i="17"/>
  <c r="V20" i="1"/>
  <c r="W20" i="1"/>
  <c r="P20" i="1"/>
  <c r="X20" i="1"/>
  <c r="Y20" i="1"/>
  <c r="Z20" i="1"/>
  <c r="AA20" i="1"/>
  <c r="Q20" i="1"/>
  <c r="AC20" i="1"/>
  <c r="R20" i="1"/>
  <c r="AD20" i="1"/>
  <c r="S20" i="1"/>
  <c r="AE20" i="1"/>
  <c r="T20" i="1"/>
  <c r="AF20" i="1"/>
  <c r="AB20" i="1"/>
  <c r="U20" i="1"/>
  <c r="AG20" i="1"/>
  <c r="B12" i="17"/>
  <c r="T18" i="1"/>
  <c r="AF18" i="1"/>
  <c r="U18" i="1"/>
  <c r="AG18" i="1"/>
  <c r="V18" i="1"/>
  <c r="W18" i="1"/>
  <c r="X18" i="1"/>
  <c r="Y18" i="1"/>
  <c r="AA18" i="1"/>
  <c r="P18" i="1"/>
  <c r="AB18" i="1"/>
  <c r="Z18" i="1"/>
  <c r="Q18" i="1"/>
  <c r="AC18" i="1"/>
  <c r="R18" i="1"/>
  <c r="AD18" i="1"/>
  <c r="S18" i="1"/>
  <c r="AE18" i="1"/>
  <c r="B23" i="17"/>
  <c r="Y29" i="1"/>
  <c r="Z29" i="1"/>
  <c r="AA29" i="1"/>
  <c r="AB29" i="1"/>
  <c r="Q29" i="1"/>
  <c r="AC29" i="1"/>
  <c r="R29" i="1"/>
  <c r="AD29" i="1"/>
  <c r="T29" i="1"/>
  <c r="AF29" i="1"/>
  <c r="AG29" i="1"/>
  <c r="X29" i="1"/>
  <c r="AE29" i="1"/>
  <c r="U29" i="1"/>
  <c r="V29" i="1"/>
  <c r="W29" i="1"/>
  <c r="P29" i="1"/>
  <c r="S29" i="1"/>
  <c r="B31" i="17"/>
  <c r="B39" i="17"/>
  <c r="W15" i="1"/>
  <c r="AC15" i="1"/>
  <c r="X15" i="1"/>
  <c r="Y15" i="1"/>
  <c r="Z15" i="1"/>
  <c r="AA15" i="1"/>
  <c r="AB15" i="1"/>
  <c r="R15" i="1"/>
  <c r="AD15" i="1"/>
  <c r="S15" i="1"/>
  <c r="AE15" i="1"/>
  <c r="P15" i="1"/>
  <c r="T15" i="1"/>
  <c r="AF15" i="1"/>
  <c r="U15" i="1"/>
  <c r="AG15" i="1"/>
  <c r="Q15" i="1"/>
  <c r="V15" i="1"/>
  <c r="B34" i="17"/>
  <c r="B6" i="17"/>
  <c r="Z12" i="1"/>
  <c r="AA12" i="1"/>
  <c r="AB12" i="1"/>
  <c r="T12" i="1"/>
  <c r="Q12" i="1"/>
  <c r="AC12" i="1"/>
  <c r="R12" i="1"/>
  <c r="AD12" i="1"/>
  <c r="AF12" i="1"/>
  <c r="S12" i="1"/>
  <c r="AE12" i="1"/>
  <c r="P12" i="1"/>
  <c r="U12" i="1"/>
  <c r="AG12" i="1"/>
  <c r="V12" i="1"/>
  <c r="W12" i="1"/>
  <c r="X12" i="1"/>
  <c r="Y12" i="1"/>
  <c r="W27" i="1"/>
  <c r="AC27" i="1"/>
  <c r="X27" i="1"/>
  <c r="Y27" i="1"/>
  <c r="Z27" i="1"/>
  <c r="AA27" i="1"/>
  <c r="AB27" i="1"/>
  <c r="R27" i="1"/>
  <c r="AD27" i="1"/>
  <c r="P27" i="1"/>
  <c r="S27" i="1"/>
  <c r="AE27" i="1"/>
  <c r="T27" i="1"/>
  <c r="AF27" i="1"/>
  <c r="U27" i="1"/>
  <c r="AG27" i="1"/>
  <c r="V27" i="1"/>
  <c r="Q27" i="1"/>
  <c r="B2" i="17"/>
  <c r="V8" i="1"/>
  <c r="T8" i="1"/>
  <c r="P8" i="1"/>
  <c r="O8" i="1"/>
  <c r="AF8" i="1"/>
  <c r="AD8" i="1"/>
  <c r="W8" i="1"/>
  <c r="AB8" i="1"/>
  <c r="AA8" i="1"/>
  <c r="I49" i="1"/>
  <c r="B17" i="17"/>
  <c r="S23" i="1"/>
  <c r="AE23" i="1"/>
  <c r="T23" i="1"/>
  <c r="AF23" i="1"/>
  <c r="U23" i="1"/>
  <c r="AG23" i="1"/>
  <c r="Y23" i="1"/>
  <c r="V23" i="1"/>
  <c r="W23" i="1"/>
  <c r="P23" i="1"/>
  <c r="X23" i="1"/>
  <c r="Z23" i="1"/>
  <c r="AA23" i="1"/>
  <c r="AB23" i="1"/>
  <c r="Q23" i="1"/>
  <c r="AC23" i="1"/>
  <c r="R23" i="1"/>
  <c r="AD23" i="1"/>
  <c r="B18" i="17"/>
  <c r="Z24" i="1"/>
  <c r="AA24" i="1"/>
  <c r="AB24" i="1"/>
  <c r="Q24" i="1"/>
  <c r="AC24" i="1"/>
  <c r="R24" i="1"/>
  <c r="AD24" i="1"/>
  <c r="S24" i="1"/>
  <c r="AE24" i="1"/>
  <c r="P24" i="1"/>
  <c r="U24" i="1"/>
  <c r="AG24" i="1"/>
  <c r="T24" i="1"/>
  <c r="V24" i="1"/>
  <c r="W24" i="1"/>
  <c r="X24" i="1"/>
  <c r="AF24" i="1"/>
  <c r="Y24" i="1"/>
  <c r="B11" i="17"/>
  <c r="Y17" i="1"/>
  <c r="Z17" i="1"/>
  <c r="AA17" i="1"/>
  <c r="AB17" i="1"/>
  <c r="Q17" i="1"/>
  <c r="AC17" i="1"/>
  <c r="S17" i="1"/>
  <c r="R17" i="1"/>
  <c r="AD17" i="1"/>
  <c r="T17" i="1"/>
  <c r="AF17" i="1"/>
  <c r="AE17" i="1"/>
  <c r="U17" i="1"/>
  <c r="AG17" i="1"/>
  <c r="V17" i="1"/>
  <c r="W17" i="1"/>
  <c r="P17" i="1"/>
  <c r="X17" i="1"/>
  <c r="B37" i="17"/>
  <c r="B35" i="17"/>
  <c r="B10" i="17"/>
  <c r="R16" i="1"/>
  <c r="AD16" i="1"/>
  <c r="S16" i="1"/>
  <c r="AE16" i="1"/>
  <c r="T16" i="1"/>
  <c r="AF16" i="1"/>
  <c r="U16" i="1"/>
  <c r="AG16" i="1"/>
  <c r="V16" i="1"/>
  <c r="W16" i="1"/>
  <c r="X16" i="1"/>
  <c r="Y16" i="1"/>
  <c r="Z16" i="1"/>
  <c r="AA16" i="1"/>
  <c r="P16" i="1"/>
  <c r="AB16" i="1"/>
  <c r="Q16" i="1"/>
  <c r="AC16" i="1"/>
  <c r="B7" i="17"/>
  <c r="U13" i="1"/>
  <c r="AG13" i="1"/>
  <c r="P13" i="1"/>
  <c r="V13" i="1"/>
  <c r="W13" i="1"/>
  <c r="X13" i="1"/>
  <c r="Y13" i="1"/>
  <c r="Z13" i="1"/>
  <c r="AB13" i="1"/>
  <c r="Q13" i="1"/>
  <c r="AC13" i="1"/>
  <c r="R13" i="1"/>
  <c r="AD13" i="1"/>
  <c r="S13" i="1"/>
  <c r="AE13" i="1"/>
  <c r="T13" i="1"/>
  <c r="AF13" i="1"/>
  <c r="AA13" i="1"/>
  <c r="H27" i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O26" i="1"/>
  <c r="O42" i="1"/>
  <c r="K42" i="1"/>
  <c r="K8" i="1"/>
  <c r="K28" i="1"/>
  <c r="O28" i="1"/>
  <c r="K39" i="1"/>
  <c r="O39" i="1"/>
  <c r="V51" i="1"/>
  <c r="AD51" i="1"/>
  <c r="K51" i="1"/>
  <c r="AB51" i="1"/>
  <c r="AF51" i="1"/>
  <c r="O51" i="1"/>
  <c r="O47" i="1"/>
  <c r="K47" i="1"/>
  <c r="K22" i="1"/>
  <c r="O22" i="1"/>
  <c r="K11" i="1"/>
  <c r="O11" i="1"/>
  <c r="K15" i="1"/>
  <c r="O15" i="1"/>
  <c r="K40" i="1"/>
  <c r="O40" i="1"/>
  <c r="K50" i="1"/>
  <c r="O50" i="1"/>
  <c r="O45" i="1"/>
  <c r="K45" i="1"/>
  <c r="K10" i="1"/>
  <c r="O10" i="1"/>
  <c r="K14" i="1"/>
  <c r="O14" i="1"/>
  <c r="K9" i="1"/>
  <c r="O9" i="1"/>
  <c r="K27" i="1"/>
  <c r="O27" i="1"/>
  <c r="K21" i="1"/>
  <c r="O21" i="1"/>
  <c r="K31" i="1"/>
  <c r="O31" i="1"/>
  <c r="K25" i="1"/>
  <c r="O25" i="1"/>
  <c r="K19" i="1"/>
  <c r="O19" i="1"/>
  <c r="O41" i="1"/>
  <c r="K41" i="1"/>
  <c r="K30" i="1"/>
  <c r="O30" i="1"/>
  <c r="K20" i="1"/>
  <c r="O20" i="1"/>
  <c r="K18" i="1"/>
  <c r="O18" i="1"/>
  <c r="K29" i="1"/>
  <c r="O29" i="1"/>
  <c r="O48" i="1"/>
  <c r="K48" i="1"/>
  <c r="O43" i="1"/>
  <c r="K43" i="1"/>
  <c r="K12" i="1"/>
  <c r="O12" i="1"/>
  <c r="K49" i="1"/>
  <c r="O49" i="1"/>
  <c r="K23" i="1"/>
  <c r="O23" i="1"/>
  <c r="K24" i="1"/>
  <c r="O24" i="1"/>
  <c r="K17" i="1"/>
  <c r="O17" i="1"/>
  <c r="O46" i="1"/>
  <c r="K46" i="1"/>
  <c r="O44" i="1"/>
  <c r="K44" i="1"/>
  <c r="K16" i="1"/>
  <c r="O16" i="1"/>
  <c r="K13" i="1"/>
  <c r="O13" i="1"/>
  <c r="M39" i="1"/>
  <c r="F39" i="1"/>
  <c r="L39" i="1"/>
  <c r="J39" i="1"/>
  <c r="C30" i="17" s="1"/>
  <c r="P39" i="1"/>
  <c r="N39" i="1"/>
  <c r="J42" i="1"/>
  <c r="C33" i="17" s="1"/>
  <c r="F42" i="1"/>
  <c r="N42" i="1"/>
  <c r="L42" i="1"/>
  <c r="P42" i="1"/>
  <c r="M42" i="1"/>
  <c r="L8" i="1"/>
  <c r="X8" i="1"/>
  <c r="N8" i="1"/>
  <c r="M8" i="1"/>
  <c r="S8" i="1"/>
  <c r="I8" i="1"/>
  <c r="F8" i="1"/>
  <c r="Z8" i="1"/>
  <c r="Q8" i="1"/>
  <c r="AG8" i="1"/>
  <c r="J8" i="1"/>
  <c r="C2" i="17" s="1"/>
  <c r="U8" i="1"/>
  <c r="AE8" i="1"/>
  <c r="R8" i="1"/>
  <c r="Y8" i="1"/>
  <c r="AC8" i="1"/>
  <c r="M28" i="1"/>
  <c r="J28" i="1"/>
  <c r="C22" i="17" s="1"/>
  <c r="L28" i="1"/>
  <c r="F28" i="1"/>
  <c r="N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F47" i="1"/>
  <c r="L47" i="1"/>
  <c r="J47" i="1"/>
  <c r="C38" i="17" s="1"/>
  <c r="N47" i="1"/>
  <c r="M47" i="1"/>
  <c r="P47" i="1"/>
  <c r="N22" i="1"/>
  <c r="J22" i="1"/>
  <c r="C16" i="17" s="1"/>
  <c r="I22" i="1"/>
  <c r="M22" i="1"/>
  <c r="L22" i="1"/>
  <c r="F22" i="1"/>
  <c r="N40" i="1"/>
  <c r="F40" i="1"/>
  <c r="J40" i="1"/>
  <c r="C31" i="17" s="1"/>
  <c r="M40" i="1"/>
  <c r="L40" i="1"/>
  <c r="P40" i="1"/>
  <c r="L11" i="1"/>
  <c r="M11" i="1"/>
  <c r="J11" i="1"/>
  <c r="C5" i="17" s="1"/>
  <c r="N11" i="1"/>
  <c r="F11" i="1"/>
  <c r="I11" i="1"/>
  <c r="I10" i="1"/>
  <c r="L10" i="1"/>
  <c r="J10" i="1"/>
  <c r="C4" i="17" s="1"/>
  <c r="N10" i="1"/>
  <c r="M10" i="1"/>
  <c r="F10" i="1"/>
  <c r="I14" i="1"/>
  <c r="F14" i="1"/>
  <c r="N14" i="1"/>
  <c r="M14" i="1"/>
  <c r="J14" i="1"/>
  <c r="C8" i="17" s="1"/>
  <c r="L14" i="1"/>
  <c r="L9" i="1"/>
  <c r="I9" i="1"/>
  <c r="J9" i="1"/>
  <c r="C3" i="17" s="1"/>
  <c r="M9" i="1"/>
  <c r="N9" i="1"/>
  <c r="F9" i="1"/>
  <c r="N15" i="1"/>
  <c r="I15" i="1"/>
  <c r="M15" i="1"/>
  <c r="F15" i="1"/>
  <c r="J15" i="1"/>
  <c r="C9" i="17" s="1"/>
  <c r="L15" i="1"/>
  <c r="M21" i="1"/>
  <c r="F21" i="1"/>
  <c r="L21" i="1"/>
  <c r="I21" i="1"/>
  <c r="J21" i="1"/>
  <c r="C15" i="17" s="1"/>
  <c r="N21" i="1"/>
  <c r="L31" i="1"/>
  <c r="F31" i="1"/>
  <c r="M31" i="1"/>
  <c r="J31" i="1"/>
  <c r="C25" i="17" s="1"/>
  <c r="N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J25" i="1"/>
  <c r="C19" i="17" s="1"/>
  <c r="M25" i="1"/>
  <c r="I25" i="1"/>
  <c r="N25" i="1"/>
  <c r="F25" i="1"/>
  <c r="L25" i="1"/>
  <c r="I19" i="1"/>
  <c r="F19" i="1"/>
  <c r="J19" i="1"/>
  <c r="C13" i="17" s="1"/>
  <c r="L19" i="1"/>
  <c r="M19" i="1"/>
  <c r="N19" i="1"/>
  <c r="M41" i="1"/>
  <c r="J41" i="1"/>
  <c r="C32" i="17" s="1"/>
  <c r="L41" i="1"/>
  <c r="F41" i="1"/>
  <c r="N41" i="1"/>
  <c r="P41" i="1"/>
  <c r="L30" i="1"/>
  <c r="J30" i="1"/>
  <c r="C24" i="17" s="1"/>
  <c r="M30" i="1"/>
  <c r="N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I20" i="1"/>
  <c r="M20" i="1"/>
  <c r="N20" i="1"/>
  <c r="F20" i="1"/>
  <c r="J20" i="1"/>
  <c r="C14" i="17" s="1"/>
  <c r="L20" i="1"/>
  <c r="I18" i="1"/>
  <c r="J18" i="1"/>
  <c r="C12" i="17" s="1"/>
  <c r="F18" i="1"/>
  <c r="M18" i="1"/>
  <c r="L18" i="1"/>
  <c r="N18" i="1"/>
  <c r="P50" i="1"/>
  <c r="M50" i="1"/>
  <c r="L50" i="1"/>
  <c r="N50" i="1"/>
  <c r="F50" i="1"/>
  <c r="J50" i="1"/>
  <c r="C41" i="17" s="1"/>
  <c r="N29" i="1"/>
  <c r="L29" i="1"/>
  <c r="M29" i="1"/>
  <c r="J29" i="1"/>
  <c r="C23" i="17" s="1"/>
  <c r="F29" i="1"/>
  <c r="I26" i="1"/>
  <c r="J26" i="1"/>
  <c r="C20" i="17" s="1"/>
  <c r="N26" i="1"/>
  <c r="L26" i="1"/>
  <c r="F26" i="1"/>
  <c r="M26" i="1"/>
  <c r="J45" i="1"/>
  <c r="C36" i="17" s="1"/>
  <c r="L45" i="1"/>
  <c r="F45" i="1"/>
  <c r="N45" i="1"/>
  <c r="M45" i="1"/>
  <c r="P45" i="1"/>
  <c r="P48" i="1"/>
  <c r="J48" i="1"/>
  <c r="C39" i="17" s="1"/>
  <c r="M48" i="1"/>
  <c r="N48" i="1"/>
  <c r="F48" i="1"/>
  <c r="L48" i="1"/>
  <c r="I12" i="1"/>
  <c r="J12" i="1"/>
  <c r="C6" i="17" s="1"/>
  <c r="L12" i="1"/>
  <c r="N12" i="1"/>
  <c r="M12" i="1"/>
  <c r="F12" i="1"/>
  <c r="N43" i="1"/>
  <c r="F43" i="1"/>
  <c r="P43" i="1"/>
  <c r="J43" i="1"/>
  <c r="C34" i="17" s="1"/>
  <c r="M43" i="1"/>
  <c r="L43" i="1"/>
  <c r="J49" i="1"/>
  <c r="C40" i="17" s="1"/>
  <c r="L49" i="1"/>
  <c r="P49" i="1"/>
  <c r="N49" i="1"/>
  <c r="F49" i="1"/>
  <c r="M49" i="1"/>
  <c r="M23" i="1"/>
  <c r="I23" i="1"/>
  <c r="L23" i="1"/>
  <c r="F23" i="1"/>
  <c r="N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F24" i="1"/>
  <c r="N24" i="1"/>
  <c r="I24" i="1"/>
  <c r="J24" i="1"/>
  <c r="C18" i="17" s="1"/>
  <c r="L24" i="1"/>
  <c r="M24" i="1"/>
  <c r="I17" i="1"/>
  <c r="N17" i="1"/>
  <c r="J17" i="1"/>
  <c r="C11" i="17" s="1"/>
  <c r="F17" i="1"/>
  <c r="M17" i="1"/>
  <c r="L17" i="1"/>
  <c r="L27" i="1"/>
  <c r="J27" i="1"/>
  <c r="C21" i="17" s="1"/>
  <c r="N27" i="1"/>
  <c r="M27" i="1"/>
  <c r="I27" i="1"/>
  <c r="F27" i="1"/>
  <c r="L46" i="1"/>
  <c r="F46" i="1"/>
  <c r="J46" i="1"/>
  <c r="C37" i="17" s="1"/>
  <c r="P46" i="1"/>
  <c r="M46" i="1"/>
  <c r="N46" i="1"/>
  <c r="M44" i="1"/>
  <c r="J44" i="1"/>
  <c r="C35" i="17" s="1"/>
  <c r="P44" i="1"/>
  <c r="N44" i="1"/>
  <c r="L44" i="1"/>
  <c r="F44" i="1"/>
  <c r="F16" i="1"/>
  <c r="J16" i="1"/>
  <c r="C10" i="17" s="1"/>
  <c r="N16" i="1"/>
  <c r="M16" i="1"/>
  <c r="I16" i="1"/>
  <c r="L16" i="1"/>
  <c r="L13" i="1"/>
  <c r="N13" i="1"/>
  <c r="I13" i="1"/>
  <c r="M13" i="1"/>
  <c r="F13" i="1"/>
  <c r="J13" i="1"/>
  <c r="C7" i="17" s="1"/>
  <c r="D6" i="17" l="1"/>
  <c r="E6" i="17" s="1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D23" i="17"/>
  <c r="D18" i="17"/>
  <c r="D9" i="17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D14" i="17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D7" i="17"/>
  <c r="E7" i="17" s="1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D10" i="17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<sst xmlns="http://schemas.openxmlformats.org/spreadsheetml/2006/main" count="1232" uniqueCount="437">
  <si>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</si>
  <si>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</si>
  <si>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</si>
  <si>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</si>
  <si>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</si>
  <si>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</si>
  <si>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</si>
  <si>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</si>
  <si>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</si>
  <si>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</si>
  <si>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</si>
  <si>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</si>
  <si>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</si>
  <si>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</si>
  <si>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</si>
  <si>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</si>
  <si>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</si>
  <si>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</si>
  <si>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</si>
  <si>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</si>
  <si>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</si>
  <si>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</si>
  <si>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</si>
  <si>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</si>
  <si>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</si>
  <si>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</si>
  <si>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</si>
  <si>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</si>
  <si>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</si>
  <si>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</si>
  <si>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</si>
  <si>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</si>
  <si>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</si>
  <si>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</si>
  <si>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</si>
  <si>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</si>
  <si>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</si>
  <si>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</si>
  <si>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</si>
  <si>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</si>
  <si>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</si>
  <si>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</si>
  <si>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</si>
  <si>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</si>
  <si>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</si>
  <si>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</si>
  <si>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</si>
  <si>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</si>
  <si>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</si>
  <si>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</si>
  <si>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</si>
  <si>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</si>
  <si>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</si>
  <si>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</si>
  <si>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</si>
  <si>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</si>
  <si>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</si>
  <si>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</si>
  <si>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</si>
  <si>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</si>
  <si>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</si>
  <si>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</si>
  <si>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</si>
  <si>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</si>
  <si>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</si>
  <si>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</si>
  <si>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</si>
  <si>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</si>
  <si>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</si>
  <si>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</si>
  <si>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</si>
  <si>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</si>
  <si>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</si>
  <si>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</si>
  <si>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</si>
  <si>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</si>
  <si>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</si>
  <si>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</si>
  <si>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</si>
  <si>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</si>
  <si>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</si>
  <si>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</si>
  <si>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</si>
  <si>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</si>
  <si>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</si>
  <si>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</si>
  <si>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</si>
  <si>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</si>
  <si>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</si>
  <si>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</si>
  <si>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</si>
  <si>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</si>
  <si>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</si>
  <si>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</si>
  <si>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</si>
  <si>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</si>
  <si>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</si>
  <si>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</si>
  <si>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</si>
  <si>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</si>
  <si>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</si>
  <si>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</si>
  <si>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</si>
  <si>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</si>
  <si>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</si>
  <si>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</si>
  <si>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</si>
  <si>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</si>
  <si>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</si>
  <si>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</si>
  <si>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</si>
  <si>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</si>
  <si>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</si>
  <si>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</si>
  <si>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</si>
  <si>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</si>
  <si>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</si>
  <si>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</si>
  <si>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</si>
  <si>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</si>
  <si>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</si>
  <si>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</si>
  <si>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</si>
  <si>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</si>
  <si>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</si>
  <si>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</si>
  <si>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</si>
  <si>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</si>
  <si>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</si>
  <si>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</si>
  <si>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</si>
  <si>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</si>
  <si>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</si>
  <si>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</si>
  <si>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</si>
  <si>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</si>
  <si>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</si>
  <si>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</si>
  <si>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</si>
  <si>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</si>
  <si>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</si>
  <si>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</si>
  <si>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</si>
  <si>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</si>
  <si>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</si>
  <si>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</si>
  <si>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</si>
  <si>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</si>
  <si>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</si>
  <si>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</si>
  <si>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</si>
  <si>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</si>
  <si>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</si>
  <si>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</si>
  <si>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</si>
  <si>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</si>
  <si>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</si>
  <si>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</si>
  <si>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</si>
  <si>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</si>
  <si>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</si>
  <si>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</si>
  <si>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</si>
  <si>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</si>
  <si>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</si>
  <si>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</si>
  <si>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</si>
  <si>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</si>
  <si>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</si>
  <si>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</si>
  <si>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</si>
  <si>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</si>
  <si>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</si>
  <si>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</si>
  <si>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</si>
  <si>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</si>
  <si>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</si>
  <si>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</si>
  <si>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</si>
  <si>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</si>
  <si>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</si>
  <si>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</si>
  <si>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</si>
  <si>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</si>
  <si>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</si>
  <si>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</si>
  <si>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</si>
  <si>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</si>
  <si>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</si>
  <si>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</si>
  <si>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</si>
  <si>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</si>
  <si>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</si>
  <si>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</si>
  <si>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</si>
  <si>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</si>
  <si>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</si>
  <si>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</si>
  <si>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</si>
  <si>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</si>
  <si>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</si>
  <si>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</si>
  <si>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</si>
  <si>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</si>
  <si>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</si>
  <si>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</si>
  <si>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</si>
  <si>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</si>
  <si>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</si>
  <si>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</si>
  <si>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</si>
  <si>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</si>
  <si>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</si>
  <si>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</si>
  <si>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</si>
  <si>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</si>
  <si>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</si>
  <si>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</si>
  <si>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</si>
  <si>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</si>
  <si>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</si>
  <si>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</si>
  <si>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</si>
  <si>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</si>
  <si>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</si>
  <si>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</si>
  <si>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</si>
  <si>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</si>
  <si>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</si>
  <si>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</si>
  <si>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</si>
  <si>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</si>
  <si>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</si>
  <si>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</si>
  <si>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</si>
  <si>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</si>
  <si>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</si>
  <si>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</si>
  <si>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</si>
  <si>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</si>
  <si>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</si>
  <si>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</si>
  <si>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</si>
  <si>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</si>
  <si>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</si>
  <si>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</si>
  <si>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</si>
  <si>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</si>
  <si>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</si>
  <si>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</si>
  <si>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</si>
  <si>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</si>
  <si>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</si>
  <si>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</si>
  <si>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</si>
  <si>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</si>
  <si>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</si>
  <si>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</si>
  <si>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</si>
  <si>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</si>
  <si>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</si>
  <si>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</si>
  <si>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</si>
  <si>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</si>
  <si>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</si>
  <si>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</si>
  <si>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</si>
  <si>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</si>
  <si>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</si>
  <si>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</si>
  <si>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</si>
  <si>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</si>
  <si>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</si>
  <si>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</si>
  <si>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</si>
  <si>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</si>
  <si>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</si>
  <si>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</si>
  <si>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</si>
  <si>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</si>
  <si>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</si>
  <si>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</si>
  <si>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</si>
  <si>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</si>
  <si>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</si>
  <si>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</si>
  <si>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</si>
  <si>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</si>
  <si>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</si>
  <si>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</si>
  <si>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</si>
  <si>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</si>
  <si>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</si>
  <si>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</si>
  <si>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</si>
  <si>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</si>
  <si>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</si>
  <si>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</si>
  <si>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</si>
  <si>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</si>
  <si>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</si>
  <si>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</si>
  <si>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</si>
  <si>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</si>
  <si>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</si>
  <si>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</si>
  <si>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</si>
  <si>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</si>
  <si>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</si>
  <si>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</si>
  <si>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</si>
  <si>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</si>
  <si>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</si>
  <si>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</si>
  <si>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</si>
  <si>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</si>
  <si>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</si>
  <si>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</si>
  <si>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</si>
  <si>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</si>
  <si>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</si>
  <si>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</si>
  <si>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</si>
  <si>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</si>
  <si>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</si>
  <si>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</si>
  <si>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</si>
  <si>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</si>
  <si>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</si>
  <si>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</si>
  <si>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</si>
  <si>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</si>
  <si>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</si>
  <si>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</si>
  <si>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</si>
  <si>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</si>
  <si>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</si>
  <si>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</si>
  <si>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</si>
  <si>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</si>
  <si>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</si>
  <si>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</si>
  <si>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</si>
  <si>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</si>
  <si>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</si>
  <si>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</si>
  <si>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</si>
  <si>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</si>
  <si>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</si>
  <si>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</si>
  <si>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</si>
  <si>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</si>
  <si>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</si>
  <si>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</si>
  <si>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</si>
  <si>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</si>
  <si>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</si>
  <si>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</si>
  <si>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</si>
  <si>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</si>
  <si>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</si>
  <si>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</si>
  <si>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</si>
  <si>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</si>
  <si>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MIA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</si>
  <si>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</si>
  <si>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</si>
  <si>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</si>
  <si>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</si>
  <si>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</si>
  <si>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</si>
  <si>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</si>
  <si>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</si>
  <si>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</si>
  <si>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</si>
  <si>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</si>
  <si>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</si>
  <si>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</si>
  <si>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</si>
  <si>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</si>
  <si>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</si>
  <si>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</si>
  <si>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</si>
  <si>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</si>
  <si>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</si>
  <si>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</si>
  <si>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</si>
  <si>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</si>
  <si>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</si>
  <si>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</si>
  <si>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</si>
  <si>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</si>
  <si>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</si>
  <si>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</si>
  <si>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</si>
  <si>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</si>
  <si>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</si>
  <si>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</si>
  <si>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</si>
  <si>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</si>
  <si>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</si>
  <si>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</si>
  <si>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</si>
  <si>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</si>
  <si>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</si>
  <si>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</si>
  <si>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</si>
  <si>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</si>
  <si>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</si>
  <si>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</si>
  <si>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</si>
  <si>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</si>
  <si>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</si>
  <si>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</si>
  <si>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</si>
  <si>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</si>
  <si>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</si>
  <si>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</si>
  <si>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</si>
  <si>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</si>
  <si>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</si>
  <si>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</si>
  <si>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</si>
  <si>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</si>
  <si>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</si>
  <si>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</si>
  <si>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</si>
  <si>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</si>
  <si>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</si>
  <si>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</si>
  <si>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</si>
  <si>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</si>
  <si>
    <t>DSQ</t>
  </si>
  <si>
    <t>Silverstone</t>
  </si>
  <si>
    <t>Apoio:</t>
  </si>
  <si>
    <t>SAU</t>
  </si>
  <si>
    <t>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</si>
</sst>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9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  <font>
      <b/>
      <sz val="10"/>
      <color theme="0"/>
      <name val="Arial"/>
      <family val="2"/>
      <charset val="1"/>
    </font>
    <font>
      <sz val="1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80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  <xf numFmtId="0" fontId="4" fillId="0" borderId="0" xfId="0" applyFont="1" applyFill="1"/>
    <xf numFmtId="0" fontId="37" fillId="5" borderId="14" xfId="0" applyFont="1" applyFill="1" applyBorder="1"/>
    <xf numFmtId="0" fontId="38" fillId="0" borderId="0" xfId="0" applyFont="1"/>
    <xf numFmtId="0" fontId="38" fillId="0" borderId="0" xfId="0" quotePrefix="1" applyFont="1"/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Lance Stroll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100</c:v>
                </c:pt>
                <c:pt idx="6">
                  <c:v>131</c:v>
                </c:pt>
                <c:pt idx="7">
                  <c:v>156</c:v>
                </c:pt>
                <c:pt idx="8">
                  <c:v>156</c:v>
                </c:pt>
                <c:pt idx="9">
                  <c:v>171</c:v>
                </c:pt>
                <c:pt idx="10">
                  <c:v>179</c:v>
                </c:pt>
                <c:pt idx="11">
                  <c:v>179</c:v>
                </c:pt>
                <c:pt idx="12">
                  <c:v>179</c:v>
                </c:pt>
                <c:pt idx="13">
                  <c:v>179</c:v>
                </c:pt>
                <c:pt idx="14">
                  <c:v>179</c:v>
                </c:pt>
                <c:pt idx="15">
                  <c:v>179</c:v>
                </c:pt>
                <c:pt idx="16">
                  <c:v>179</c:v>
                </c:pt>
                <c:pt idx="17">
                  <c:v>179</c:v>
                </c:pt>
                <c:pt idx="18">
                  <c:v>179</c:v>
                </c:pt>
                <c:pt idx="19">
                  <c:v>179</c:v>
                </c:pt>
                <c:pt idx="20">
                  <c:v>179</c:v>
                </c:pt>
                <c:pt idx="21">
                  <c:v>179</c:v>
                </c:pt>
                <c:pt idx="22">
                  <c:v>179</c:v>
                </c:pt>
                <c:pt idx="23">
                  <c:v>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106</c:v>
                </c:pt>
                <c:pt idx="9">
                  <c:v>131</c:v>
                </c:pt>
                <c:pt idx="10">
                  <c:v>154</c:v>
                </c:pt>
                <c:pt idx="11">
                  <c:v>154</c:v>
                </c:pt>
                <c:pt idx="12">
                  <c:v>154</c:v>
                </c:pt>
                <c:pt idx="13">
                  <c:v>154</c:v>
                </c:pt>
                <c:pt idx="14">
                  <c:v>154</c:v>
                </c:pt>
                <c:pt idx="15">
                  <c:v>154</c:v>
                </c:pt>
                <c:pt idx="16">
                  <c:v>154</c:v>
                </c:pt>
                <c:pt idx="17">
                  <c:v>154</c:v>
                </c:pt>
                <c:pt idx="18">
                  <c:v>154</c:v>
                </c:pt>
                <c:pt idx="19">
                  <c:v>154</c:v>
                </c:pt>
                <c:pt idx="20">
                  <c:v>154</c:v>
                </c:pt>
                <c:pt idx="21">
                  <c:v>154</c:v>
                </c:pt>
                <c:pt idx="22">
                  <c:v>154</c:v>
                </c:pt>
                <c:pt idx="23">
                  <c:v>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51</c:v>
                </c:pt>
                <c:pt idx="6">
                  <c:v>72</c:v>
                </c:pt>
                <c:pt idx="7">
                  <c:v>90</c:v>
                </c:pt>
                <c:pt idx="8">
                  <c:v>115</c:v>
                </c:pt>
                <c:pt idx="9">
                  <c:v>125</c:v>
                </c:pt>
                <c:pt idx="10">
                  <c:v>147</c:v>
                </c:pt>
                <c:pt idx="11">
                  <c:v>147</c:v>
                </c:pt>
                <c:pt idx="12">
                  <c:v>147</c:v>
                </c:pt>
                <c:pt idx="13">
                  <c:v>147</c:v>
                </c:pt>
                <c:pt idx="14">
                  <c:v>147</c:v>
                </c:pt>
                <c:pt idx="15">
                  <c:v>147</c:v>
                </c:pt>
                <c:pt idx="16">
                  <c:v>147</c:v>
                </c:pt>
                <c:pt idx="17">
                  <c:v>147</c:v>
                </c:pt>
                <c:pt idx="18">
                  <c:v>147</c:v>
                </c:pt>
                <c:pt idx="19">
                  <c:v>147</c:v>
                </c:pt>
                <c:pt idx="20">
                  <c:v>147</c:v>
                </c:pt>
                <c:pt idx="21">
                  <c:v>147</c:v>
                </c:pt>
                <c:pt idx="22">
                  <c:v>147</c:v>
                </c:pt>
                <c:pt idx="23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59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79</c:v>
                </c:pt>
                <c:pt idx="10">
                  <c:v>108</c:v>
                </c:pt>
                <c:pt idx="11">
                  <c:v>108</c:v>
                </c:pt>
                <c:pt idx="12">
                  <c:v>108</c:v>
                </c:pt>
                <c:pt idx="13">
                  <c:v>108</c:v>
                </c:pt>
                <c:pt idx="14">
                  <c:v>108</c:v>
                </c:pt>
                <c:pt idx="15">
                  <c:v>108</c:v>
                </c:pt>
                <c:pt idx="16">
                  <c:v>108</c:v>
                </c:pt>
                <c:pt idx="17">
                  <c:v>108</c:v>
                </c:pt>
                <c:pt idx="18">
                  <c:v>108</c:v>
                </c:pt>
                <c:pt idx="19">
                  <c:v>108</c:v>
                </c:pt>
                <c:pt idx="20">
                  <c:v>108</c:v>
                </c:pt>
                <c:pt idx="21">
                  <c:v>108</c:v>
                </c:pt>
                <c:pt idx="22">
                  <c:v>108</c:v>
                </c:pt>
                <c:pt idx="23">
                  <c:v>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51</c:v>
                </c:pt>
                <c:pt idx="6">
                  <c:v>58</c:v>
                </c:pt>
                <c:pt idx="7">
                  <c:v>58</c:v>
                </c:pt>
                <c:pt idx="8">
                  <c:v>73</c:v>
                </c:pt>
                <c:pt idx="9">
                  <c:v>79</c:v>
                </c:pt>
                <c:pt idx="10">
                  <c:v>97</c:v>
                </c:pt>
                <c:pt idx="11">
                  <c:v>97</c:v>
                </c:pt>
                <c:pt idx="12">
                  <c:v>97</c:v>
                </c:pt>
                <c:pt idx="13">
                  <c:v>97</c:v>
                </c:pt>
                <c:pt idx="14">
                  <c:v>97</c:v>
                </c:pt>
                <c:pt idx="15">
                  <c:v>97</c:v>
                </c:pt>
                <c:pt idx="16">
                  <c:v>97</c:v>
                </c:pt>
                <c:pt idx="17">
                  <c:v>97</c:v>
                </c:pt>
                <c:pt idx="18">
                  <c:v>97</c:v>
                </c:pt>
                <c:pt idx="19">
                  <c:v>97</c:v>
                </c:pt>
                <c:pt idx="20">
                  <c:v>97</c:v>
                </c:pt>
                <c:pt idx="21">
                  <c:v>97</c:v>
                </c:pt>
                <c:pt idx="22">
                  <c:v>97</c:v>
                </c:pt>
                <c:pt idx="23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43</c:v>
                </c:pt>
                <c:pt idx="6">
                  <c:v>48</c:v>
                </c:pt>
                <c:pt idx="7">
                  <c:v>58</c:v>
                </c:pt>
                <c:pt idx="8">
                  <c:v>68</c:v>
                </c:pt>
                <c:pt idx="9">
                  <c:v>80</c:v>
                </c:pt>
                <c:pt idx="10">
                  <c:v>82</c:v>
                </c:pt>
                <c:pt idx="11">
                  <c:v>82</c:v>
                </c:pt>
                <c:pt idx="12">
                  <c:v>82</c:v>
                </c:pt>
                <c:pt idx="13">
                  <c:v>82</c:v>
                </c:pt>
                <c:pt idx="14">
                  <c:v>82</c:v>
                </c:pt>
                <c:pt idx="15">
                  <c:v>82</c:v>
                </c:pt>
                <c:pt idx="16">
                  <c:v>82</c:v>
                </c:pt>
                <c:pt idx="17">
                  <c:v>82</c:v>
                </c:pt>
                <c:pt idx="18">
                  <c:v>82</c:v>
                </c:pt>
                <c:pt idx="19">
                  <c:v>82</c:v>
                </c:pt>
                <c:pt idx="20">
                  <c:v>82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26</c:v>
                </c:pt>
                <c:pt idx="6">
                  <c:v>43</c:v>
                </c:pt>
                <c:pt idx="7">
                  <c:v>43</c:v>
                </c:pt>
                <c:pt idx="8">
                  <c:v>55</c:v>
                </c:pt>
                <c:pt idx="9">
                  <c:v>73</c:v>
                </c:pt>
                <c:pt idx="10">
                  <c:v>76</c:v>
                </c:pt>
                <c:pt idx="11">
                  <c:v>76</c:v>
                </c:pt>
                <c:pt idx="12">
                  <c:v>76</c:v>
                </c:pt>
                <c:pt idx="13">
                  <c:v>76</c:v>
                </c:pt>
                <c:pt idx="14">
                  <c:v>76</c:v>
                </c:pt>
                <c:pt idx="15">
                  <c:v>76</c:v>
                </c:pt>
                <c:pt idx="16">
                  <c:v>76</c:v>
                </c:pt>
                <c:pt idx="17">
                  <c:v>76</c:v>
                </c:pt>
                <c:pt idx="18">
                  <c:v>76</c:v>
                </c:pt>
                <c:pt idx="19">
                  <c:v>76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14</c:v>
                </c:pt>
                <c:pt idx="7">
                  <c:v>26</c:v>
                </c:pt>
                <c:pt idx="8">
                  <c:v>34</c:v>
                </c:pt>
                <c:pt idx="9">
                  <c:v>42</c:v>
                </c:pt>
                <c:pt idx="10">
                  <c:v>52</c:v>
                </c:pt>
                <c:pt idx="11">
                  <c:v>52</c:v>
                </c:pt>
                <c:pt idx="12">
                  <c:v>52</c:v>
                </c:pt>
                <c:pt idx="13">
                  <c:v>52</c:v>
                </c:pt>
                <c:pt idx="14">
                  <c:v>52</c:v>
                </c:pt>
                <c:pt idx="15">
                  <c:v>52</c:v>
                </c:pt>
                <c:pt idx="16">
                  <c:v>52</c:v>
                </c:pt>
                <c:pt idx="17">
                  <c:v>52</c:v>
                </c:pt>
                <c:pt idx="18">
                  <c:v>52</c:v>
                </c:pt>
                <c:pt idx="19">
                  <c:v>52</c:v>
                </c:pt>
                <c:pt idx="20">
                  <c:v>52</c:v>
                </c:pt>
                <c:pt idx="21">
                  <c:v>52</c:v>
                </c:pt>
                <c:pt idx="22">
                  <c:v>52</c:v>
                </c:pt>
                <c:pt idx="23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20</c:v>
                </c:pt>
                <c:pt idx="7">
                  <c:v>35</c:v>
                </c:pt>
                <c:pt idx="8">
                  <c:v>41</c:v>
                </c:pt>
                <c:pt idx="9">
                  <c:v>41</c:v>
                </c:pt>
                <c:pt idx="10">
                  <c:v>42</c:v>
                </c:pt>
                <c:pt idx="11">
                  <c:v>42</c:v>
                </c:pt>
                <c:pt idx="12">
                  <c:v>42</c:v>
                </c:pt>
                <c:pt idx="13">
                  <c:v>42</c:v>
                </c:pt>
                <c:pt idx="14">
                  <c:v>42</c:v>
                </c:pt>
                <c:pt idx="15">
                  <c:v>42</c:v>
                </c:pt>
                <c:pt idx="16">
                  <c:v>42</c:v>
                </c:pt>
                <c:pt idx="17">
                  <c:v>42</c:v>
                </c:pt>
                <c:pt idx="18">
                  <c:v>42</c:v>
                </c:pt>
                <c:pt idx="19">
                  <c:v>42</c:v>
                </c:pt>
                <c:pt idx="20">
                  <c:v>42</c:v>
                </c:pt>
                <c:pt idx="21">
                  <c:v>42</c:v>
                </c:pt>
                <c:pt idx="22">
                  <c:v>42</c:v>
                </c:pt>
                <c:pt idx="23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16</c:v>
                </c:pt>
                <c:pt idx="7">
                  <c:v>24</c:v>
                </c:pt>
                <c:pt idx="8">
                  <c:v>28</c:v>
                </c:pt>
                <c:pt idx="9">
                  <c:v>30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  <c:pt idx="13">
                  <c:v>39</c:v>
                </c:pt>
                <c:pt idx="14">
                  <c:v>39</c:v>
                </c:pt>
                <c:pt idx="15">
                  <c:v>39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39</c:v>
                </c:pt>
                <c:pt idx="20">
                  <c:v>39</c:v>
                </c:pt>
                <c:pt idx="21">
                  <c:v>39</c:v>
                </c:pt>
                <c:pt idx="22">
                  <c:v>39</c:v>
                </c:pt>
                <c:pt idx="23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11</c:v>
                </c:pt>
                <c:pt idx="8">
                  <c:v>13</c:v>
                </c:pt>
                <c:pt idx="9">
                  <c:v>14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15</c:v>
                </c:pt>
                <c:pt idx="7">
                  <c:v>15</c:v>
                </c:pt>
                <c:pt idx="8">
                  <c:v>16</c:v>
                </c:pt>
                <c:pt idx="9">
                  <c:v>16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Valtteri Bottas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Sergio Perez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180</c:v>
                </c:pt>
                <c:pt idx="6">
                  <c:v>205</c:v>
                </c:pt>
                <c:pt idx="7">
                  <c:v>230</c:v>
                </c:pt>
                <c:pt idx="8">
                  <c:v>248</c:v>
                </c:pt>
                <c:pt idx="9">
                  <c:v>288</c:v>
                </c:pt>
                <c:pt idx="10">
                  <c:v>319</c:v>
                </c:pt>
                <c:pt idx="11">
                  <c:v>319</c:v>
                </c:pt>
                <c:pt idx="12">
                  <c:v>319</c:v>
                </c:pt>
                <c:pt idx="13">
                  <c:v>319</c:v>
                </c:pt>
                <c:pt idx="14">
                  <c:v>319</c:v>
                </c:pt>
                <c:pt idx="15">
                  <c:v>319</c:v>
                </c:pt>
                <c:pt idx="16">
                  <c:v>319</c:v>
                </c:pt>
                <c:pt idx="17">
                  <c:v>319</c:v>
                </c:pt>
                <c:pt idx="18">
                  <c:v>319</c:v>
                </c:pt>
                <c:pt idx="19">
                  <c:v>319</c:v>
                </c:pt>
                <c:pt idx="20">
                  <c:v>319</c:v>
                </c:pt>
                <c:pt idx="21">
                  <c:v>319</c:v>
                </c:pt>
                <c:pt idx="22">
                  <c:v>319</c:v>
                </c:pt>
                <c:pt idx="23">
                  <c:v>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110</c:v>
                </c:pt>
                <c:pt idx="6">
                  <c:v>140</c:v>
                </c:pt>
                <c:pt idx="7">
                  <c:v>158</c:v>
                </c:pt>
                <c:pt idx="8">
                  <c:v>183</c:v>
                </c:pt>
                <c:pt idx="9">
                  <c:v>197</c:v>
                </c:pt>
                <c:pt idx="10">
                  <c:v>248</c:v>
                </c:pt>
                <c:pt idx="11">
                  <c:v>248</c:v>
                </c:pt>
                <c:pt idx="12">
                  <c:v>248</c:v>
                </c:pt>
                <c:pt idx="13">
                  <c:v>248</c:v>
                </c:pt>
                <c:pt idx="14">
                  <c:v>248</c:v>
                </c:pt>
                <c:pt idx="15">
                  <c:v>248</c:v>
                </c:pt>
                <c:pt idx="16">
                  <c:v>248</c:v>
                </c:pt>
                <c:pt idx="17">
                  <c:v>248</c:v>
                </c:pt>
                <c:pt idx="18">
                  <c:v>248</c:v>
                </c:pt>
                <c:pt idx="19">
                  <c:v>248</c:v>
                </c:pt>
                <c:pt idx="20">
                  <c:v>248</c:v>
                </c:pt>
                <c:pt idx="21">
                  <c:v>248</c:v>
                </c:pt>
                <c:pt idx="22">
                  <c:v>248</c:v>
                </c:pt>
                <c:pt idx="23">
                  <c:v>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94</c:v>
                </c:pt>
                <c:pt idx="6">
                  <c:v>94</c:v>
                </c:pt>
                <c:pt idx="7">
                  <c:v>104</c:v>
                </c:pt>
                <c:pt idx="8">
                  <c:v>129</c:v>
                </c:pt>
                <c:pt idx="9">
                  <c:v>147</c:v>
                </c:pt>
                <c:pt idx="10">
                  <c:v>167</c:v>
                </c:pt>
                <c:pt idx="11">
                  <c:v>167</c:v>
                </c:pt>
                <c:pt idx="12">
                  <c:v>167</c:v>
                </c:pt>
                <c:pt idx="13">
                  <c:v>167</c:v>
                </c:pt>
                <c:pt idx="14">
                  <c:v>167</c:v>
                </c:pt>
                <c:pt idx="15">
                  <c:v>167</c:v>
                </c:pt>
                <c:pt idx="16">
                  <c:v>167</c:v>
                </c:pt>
                <c:pt idx="17">
                  <c:v>167</c:v>
                </c:pt>
                <c:pt idx="18">
                  <c:v>167</c:v>
                </c:pt>
                <c:pt idx="19">
                  <c:v>167</c:v>
                </c:pt>
                <c:pt idx="20">
                  <c:v>167</c:v>
                </c:pt>
                <c:pt idx="21">
                  <c:v>167</c:v>
                </c:pt>
                <c:pt idx="22">
                  <c:v>167</c:v>
                </c:pt>
                <c:pt idx="23">
                  <c:v>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30</c:v>
                </c:pt>
                <c:pt idx="6">
                  <c:v>55</c:v>
                </c:pt>
                <c:pt idx="7">
                  <c:v>67</c:v>
                </c:pt>
                <c:pt idx="8">
                  <c:v>87</c:v>
                </c:pt>
                <c:pt idx="9">
                  <c:v>113</c:v>
                </c:pt>
                <c:pt idx="10">
                  <c:v>126</c:v>
                </c:pt>
                <c:pt idx="11">
                  <c:v>126</c:v>
                </c:pt>
                <c:pt idx="12">
                  <c:v>126</c:v>
                </c:pt>
                <c:pt idx="13">
                  <c:v>126</c:v>
                </c:pt>
                <c:pt idx="14">
                  <c:v>126</c:v>
                </c:pt>
                <c:pt idx="15">
                  <c:v>126</c:v>
                </c:pt>
                <c:pt idx="16">
                  <c:v>126</c:v>
                </c:pt>
                <c:pt idx="17">
                  <c:v>126</c:v>
                </c:pt>
                <c:pt idx="18">
                  <c:v>126</c:v>
                </c:pt>
                <c:pt idx="19">
                  <c:v>126</c:v>
                </c:pt>
                <c:pt idx="20">
                  <c:v>126</c:v>
                </c:pt>
                <c:pt idx="21">
                  <c:v>126</c:v>
                </c:pt>
                <c:pt idx="22">
                  <c:v>126</c:v>
                </c:pt>
                <c:pt idx="23">
                  <c:v>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35</c:v>
                </c:pt>
                <c:pt idx="7">
                  <c:v>50</c:v>
                </c:pt>
                <c:pt idx="8">
                  <c:v>57</c:v>
                </c:pt>
                <c:pt idx="9">
                  <c:v>57</c:v>
                </c:pt>
                <c:pt idx="10">
                  <c:v>60</c:v>
                </c:pt>
                <c:pt idx="11">
                  <c:v>60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20</c:v>
                </c:pt>
                <c:pt idx="7">
                  <c:v>34</c:v>
                </c:pt>
                <c:pt idx="8">
                  <c:v>40</c:v>
                </c:pt>
                <c:pt idx="9">
                  <c:v>43</c:v>
                </c:pt>
                <c:pt idx="10">
                  <c:v>58</c:v>
                </c:pt>
                <c:pt idx="11">
                  <c:v>58</c:v>
                </c:pt>
                <c:pt idx="12">
                  <c:v>58</c:v>
                </c:pt>
                <c:pt idx="13">
                  <c:v>58</c:v>
                </c:pt>
                <c:pt idx="14">
                  <c:v>58</c:v>
                </c:pt>
                <c:pt idx="15">
                  <c:v>58</c:v>
                </c:pt>
                <c:pt idx="16">
                  <c:v>58</c:v>
                </c:pt>
                <c:pt idx="17">
                  <c:v>58</c:v>
                </c:pt>
                <c:pt idx="18">
                  <c:v>58</c:v>
                </c:pt>
                <c:pt idx="19">
                  <c:v>58</c:v>
                </c:pt>
                <c:pt idx="20">
                  <c:v>58</c:v>
                </c:pt>
                <c:pt idx="21">
                  <c:v>58</c:v>
                </c:pt>
                <c:pt idx="22">
                  <c:v>58</c:v>
                </c:pt>
                <c:pt idx="23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5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hyperlink" Target="https://beacons.ai/pechincharei" TargetMode="External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3.gif"/><Relationship Id="rId13" Type="http://schemas.openxmlformats.org/officeDocument/2006/relationships/image" Target="../media/image38.gif"/><Relationship Id="rId3" Type="http://schemas.openxmlformats.org/officeDocument/2006/relationships/image" Target="../media/image28.gif"/><Relationship Id="rId7" Type="http://schemas.openxmlformats.org/officeDocument/2006/relationships/image" Target="../media/image32.gif"/><Relationship Id="rId12" Type="http://schemas.openxmlformats.org/officeDocument/2006/relationships/image" Target="../media/image37.gif"/><Relationship Id="rId2" Type="http://schemas.openxmlformats.org/officeDocument/2006/relationships/image" Target="../media/image27.gif"/><Relationship Id="rId16" Type="http://schemas.openxmlformats.org/officeDocument/2006/relationships/image" Target="../media/image41.png"/><Relationship Id="rId1" Type="http://schemas.openxmlformats.org/officeDocument/2006/relationships/image" Target="../media/image26.gif"/><Relationship Id="rId6" Type="http://schemas.openxmlformats.org/officeDocument/2006/relationships/image" Target="../media/image31.gif"/><Relationship Id="rId11" Type="http://schemas.openxmlformats.org/officeDocument/2006/relationships/image" Target="../media/image36.gif"/><Relationship Id="rId5" Type="http://schemas.openxmlformats.org/officeDocument/2006/relationships/image" Target="../media/image30.gif"/><Relationship Id="rId15" Type="http://schemas.openxmlformats.org/officeDocument/2006/relationships/image" Target="../media/image40.gif"/><Relationship Id="rId10" Type="http://schemas.openxmlformats.org/officeDocument/2006/relationships/image" Target="../media/image35.gif"/><Relationship Id="rId4" Type="http://schemas.openxmlformats.org/officeDocument/2006/relationships/image" Target="../media/image29.gif"/><Relationship Id="rId9" Type="http://schemas.openxmlformats.org/officeDocument/2006/relationships/image" Target="../media/image34.gif"/><Relationship Id="rId14" Type="http://schemas.openxmlformats.org/officeDocument/2006/relationships/image" Target="../media/image39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9.png"/><Relationship Id="rId3" Type="http://schemas.openxmlformats.org/officeDocument/2006/relationships/image" Target="../media/image43.png"/><Relationship Id="rId7" Type="http://schemas.openxmlformats.org/officeDocument/2006/relationships/image" Target="../media/image45.png"/><Relationship Id="rId12" Type="http://schemas.openxmlformats.org/officeDocument/2006/relationships/image" Target="../media/image14.png"/><Relationship Id="rId2" Type="http://schemas.openxmlformats.org/officeDocument/2006/relationships/image" Target="../media/image42.png"/><Relationship Id="rId1" Type="http://schemas.openxmlformats.org/officeDocument/2006/relationships/image" Target="../media/image41.png"/><Relationship Id="rId6" Type="http://schemas.openxmlformats.org/officeDocument/2006/relationships/image" Target="../media/image12.png"/><Relationship Id="rId11" Type="http://schemas.openxmlformats.org/officeDocument/2006/relationships/image" Target="../media/image48.png"/><Relationship Id="rId5" Type="http://schemas.openxmlformats.org/officeDocument/2006/relationships/image" Target="../media/image19.png"/><Relationship Id="rId10" Type="http://schemas.openxmlformats.org/officeDocument/2006/relationships/image" Target="../media/image47.png"/><Relationship Id="rId4" Type="http://schemas.openxmlformats.org/officeDocument/2006/relationships/image" Target="../media/image44.png"/><Relationship Id="rId9" Type="http://schemas.openxmlformats.org/officeDocument/2006/relationships/image" Target="../media/image46.png"/><Relationship Id="rId14" Type="http://schemas.openxmlformats.org/officeDocument/2006/relationships/image" Target="../media/image5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  <xdr:twoCellAnchor>
    <xdr:from>
      <xdr:col>20</xdr:col>
      <xdr:colOff>235102</xdr:colOff>
      <xdr:row>30</xdr:row>
      <xdr:rowOff>130750</xdr:rowOff>
    </xdr:from>
    <xdr:to>
      <xdr:col>32</xdr:col>
      <xdr:colOff>86156</xdr:colOff>
      <xdr:row>35</xdr:row>
      <xdr:rowOff>178375</xdr:rowOff>
    </xdr:to>
    <xdr:sp macro="" textlink="">
      <xdr:nvSpPr>
        <xdr:cNvPr id="10" name="CaixaDeTexto 9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A9DEB6F-740E-35C3-1BD9-886D3E31918C}"/>
            </a:ext>
          </a:extLst>
        </xdr:cNvPr>
        <xdr:cNvSpPr txBox="1"/>
      </xdr:nvSpPr>
      <xdr:spPr>
        <a:xfrm>
          <a:off x="8226577" y="5093275"/>
          <a:ext cx="2860954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Rei da Pechincha - Promoções &amp;</a:t>
          </a:r>
          <a:r>
            <a:rPr lang="pt-BR" sz="1100" b="1" baseline="0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 Achadinhos</a:t>
          </a:r>
          <a:endParaRPr lang="pt-BR" sz="1100">
            <a:latin typeface="Albertus MT Lt" panose="020E0502030304020304" pitchFamily="34" charset="0"/>
          </a:endParaRPr>
        </a:p>
      </xdr:txBody>
    </xdr:sp>
    <xdr:clientData/>
  </xdr:twoCellAnchor>
  <xdr:twoCellAnchor editAs="oneCell">
    <xdr:from>
      <xdr:col>32</xdr:col>
      <xdr:colOff>75219</xdr:colOff>
      <xdr:row>31</xdr:row>
      <xdr:rowOff>2381</xdr:rowOff>
    </xdr:from>
    <xdr:to>
      <xdr:col>32</xdr:col>
      <xdr:colOff>254120</xdr:colOff>
      <xdr:row>35</xdr:row>
      <xdr:rowOff>189581</xdr:rowOff>
    </xdr:to>
    <xdr:pic>
      <xdr:nvPicPr>
        <xdr:cNvPr id="11" name="Imagem 10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F7E716D9-DA72-4E5E-B57D-759F2C5B6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76594" y="5126831"/>
          <a:ext cx="178901" cy="1872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31</xdr:row>
      <xdr:rowOff>2381</xdr:rowOff>
    </xdr:from>
    <xdr:to>
      <xdr:col>20</xdr:col>
      <xdr:colOff>178901</xdr:colOff>
      <xdr:row>35</xdr:row>
      <xdr:rowOff>189581</xdr:rowOff>
    </xdr:to>
    <xdr:pic>
      <xdr:nvPicPr>
        <xdr:cNvPr id="12" name="Imagem 11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C9C48445-CA1E-4D11-96B1-57323C52D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91475" y="5126831"/>
          <a:ext cx="178901" cy="187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U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CAN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AUT">
      <calculatedColumnFormula>K2+'Temporada 2026'!S8</calculatedColumnFormula>
    </tableColumn>
    <tableColumn id="13" xr3:uid="{86E93B11-7CEA-4A0F-9886-CD0909288EB5}" name="ING">
      <calculatedColumnFormula>L2+'Temporada 2026'!T8</calculatedColumnFormula>
    </tableColumn>
    <tableColumn id="14" xr3:uid="{E6031934-1362-4C76-BB05-05496730CE2B}" name="BEL">
      <calculatedColumnFormula>M2+'Temporada 2026'!U8</calculatedColumnFormula>
    </tableColumn>
    <tableColumn id="15" xr3:uid="{06622841-2FCD-43F3-ADB1-40A957BA3D05}" name="HUN">
      <calculatedColumnFormula>N2+'Temporada 2026'!V8</calculatedColumnFormula>
    </tableColumn>
    <tableColumn id="16" xr3:uid="{1C0F20CA-6418-43C1-BA61-3A65E32D79C3}" name="HOL">
      <calculatedColumnFormula>O2+'Temporada 2026'!W8</calculatedColumnFormula>
    </tableColumn>
    <tableColumn id="17" xr3:uid="{5F286A06-A37A-48A0-BEFB-BE8D9DB9B89E}" name="MAD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U">
      <calculatedColumnFormula>Tabela2[[#This Row],[BAH]]+'Temporada 2026'!N39</calculatedColumnFormula>
    </tableColumn>
    <tableColumn id="8" xr3:uid="{8DB95D64-D3F5-4EAA-A04A-D63417C9FBCE}" name="MIA">
      <calculatedColumnFormula>Tabela2[[#This Row],[SAU]]+'Temporada 2026'!O39</calculatedColumnFormula>
    </tableColumn>
    <tableColumn id="9" xr3:uid="{8AF3D56E-D6E8-4995-A6D1-328F6BECFB07}" name="CAN">
      <calculatedColumnFormula>Tabela2[[#This Row],[MIA]]+'Temporada 2026'!P39</calculatedColumnFormula>
    </tableColumn>
    <tableColumn id="10" xr3:uid="{AE8A26BD-6A0C-4E55-B90C-991B4CD7AD88}" name="MON">
      <calculatedColumnFormula>Tabela2[[#This Row],[CAN]]+'Temporada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AUT">
      <calculatedColumnFormula>Tabela2[[#This Row],[ESP]]+'Temporada 2026'!S39</calculatedColumnFormula>
    </tableColumn>
    <tableColumn id="13" xr3:uid="{5EF26F33-D9E6-48E9-A041-28973C321A10}" name="ING">
      <calculatedColumnFormula>Tabela2[[#This Row],[AUT]]+'Temporada 2026'!T39</calculatedColumnFormula>
    </tableColumn>
    <tableColumn id="14" xr3:uid="{04D80228-C1B6-4EC3-8E0C-8F51FD86065F}" name="BEL">
      <calculatedColumnFormula>Tabela2[[#This Row],[ING]]+'Temporada 2026'!U39</calculatedColumnFormula>
    </tableColumn>
    <tableColumn id="15" xr3:uid="{F8A35A09-4659-47B8-9D4D-2F8F75990239}" name="HUN">
      <calculatedColumnFormula>Tabela2[[#This Row],[BEL]]+'Temporada 2026'!V39</calculatedColumnFormula>
    </tableColumn>
    <tableColumn id="16" xr3:uid="{2BD2C2DE-8A8A-4A8D-9FAC-1022862A7B7C}" name="HOL">
      <calculatedColumnFormula>Tabela2[[#This Row],[HUN]]+'Temporada 2026'!W39</calculatedColumnFormula>
    </tableColumn>
    <tableColumn id="17" xr3:uid="{57CE9A40-68EF-4BAC-A6E9-DAC5073A71E4}" name="MAD">
      <calculatedColumnFormula>Tabela2[[#This Row],[HOL]]+'Temporada 2026'!X39</calculatedColumnFormula>
    </tableColumn>
    <tableColumn id="18" xr3:uid="{142B04A9-1C9F-4E4E-83C4-8346F2411094}" name="ITA">
      <calculatedColumnFormula>Tabela2[[#This Row],[MAD]]+'Temporada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/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1" t="s">
        <v>274</v>
      </c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2" t="s">
        <v>275</v>
      </c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5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97</v>
      </c>
      <c r="F3" s="7">
        <f>IF(B3&lt;&gt;"",SUMPRODUCT((Resultados!$B$1:$B$602=1)*(Resultados!$C$1:$C$602=B3)*1),"")</f>
        <v>1</v>
      </c>
      <c r="G3" s="7">
        <f>IF(B3&lt;&gt;"",SUMPRODUCT((Resultados!$B$1:$B$602=2)*(Resultados!$C$1:$C$602=B3)*1),"")</f>
        <v>2</v>
      </c>
      <c r="H3" s="7">
        <f>IF(B3&lt;&gt;"",SUMPRODUCT((Resultados!$B$1:$B$602=3)*(Resultados!$C$1:$C$602=B3)*1),"")</f>
        <v>2</v>
      </c>
      <c r="I3" s="7">
        <f>IF(B3&lt;&gt;"",SUMPRODUCT((Resultados!$B$1:$B$602=4)*(Resultados!$C$1:$C$602=B3)*1),"")</f>
        <v>2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1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1</v>
      </c>
      <c r="X3" s="7">
        <f>IF(B3&lt;&gt;"",SUMPRODUCT((Resultados!$B$1:$B$602=19)*(Resultados!$C$1:$C$602=B3)*1),"")</f>
        <v>1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6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82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2</v>
      </c>
      <c r="J4" s="7">
        <f>IF(B4&lt;&gt;"",SUMPRODUCT((Resultados!$B$1:$B$602=5)*(Resultados!$C$1:$C$602=B4)*1),"")</f>
        <v>2</v>
      </c>
      <c r="K4" s="7">
        <f>IF(B4&lt;&gt;"",SUMPRODUCT((Resultados!$B$1:$B$602=6)*(Resultados!$C$1:$C$602=B4)*1),"")</f>
        <v>1</v>
      </c>
      <c r="L4" s="7">
        <f>IF(B4&lt;&gt;"",SUMPRODUCT((Resultados!$B$1:$B$602=7)*(Resultados!$C$1:$C$602=B4)*1),"")</f>
        <v>1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2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0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2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154</v>
      </c>
      <c r="F5" s="7">
        <f>IF(B5&lt;&gt;"",SUMPRODUCT((Resultados!$B$1:$B$602=1)*(Resultados!$C$1:$C$602=B5)*1),"")</f>
        <v>4</v>
      </c>
      <c r="G5" s="7">
        <f>IF(B5&lt;&gt;"",SUMPRODUCT((Resultados!$B$1:$B$602=2)*(Resultados!$C$1:$C$602=B5)*1),"")</f>
        <v>3</v>
      </c>
      <c r="H5" s="7">
        <f>IF(B5&lt;&gt;"",SUMPRODUCT((Resultados!$B$1:$B$602=3)*(Resultados!$C$1:$C$602=B5)*1),"")</f>
        <v>0</v>
      </c>
      <c r="I5" s="7">
        <f>IF(B5&lt;&gt;"",SUMPRODUCT((Resultados!$B$1:$B$602=4)*(Resultados!$C$1:$C$602=B5)*1),"")</f>
        <v>4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0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1</v>
      </c>
      <c r="R5" s="7">
        <f>IF(B5&lt;&gt;"",SUMPRODUCT((Resultados!$B$1:$B$602=13)*(Resultados!$C$1:$C$602=B5)*1),"")</f>
        <v>0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1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0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179</v>
      </c>
      <c r="F6" s="7">
        <f>IF(B6&lt;&gt;"",SUMPRODUCT((Resultados!$B$1:$B$602=1)*(Resultados!$C$1:$C$602=B6)*1),"")</f>
        <v>6</v>
      </c>
      <c r="G6" s="7">
        <f>IF(B6&lt;&gt;"",SUMPRODUCT((Resultados!$B$1:$B$602=2)*(Resultados!$C$1:$C$602=B6)*1),"")</f>
        <v>1</v>
      </c>
      <c r="H6" s="7">
        <f>IF(B6&lt;&gt;"",SUMPRODUCT((Resultados!$B$1:$B$602=3)*(Resultados!$C$1:$C$602=B6)*1),"")</f>
        <v>2</v>
      </c>
      <c r="I6" s="7">
        <f>IF(B6&lt;&gt;"",SUMPRODUCT((Resultados!$B$1:$B$602=4)*(Resultados!$C$1:$C$602=B6)*1),"")</f>
        <v>0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1</v>
      </c>
      <c r="U6" s="7">
        <f>IF(B6&lt;&gt;"",SUMPRODUCT((Resultados!$B$1:$B$602=16)*(Resultados!$C$1:$C$602=B6)*1),"")</f>
        <v>1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7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76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1</v>
      </c>
      <c r="H7" s="7">
        <f>IF(B7&lt;&gt;"",SUMPRODUCT((Resultados!$B$1:$B$602=3)*(Resultados!$C$1:$C$602=B7)*1),"")</f>
        <v>1</v>
      </c>
      <c r="I7" s="7">
        <f>IF(B7&lt;&gt;"",SUMPRODUCT((Resultados!$B$1:$B$602=4)*(Resultados!$C$1:$C$602=B7)*1),"")</f>
        <v>1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2</v>
      </c>
      <c r="L7" s="7">
        <f>IF(B7&lt;&gt;"",SUMPRODUCT((Resultados!$B$1:$B$602=7)*(Resultados!$C$1:$C$602=B7)*1),"")</f>
        <v>1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1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1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8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52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0</v>
      </c>
      <c r="I8" s="7">
        <f>IF(B8&lt;&gt;"",SUMPRODUCT((Resultados!$B$1:$B$602=4)*(Resultados!$C$1:$C$602=B8)*1),"")</f>
        <v>1</v>
      </c>
      <c r="J8" s="7">
        <f>IF(B8&lt;&gt;"",SUMPRODUCT((Resultados!$B$1:$B$602=5)*(Resultados!$C$1:$C$602=B8)*1),"")</f>
        <v>2</v>
      </c>
      <c r="K8" s="7">
        <f>IF(B8&lt;&gt;"",SUMPRODUCT((Resultados!$B$1:$B$602=6)*(Resultados!$C$1:$C$602=B8)*1),"")</f>
        <v>2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2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1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4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108</v>
      </c>
      <c r="F9" s="7">
        <f>IF(B9&lt;&gt;"",SUMPRODUCT((Resultados!$B$1:$B$602=1)*(Resultados!$C$1:$C$602=B9)*1),"")</f>
        <v>1</v>
      </c>
      <c r="G9" s="7">
        <f>IF(B9&lt;&gt;"",SUMPRODUCT((Resultados!$B$1:$B$602=2)*(Resultados!$C$1:$C$602=B9)*1),"")</f>
        <v>1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2</v>
      </c>
      <c r="J9" s="7">
        <f>IF(B9&lt;&gt;"",SUMPRODUCT((Resultados!$B$1:$B$602=5)*(Resultados!$C$1:$C$602=B9)*1),"")</f>
        <v>2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2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1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1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3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147</v>
      </c>
      <c r="F10" s="7">
        <f>IF(B10&lt;&gt;"",SUMPRODUCT((Resultados!$B$1:$B$602=1)*(Resultados!$C$1:$C$602=B10)*1),"")</f>
        <v>1</v>
      </c>
      <c r="G10" s="7">
        <f>IF(B10&lt;&gt;"",SUMPRODUCT((Resultados!$B$1:$B$602=2)*(Resultados!$C$1:$C$602=B10)*1),"")</f>
        <v>3</v>
      </c>
      <c r="H10" s="7">
        <f>IF(B10&lt;&gt;"",SUMPRODUCT((Resultados!$B$1:$B$602=3)*(Resultados!$C$1:$C$602=B10)*1),"")</f>
        <v>3</v>
      </c>
      <c r="I10" s="7">
        <f>IF(B10&lt;&gt;"",SUMPRODUCT((Resultados!$B$1:$B$602=4)*(Resultados!$C$1:$C$602=B10)*1),"")</f>
        <v>1</v>
      </c>
      <c r="J10" s="7">
        <f>IF(B10&lt;&gt;"",SUMPRODUCT((Resultados!$B$1:$B$602=5)*(Resultados!$C$1:$C$602=B10)*1),"")</f>
        <v>1</v>
      </c>
      <c r="K10" s="7">
        <f>IF(B10&lt;&gt;"",SUMPRODUCT((Resultados!$B$1:$B$602=6)*(Resultados!$C$1:$C$602=B10)*1),"")</f>
        <v>3</v>
      </c>
      <c r="L10" s="7">
        <f>IF(B10&lt;&gt;"",SUMPRODUCT((Resultados!$B$1:$B$602=7)*(Resultados!$C$1:$C$602=B10)*1),"")</f>
        <v>1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16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5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1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0</v>
      </c>
      <c r="U11" s="7">
        <f>IF(B11&lt;&gt;"",SUMPRODUCT((Resultados!$B$1:$B$602=16)*(Resultados!$C$1:$C$602=B11)*1),"")</f>
        <v>1</v>
      </c>
      <c r="V11" s="7">
        <f>IF(B11&lt;&gt;"",SUMPRODUCT((Resultados!$B$1:$B$602=17)*(Resultados!$C$1:$C$602=B11)*1),"")</f>
        <v>1</v>
      </c>
      <c r="W11" s="7">
        <f>IF(B11&lt;&gt;"",SUMPRODUCT((Resultados!$B$1:$B$602=18)*(Resultados!$C$1:$C$602=B11)*1),"")</f>
        <v>3</v>
      </c>
      <c r="X11" s="7">
        <f>IF(B11&lt;&gt;"",SUMPRODUCT((Resultados!$B$1:$B$602=19)*(Resultados!$C$1:$C$602=B11)*1),"")</f>
        <v>1</v>
      </c>
      <c r="Y11" s="7">
        <f>IF(B11&lt;&gt;"",SUMPRODUCT((Resultados!$B$1:$B$602=20)*(Resultados!$C$1:$C$602=B11)*1),"")</f>
        <v>1</v>
      </c>
      <c r="Z11" s="7">
        <f>IF(B11&lt;&gt;"",SUMPRODUCT((Resultados!$B$1:$B$602=21)*(Resultados!$C$1:$C$602=B11)*1),"")</f>
        <v>2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15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6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3</v>
      </c>
      <c r="O12" s="7">
        <f>IF(B12&lt;&gt;"",SUMPRODUCT((Resultados!$B$1:$B$602=10)*(Resultados!$C$1:$C$602=B12)*1),"")</f>
        <v>1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2</v>
      </c>
      <c r="R12" s="7">
        <f>IF(B12&lt;&gt;"",SUMPRODUCT((Resultados!$B$1:$B$602=13)*(Resultados!$C$1:$C$602=B12)*1),"")</f>
        <v>1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1</v>
      </c>
      <c r="V12" s="7">
        <f>IF(B12&lt;&gt;"",SUMPRODUCT((Resultados!$B$1:$B$602=17)*(Resultados!$C$1:$C$602=B12)*1),"")</f>
        <v>2</v>
      </c>
      <c r="W12" s="7">
        <f>IF(B12&lt;&gt;"",SUMPRODUCT((Resultados!$B$1:$B$602=18)*(Resultados!$C$1:$C$602=B12)*1),"")</f>
        <v>0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1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1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10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39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0</v>
      </c>
      <c r="K13" s="7">
        <f>IF(B13&lt;&gt;"",SUMPRODUCT((Resultados!$B$1:$B$602=6)*(Resultados!$C$1:$C$602=B13)*1),"")</f>
        <v>2</v>
      </c>
      <c r="L13" s="7">
        <f>IF(B13&lt;&gt;"",SUMPRODUCT((Resultados!$B$1:$B$602=7)*(Resultados!$C$1:$C$602=B13)*1),"")</f>
        <v>3</v>
      </c>
      <c r="M13" s="7">
        <f>IF(B13&lt;&gt;"",SUMPRODUCT((Resultados!$B$1:$B$602=8)*(Resultados!$C$1:$C$602=B13)*1),"")</f>
        <v>2</v>
      </c>
      <c r="N13" s="7">
        <f>IF(B13&lt;&gt;"",SUMPRODUCT((Resultados!$B$1:$B$602=9)*(Resultados!$C$1:$C$602=B13)*1),"")</f>
        <v>2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1</v>
      </c>
      <c r="Q13" s="7">
        <f>IF(B13&lt;&gt;"",SUMPRODUCT((Resultados!$B$1:$B$602=12)*(Resultados!$C$1:$C$602=B13)*1),"")</f>
        <v>0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1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11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20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0</v>
      </c>
      <c r="L14" s="7">
        <f>IF(B14&lt;&gt;"",SUMPRODUCT((Resultados!$B$1:$B$602=7)*(Resultados!$C$1:$C$602=B14)*1),"")</f>
        <v>2</v>
      </c>
      <c r="M14" s="7">
        <f>IF(B14&lt;&gt;"",SUMPRODUCT((Resultados!$B$1:$B$602=8)*(Resultados!$C$1:$C$602=B14)*1),"")</f>
        <v>2</v>
      </c>
      <c r="N14" s="7">
        <f>IF(B14&lt;&gt;"",SUMPRODUCT((Resultados!$B$1:$B$602=9)*(Resultados!$C$1:$C$602=B14)*1),"")</f>
        <v>1</v>
      </c>
      <c r="O14" s="7">
        <f>IF(B14&lt;&gt;"",SUMPRODUCT((Resultados!$B$1:$B$602=10)*(Resultados!$C$1:$C$602=B14)*1),"")</f>
        <v>2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1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2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17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1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2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4</v>
      </c>
      <c r="S15" s="7">
        <f>IF(B15&lt;&gt;"",SUMPRODUCT((Resultados!$B$1:$B$602=14)*(Resultados!$C$1:$C$602=B15)*1),"")</f>
        <v>2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2</v>
      </c>
      <c r="V15" s="7">
        <f>IF(B15&lt;&gt;"",SUMPRODUCT((Resultados!$B$1:$B$602=17)*(Resultados!$C$1:$C$602=B15)*1),"")</f>
        <v>0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0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12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18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1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2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2</v>
      </c>
      <c r="T16" s="7">
        <f>IF(B16&lt;&gt;"",SUMPRODUCT((Resultados!$B$1:$B$602=15)*(Resultados!$C$1:$C$602=B16)*1),"")</f>
        <v>0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1</v>
      </c>
      <c r="W16" s="7">
        <f>IF(B16&lt;&gt;"",SUMPRODUCT((Resultados!$B$1:$B$602=18)*(Resultados!$C$1:$C$602=B16)*1),"")</f>
        <v>1</v>
      </c>
      <c r="X16" s="7">
        <f>IF(B16&lt;&gt;"",SUMPRODUCT((Resultados!$B$1:$B$602=19)*(Resultados!$C$1:$C$602=B16)*1),"")</f>
        <v>0</v>
      </c>
      <c r="Y16" s="7">
        <f>IF(B16&lt;&gt;"",SUMPRODUCT((Resultados!$B$1:$B$602=20)*(Resultados!$C$1:$C$602=B16)*1),"")</f>
        <v>1</v>
      </c>
      <c r="Z16" s="7">
        <f>IF(B16&lt;&gt;"",SUMPRODUCT((Resultados!$B$1:$B$602=21)*(Resultados!$C$1:$C$602=B16)*1),"")</f>
        <v>0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22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0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1</v>
      </c>
      <c r="U17" s="7">
        <f>IF(B17&lt;&gt;"",SUMPRODUCT((Resultados!$B$1:$B$602=16)*(Resultados!$C$1:$C$602=B17)*1),"")</f>
        <v>1</v>
      </c>
      <c r="V17" s="7">
        <f>IF(B17&lt;&gt;"",SUMPRODUCT((Resultados!$B$1:$B$602=17)*(Resultados!$C$1:$C$602=B17)*1),"")</f>
        <v>3</v>
      </c>
      <c r="W17" s="7">
        <f>IF(B17&lt;&gt;"",SUMPRODUCT((Resultados!$B$1:$B$602=18)*(Resultados!$C$1:$C$602=B17)*1),"")</f>
        <v>3</v>
      </c>
      <c r="X17" s="7">
        <f>IF(B17&lt;&gt;"",SUMPRODUCT((Resultados!$B$1:$B$602=19)*(Resultados!$C$1:$C$602=B17)*1),"")</f>
        <v>2</v>
      </c>
      <c r="Y17" s="7">
        <f>IF(B17&lt;&gt;"",SUMPRODUCT((Resultados!$B$1:$B$602=20)*(Resultados!$C$1:$C$602=B17)*1),"")</f>
        <v>0</v>
      </c>
      <c r="Z17" s="7">
        <f>IF(B17&lt;&gt;"",SUMPRODUCT((Resultados!$B$1:$B$602=21)*(Resultados!$C$1:$C$602=B17)*1),"")</f>
        <v>2</v>
      </c>
      <c r="AA17" s="7">
        <f>IF(B17&lt;&gt;"",SUMPRODUCT((Resultados!$B$1:$B$602=22)*(Resultados!$C$1:$C$602=B17)*1),"")</f>
        <v>1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1</v>
      </c>
      <c r="AO17" s="6">
        <f t="shared" si="12"/>
        <v>0</v>
      </c>
      <c r="AP17" s="6">
        <f t="shared" si="13"/>
        <v>1</v>
      </c>
      <c r="AQ17" s="6">
        <f t="shared" si="14"/>
        <v>1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18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1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0</v>
      </c>
      <c r="O18" s="7">
        <f>IF(B18&lt;&gt;"",SUMPRODUCT((Resultados!$B$1:$B$602=10)*(Resultados!$C$1:$C$602=B18)*1),"")</f>
        <v>1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0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2</v>
      </c>
      <c r="W18" s="7">
        <f>IF(B18&lt;&gt;"",SUMPRODUCT((Resultados!$B$1:$B$602=18)*(Resultados!$C$1:$C$602=B18)*1),"")</f>
        <v>4</v>
      </c>
      <c r="X18" s="7">
        <f>IF(B18&lt;&gt;"",SUMPRODUCT((Resultados!$B$1:$B$602=19)*(Resultados!$C$1:$C$602=B18)*1),"")</f>
        <v>1</v>
      </c>
      <c r="Y18" s="7">
        <f>IF(B18&lt;&gt;"",SUMPRODUCT((Resultados!$B$1:$B$602=20)*(Resultados!$C$1:$C$602=B18)*1),"")</f>
        <v>2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1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19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0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0</v>
      </c>
      <c r="N19" s="7">
        <f>IF(B19&lt;&gt;"",SUMPRODUCT((Resultados!$B$1:$B$602=9)*(Resultados!$C$1:$C$602=B19)*1),"")</f>
        <v>0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2</v>
      </c>
      <c r="Q19" s="7">
        <f>IF(B19&lt;&gt;"",SUMPRODUCT((Resultados!$B$1:$B$602=12)*(Resultados!$C$1:$C$602=B19)*1),"")</f>
        <v>2</v>
      </c>
      <c r="R19" s="7">
        <f>IF(B19&lt;&gt;"",SUMPRODUCT((Resultados!$B$1:$B$602=13)*(Resultados!$C$1:$C$602=B19)*1),"")</f>
        <v>1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2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3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2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14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6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1</v>
      </c>
      <c r="N20" s="7">
        <f>IF(B20&lt;&gt;"",SUMPRODUCT((Resultados!$B$1:$B$602=9)*(Resultados!$C$1:$C$602=B20)*1),"")</f>
        <v>1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3</v>
      </c>
      <c r="Q20" s="7">
        <f>IF(B20&lt;&gt;"",SUMPRODUCT((Resultados!$B$1:$B$602=12)*(Resultados!$C$1:$C$602=B20)*1),"")</f>
        <v>2</v>
      </c>
      <c r="R20" s="7">
        <f>IF(B20&lt;&gt;"",SUMPRODUCT((Resultados!$B$1:$B$602=13)*(Resultados!$C$1:$C$602=B20)*1),"")</f>
        <v>4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9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42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1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2</v>
      </c>
      <c r="M21" s="7">
        <f>IF(B21&lt;&gt;"",SUMPRODUCT((Resultados!$B$1:$B$602=8)*(Resultados!$C$1:$C$602=B21)*1),"")</f>
        <v>2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2</v>
      </c>
      <c r="P21" s="7">
        <f>IF(B21&lt;&gt;"",SUMPRODUCT((Resultados!$B$1:$B$602=11)*(Resultados!$C$1:$C$602=B21)*1),"")</f>
        <v>2</v>
      </c>
      <c r="Q21" s="7">
        <f>IF(B21&lt;&gt;"",SUMPRODUCT((Resultados!$B$1:$B$602=12)*(Resultados!$C$1:$C$602=B21)*1),"")</f>
        <v>0</v>
      </c>
      <c r="R21" s="7">
        <f>IF(B21&lt;&gt;"",SUMPRODUCT((Resultados!$B$1:$B$602=13)*(Resultados!$C$1:$C$602=B21)*1),"")</f>
        <v>1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1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13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18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1</v>
      </c>
      <c r="L22" s="7">
        <f>IF(B22&lt;&gt;"",SUMPRODUCT((Resultados!$B$1:$B$602=7)*(Resultados!$C$1:$C$602=B22)*1),"")</f>
        <v>1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2</v>
      </c>
      <c r="O22" s="7">
        <f>IF(B22&lt;&gt;"",SUMPRODUCT((Resultados!$B$1:$B$602=10)*(Resultados!$C$1:$C$602=B22)*1),"")</f>
        <v>3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1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3</v>
      </c>
      <c r="T22" s="7">
        <f>IF(B22&lt;&gt;"",SUMPRODUCT((Resultados!$B$1:$B$602=15)*(Resultados!$C$1:$C$602=B22)*1),"")</f>
        <v>1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1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21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3</v>
      </c>
      <c r="T23" s="7">
        <f>IF(B23&lt;&gt;"",SUMPRODUCT((Resultados!$B$1:$B$602=15)*(Resultados!$C$1:$C$602=B23)*1),"")</f>
        <v>2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2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1</v>
      </c>
      <c r="AA23" s="7">
        <f>IF(B23&lt;&gt;"",SUMPRODUCT((Resultados!$B$1:$B$602=22)*(Resultados!$C$1:$C$602=B23)*1),"")</f>
        <v>1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1</v>
      </c>
      <c r="AO23" s="6">
        <f t="shared" si="12"/>
        <v>0</v>
      </c>
      <c r="AP23" s="6">
        <f t="shared" si="13"/>
        <v>1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20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2</v>
      </c>
      <c r="V24" s="7">
        <f>IF(B24&lt;&gt;"",SUMPRODUCT((Resultados!$B$1:$B$602=17)*(Resultados!$C$1:$C$602=B24)*1),"")</f>
        <v>1</v>
      </c>
      <c r="W24" s="7">
        <f>IF(B24&lt;&gt;"",SUMPRODUCT((Resultados!$B$1:$B$602=18)*(Resultados!$C$1:$C$602=B24)*1),"")</f>
        <v>1</v>
      </c>
      <c r="X24" s="7">
        <f>IF(B24&lt;&gt;"",SUMPRODUCT((Resultados!$B$1:$B$602=19)*(Resultados!$C$1:$C$602=B24)*1),"")</f>
        <v>4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3</v>
      </c>
      <c r="AA24" s="7">
        <f>IF(B24&lt;&gt;"",SUMPRODUCT((Resultados!$B$1:$B$602=22)*(Resultados!$C$1:$C$602=B24)*1),"")</f>
        <v>1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1</v>
      </c>
      <c r="AO24" s="6">
        <f t="shared" si="12"/>
        <v>0</v>
      </c>
      <c r="AP24" s="6">
        <f t="shared" si="13"/>
        <v>0</v>
      </c>
      <c r="AQ24" s="6">
        <f t="shared" si="14"/>
        <v>0</v>
      </c>
      <c r="AR24" s="6">
        <f t="shared" si="15"/>
        <v>0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IF(B25&lt;&gt;"",SUMPRODUCT((Resultados!$B$1:$B$602=1)*(Resultados!$C$1:$C$602=B25)*1),"")</f>
        <v/>
      </c>
      <c r="G25" s="7" t="str">
        <f>IF(B25&lt;&gt;"",SUMPRODUCT((Resultados!$B$1:$B$602=2)*(Resultados!$C$1:$C$602=B25)*1),"")</f>
        <v/>
      </c>
      <c r="H25" s="7" t="str">
        <f>IF(B25&lt;&gt;"",SUMPRODUCT((Resultados!$B$1:$B$602=3)*(Resultados!$C$1:$C$602=B25)*1),"")</f>
        <v/>
      </c>
      <c r="I25" s="7" t="str">
        <f>IF(B25&lt;&gt;"",SUMPRODUCT((Resultados!$B$1:$B$602=4)*(Resultados!$C$1:$C$602=B25)*1),"")</f>
        <v/>
      </c>
      <c r="J25" s="7" t="str">
        <f>IF(B25&lt;&gt;"",SUMPRODUCT((Resultados!$B$1:$B$602=5)*(Resultados!$C$1:$C$602=B25)*1),"")</f>
        <v/>
      </c>
      <c r="K25" s="7" t="str">
        <f>IF(B25&lt;&gt;"",SUMPRODUCT((Resultados!$B$1:$B$602=6)*(Resultados!$C$1:$C$602=B25)*1),"")</f>
        <v/>
      </c>
      <c r="L25" s="7" t="str">
        <f>IF(B25&lt;&gt;"",SUMPRODUCT((Resultados!$B$1:$B$602=7)*(Resultados!$C$1:$C$602=B25)*1),"")</f>
        <v/>
      </c>
      <c r="M25" s="7" t="str">
        <f>IF(B25&lt;&gt;"",SUMPRODUCT((Resultados!$B$1:$B$602=8)*(Resultados!$C$1:$C$602=B25)*1),"")</f>
        <v/>
      </c>
      <c r="N25" s="7" t="str">
        <f>IF(B25&lt;&gt;"",SUMPRODUCT((Resultados!$B$1:$B$602=9)*(Resultados!$C$1:$C$602=B25)*1),"")</f>
        <v/>
      </c>
      <c r="O25" s="7" t="str">
        <f>IF(B25&lt;&gt;"",SUMPRODUCT((Resultados!$B$1:$B$602=10)*(Resultados!$C$1:$C$602=B25)*1),"")</f>
        <v/>
      </c>
      <c r="P25" s="7" t="str">
        <f>IF(B25&lt;&gt;"",SUMPRODUCT((Resultados!$B$1:$B$602=11)*(Resultados!$C$1:$C$602=B25)*1),"")</f>
        <v/>
      </c>
      <c r="Q25" s="7" t="str">
        <f>IF(B25&lt;&gt;"",SUMPRODUCT((Resultados!$B$1:$B$602=12)*(Resultados!$C$1:$C$602=B25)*1),"")</f>
        <v/>
      </c>
      <c r="R25" s="7" t="str">
        <f>IF(B25&lt;&gt;"",SUMPRODUCT((Resultados!$B$1:$B$602=13)*(Resultados!$C$1:$C$602=B25)*1),"")</f>
        <v/>
      </c>
      <c r="S25" s="7" t="str">
        <f>IF(B25&lt;&gt;"",SUMPRODUCT((Resultados!$B$1:$B$602=14)*(Resultados!$C$1:$C$602=B25)*1),"")</f>
        <v/>
      </c>
      <c r="T25" s="7" t="str">
        <f>IF(B25&lt;&gt;"",SUMPRODUCT((Resultados!$B$1:$B$602=15)*(Resultados!$C$1:$C$602=B25)*1),"")</f>
        <v/>
      </c>
      <c r="U25" s="7" t="str">
        <f>IF(B25&lt;&gt;"",SUMPRODUCT((Resultados!$B$1:$B$602=16)*(Resultados!$C$1:$C$602=B25)*1),"")</f>
        <v/>
      </c>
      <c r="V25" s="7" t="str">
        <f>IF(B25&lt;&gt;"",SUMPRODUCT((Resultados!$B$1:$B$602=17)*(Resultados!$C$1:$C$602=B25)*1),"")</f>
        <v/>
      </c>
      <c r="W25" s="7" t="str">
        <f>IF(B25&lt;&gt;"",SUMPRODUCT((Resultados!$B$1:$B$602=18)*(Resultados!$C$1:$C$602=B25)*1),"")</f>
        <v/>
      </c>
      <c r="X25" s="7" t="str">
        <f>IF(B25&lt;&gt;"",SUMPRODUCT((Resultados!$B$1:$B$602=19)*(Resultados!$C$1:$C$602=B25)*1),"")</f>
        <v/>
      </c>
      <c r="Y25" s="7" t="str">
        <f>IF(B25&lt;&gt;"",SUMPRODUCT((Resultados!$B$1:$B$602=20)*(Resultados!$C$1:$C$602=B25)*1),"")</f>
        <v/>
      </c>
      <c r="Z25" s="7" t="str">
        <f>IF(B25&lt;&gt;"",SUMPRODUCT((Resultados!$B$1:$B$602=21)*(Resultados!$C$1:$C$602=B25)*1),"")</f>
        <v/>
      </c>
      <c r="AA25" s="7" t="str">
        <f>IF(B25&lt;&gt;"",SUMPRODUCT((Resultados!$B$1:$B$602=22)*(Resultados!$C$1:$C$602=B25)*1),"")</f>
        <v/>
      </c>
      <c r="AB25" s="7" t="str">
        <f>IF(B25&lt;&gt;"",SUMPRODUCT((Resultados!$B$1:$B$602=23)*(Resultados!$C$1:$C$602=B25)*1),"")</f>
        <v/>
      </c>
      <c r="AC25" s="7" t="str">
        <f>IF(B25&lt;&gt;"",SUMPRODUCT((Resultados!$B$1:$B$602=24)*(Resultados!$C$1:$C$602=B25)*1),"")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179</v>
      </c>
      <c r="F35" s="7">
        <f>IF(B35&lt;&gt;"",SUMPRODUCT((Resultados!$B$1:$B$602=1)*(Resultados!$E$1:$E$602=B35)*1),"")</f>
        <v>1</v>
      </c>
      <c r="G35" s="7">
        <f>IF(B35&lt;&gt;"",SUMPRODUCT((Resultados!$B$1:$B$602=2)*(Resultados!$E$1:$E$602=B35)*1),"")</f>
        <v>4</v>
      </c>
      <c r="H35" s="7">
        <f>IF(B35&lt;&gt;"",SUMPRODUCT((Resultados!$B$1:$B$602=3)*(Resultados!$E$1:$E$602=B35)*1),"")</f>
        <v>3</v>
      </c>
      <c r="I35" s="7">
        <f>IF(B35&lt;&gt;"",SUMPRODUCT((Resultados!$B$1:$B$602=4)*(Resultados!$E$1:$E$602=B35)*1),"")</f>
        <v>4</v>
      </c>
      <c r="J35" s="7">
        <f>IF(B35&lt;&gt;"",SUMPRODUCT((Resultados!$B$1:$B$602=5)*(Resultados!$E$1:$E$602=B35)*1),"")</f>
        <v>4</v>
      </c>
      <c r="K35" s="7">
        <f>IF(B35&lt;&gt;"",SUMPRODUCT((Resultados!$B$1:$B$602=6)*(Resultados!$E$1:$E$602=B35)*1),"")</f>
        <v>1</v>
      </c>
      <c r="L35" s="7">
        <f>IF(B35&lt;&gt;"",SUMPRODUCT((Resultados!$B$1:$B$602=7)*(Resultados!$E$1:$E$602=B35)*1),"")</f>
        <v>2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2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0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1</v>
      </c>
      <c r="X35" s="7">
        <f>IF(B35&lt;&gt;"",SUMPRODUCT((Resultados!$B$1:$B$602=19)*(Resultados!$E$1:$E$602=B35)*1),"")</f>
        <v>2</v>
      </c>
      <c r="Y35" s="7">
        <f>IF(B35&lt;&gt;"",SUMPRODUCT((Resultados!$B$1:$B$602=20)*(Resultados!$E$1:$E$602=B35)*1),"")</f>
        <v>1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333</v>
      </c>
      <c r="F36" s="7">
        <f>IF(B36&lt;&gt;"",SUMPRODUCT((Resultados!$B$1:$B$602=1)*(Resultados!$E$1:$E$602=B36)*1),"")</f>
        <v>10</v>
      </c>
      <c r="G36" s="7">
        <f>IF(B36&lt;&gt;"",SUMPRODUCT((Resultados!$B$1:$B$602=2)*(Resultados!$E$1:$E$602=B36)*1),"")</f>
        <v>4</v>
      </c>
      <c r="H36" s="7">
        <f>IF(B36&lt;&gt;"",SUMPRODUCT((Resultados!$B$1:$B$602=3)*(Resultados!$E$1:$E$602=B36)*1),"")</f>
        <v>2</v>
      </c>
      <c r="I36" s="7">
        <f>IF(B36&lt;&gt;"",SUMPRODUCT((Resultados!$B$1:$B$602=4)*(Resultados!$E$1:$E$602=B36)*1),"")</f>
        <v>4</v>
      </c>
      <c r="J36" s="7">
        <f>IF(B36&lt;&gt;"",SUMPRODUCT((Resultados!$B$1:$B$602=5)*(Resultados!$E$1:$E$602=B36)*1),"")</f>
        <v>1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0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1</v>
      </c>
      <c r="R36" s="7">
        <f>IF(B36&lt;&gt;"",SUMPRODUCT((Resultados!$B$1:$B$602=13)*(Resultados!$E$1:$ED$602=B36)*1),"")</f>
        <v>0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1</v>
      </c>
      <c r="U36" s="7">
        <f>IF(B36&lt;&gt;"",SUMPRODUCT((Resultados!$B$1:$B$602=16)*(Resultados!$E$1:$E$602=B36)*1),"")</f>
        <v>1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1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0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</f>
        <v>128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1</v>
      </c>
      <c r="H37" s="7">
        <f>IF(B37&lt;&gt;"",SUMPRODUCT((Resultados!$B$1:$B$602=3)*(Resultados!$E$1:$E$602=B37)*1),"")</f>
        <v>1</v>
      </c>
      <c r="I37" s="7">
        <f>IF(B37&lt;&gt;"",SUMPRODUCT((Resultados!$B$1:$B$602=4)*(Resultados!$E$1:$E$602=B37)*1),"")</f>
        <v>2</v>
      </c>
      <c r="J37" s="7">
        <f>IF(B37&lt;&gt;"",SUMPRODUCT((Resultados!$B$1:$B$602=5)*(Resultados!$E$1:$E$602=B37)*1),"")</f>
        <v>4</v>
      </c>
      <c r="K37" s="7">
        <f>IF(B37&lt;&gt;"",SUMPRODUCT((Resultados!$B$1:$B$602=6)*(Resultados!$E$1:$E$602=B37)*1),"")</f>
        <v>4</v>
      </c>
      <c r="L37" s="7">
        <f>IF(B37&lt;&gt;"",SUMPRODUCT((Resultados!$B$1:$B$602=7)*(Resultados!$E$1:$E$602=B37)*1),"")</f>
        <v>1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3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2</v>
      </c>
      <c r="Z37" s="7">
        <f>IF(B37&lt;&gt;"",SUMPRODUCT((Resultados!$B$1:$B$602=21)*(Resultados!$E$1:$E$602=B37)*1),"")</f>
        <v>1</v>
      </c>
      <c r="AA37" s="7">
        <f>IF(B37&lt;&gt;"",SUMPRODUCT((Resultados!$B$1:$B$602=22)*(Resultados!$E$1:$E$602=B37)*1),"")</f>
        <v>2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255</v>
      </c>
      <c r="F38" s="7">
        <f>IF(B38&lt;&gt;"",SUMPRODUCT((Resultados!$B$1:$B$602=1)*(Resultados!$E$1:$E$602=B38)*1),"")</f>
        <v>2</v>
      </c>
      <c r="G38" s="7">
        <f>IF(B38&lt;&gt;"",SUMPRODUCT((Resultados!$B$1:$B$602=2)*(Resultados!$E$1:$E$602=B38)*1),"")</f>
        <v>4</v>
      </c>
      <c r="H38" s="7">
        <f>IF(B38&lt;&gt;"",SUMPRODUCT((Resultados!$B$1:$B$602=3)*(Resultados!$E$1:$E$602=B38)*1),"")</f>
        <v>6</v>
      </c>
      <c r="I38" s="7">
        <f>IF(B38&lt;&gt;"",SUMPRODUCT((Resultados!$B$1:$B$602=4)*(Resultados!$E$1:$E$602=B38)*1),"")</f>
        <v>3</v>
      </c>
      <c r="J38" s="7">
        <f>IF(B38&lt;&gt;"",SUMPRODUCT((Resultados!$B$1:$B$602=5)*(Resultados!$E$1:$E$602=B38)*1),"")</f>
        <v>3</v>
      </c>
      <c r="K38" s="7">
        <f>IF(B38&lt;&gt;"",SUMPRODUCT((Resultados!$B$1:$B$602=6)*(Resultados!$E$1:$E$602=B38)*1),"")</f>
        <v>3</v>
      </c>
      <c r="L38" s="7">
        <f>IF(B38&lt;&gt;"",SUMPRODUCT((Resultados!$B$1:$B$602=7)*(Resultados!$E$1:$E$602=B38)*1),"")</f>
        <v>1</v>
      </c>
      <c r="M38" s="7">
        <f>IF(B38&lt;&gt;"",SUMPRODUCT((Resultados!$B$1:$B$602=8)*(Resultados!$E$1:$E$602=B38)*1),"")</f>
        <v>2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0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1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1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8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11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1</v>
      </c>
      <c r="N39" s="7">
        <f>IF(B39&lt;&gt;"",SUMPRODUCT((Resultados!$B$1:$B$602=9)*(Resultados!$E$1:$E$602=B39)*1),"")</f>
        <v>3</v>
      </c>
      <c r="O39" s="7">
        <f>IF(B39&lt;&gt;"",SUMPRODUCT((Resultados!$B$1:$B$602=10)*(Resultados!$E$1:$E$602=B39)*1),"")</f>
        <v>2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3</v>
      </c>
      <c r="R39" s="7">
        <f>IF(B39&lt;&gt;"",SUMPRODUCT((Resultados!$B$1:$B$602=13)*(Resultados!$E$1:$ED$602=B39)*1),"")</f>
        <v>1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2</v>
      </c>
      <c r="U39" s="7">
        <f>IF(B39&lt;&gt;"",SUMPRODUCT((Resultados!$B$1:$B$602=16)*(Resultados!$E$1:$E$602=B39)*1),"")</f>
        <v>2</v>
      </c>
      <c r="V39" s="7">
        <f>IF(B39&lt;&gt;"",SUMPRODUCT((Resultados!$B$1:$B$602=17)*(Resultados!$E$1:$E$602=B39)*1),"")</f>
        <v>3</v>
      </c>
      <c r="W39" s="7">
        <f>IF(B39&lt;&gt;"",SUMPRODUCT((Resultados!$B$1:$B$602=18)*(Resultados!$E$1:$E$602=B39)*1),"")</f>
        <v>3</v>
      </c>
      <c r="X39" s="7">
        <f>IF(B39&lt;&gt;"",SUMPRODUCT((Resultados!$B$1:$B$602=19)*(Resultados!$E$1:$E$602=B39)*1),"")</f>
        <v>1</v>
      </c>
      <c r="Y39" s="7">
        <f>IF(B39&lt;&gt;"",SUMPRODUCT((Resultados!$B$1:$B$602=20)*(Resultados!$E$1:$E$602=B39)*1),"")</f>
        <v>2</v>
      </c>
      <c r="Z39" s="7">
        <f>IF(B39&lt;&gt;"",SUMPRODUCT((Resultados!$B$1:$B$602=21)*(Resultados!$E$1:$E$602=B39)*1),"")</f>
        <v>2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6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</f>
        <v>59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0</v>
      </c>
      <c r="K40" s="7">
        <f>IF(B40&lt;&gt;"",SUMPRODUCT((Resultados!$B$1:$B$602=6)*(Resultados!$E$1:$E$602=B40)*1),"")</f>
        <v>2</v>
      </c>
      <c r="L40" s="7">
        <f>IF(B40&lt;&gt;"",SUMPRODUCT((Resultados!$B$1:$B$602=7)*(Resultados!$E$1:$E$602=B40)*1),"")</f>
        <v>5</v>
      </c>
      <c r="M40" s="7">
        <f>IF(B40&lt;&gt;"",SUMPRODUCT((Resultados!$B$1:$B$602=8)*(Resultados!$E$1:$E$602=B40)*1),"")</f>
        <v>4</v>
      </c>
      <c r="N40" s="7">
        <f>IF(B40&lt;&gt;"",SUMPRODUCT((Resultados!$B$1:$B$602=9)*(Resultados!$E$1:$E$602=B40)*1),"")</f>
        <v>3</v>
      </c>
      <c r="O40" s="7">
        <f>IF(B40&lt;&gt;"",SUMPRODUCT((Resultados!$B$1:$B$602=10)*(Resultados!$E$1:$E$602=B40)*1),"")</f>
        <v>2</v>
      </c>
      <c r="P40" s="7">
        <f>IF(B40&lt;&gt;"",SUMPRODUCT((Resultados!$B$1:$B$602=11)*(Resultados!$E$1:$E$602=B40)*1),"")</f>
        <v>1</v>
      </c>
      <c r="Q40" s="7">
        <f>IF(B40&lt;&gt;"",SUMPRODUCT((Resultados!$B$1:$B$602=12)*(Resultados!$E$1:$E$602=B40)*1),"")</f>
        <v>1</v>
      </c>
      <c r="R40" s="7">
        <f>IF(B40&lt;&gt;"",SUMPRODUCT((Resultados!$B$1:$B$602=13)*(Resultados!$E$1:$ED$602=B40)*1),"")</f>
        <v>1</v>
      </c>
      <c r="S40" s="7">
        <f>IF(B40&lt;&gt;"",SUMPRODUCT((Resultados!$B$1:$B$602=14)*(Resultados!$E$1:$E$602=B40)*1),"")</f>
        <v>3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2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21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1</v>
      </c>
      <c r="O41" s="7">
        <f>IF(B41&lt;&gt;"",SUMPRODUCT((Resultados!$B$1:$B$602=10)*(Resultados!$E$1:$E$602=B41)*1),"")</f>
        <v>3</v>
      </c>
      <c r="P41" s="7">
        <f>IF(B41&lt;&gt;"",SUMPRODUCT((Resultados!$B$1:$B$602=11)*(Resultados!$E$1:$E$602=B41)*1),"")</f>
        <v>3</v>
      </c>
      <c r="Q41" s="7">
        <f>IF(B41&lt;&gt;"",SUMPRODUCT((Resultados!$B$1:$B$602=12)*(Resultados!$E$1:$E$602=B41)*1),"")</f>
        <v>2</v>
      </c>
      <c r="R41" s="7">
        <f>IF(B41&lt;&gt;"",SUMPRODUCT((Resultados!$B$1:$B$602=13)*(Resultados!$E$1:$ED$602=B41)*1),"")</f>
        <v>4</v>
      </c>
      <c r="S41" s="7">
        <f>IF(B41&lt;&gt;"",SUMPRODUCT((Resultados!$B$1:$B$602=14)*(Resultados!$E$1:$E$602=B41)*1),"")</f>
        <v>4</v>
      </c>
      <c r="T41" s="7">
        <f>IF(B41&lt;&gt;"",SUMPRODUCT((Resultados!$B$1:$B$602=15)*(Resultados!$E$1:$E$602=B41)*1),"")</f>
        <v>0</v>
      </c>
      <c r="U41" s="7">
        <f>IF(B41&lt;&gt;"",SUMPRODUCT((Resultados!$B$1:$B$602=16)*(Resultados!$E$1:$E$602=B41)*1),"")</f>
        <v>2</v>
      </c>
      <c r="V41" s="7">
        <f>IF(B41&lt;&gt;"",SUMPRODUCT((Resultados!$B$1:$B$602=17)*(Resultados!$E$1:$E$602=B41)*1),"")</f>
        <v>1</v>
      </c>
      <c r="W41" s="7">
        <f>IF(B41&lt;&gt;"",SUMPRODUCT((Resultados!$B$1:$B$602=18)*(Resultados!$E$1:$E$602=B41)*1),"")</f>
        <v>1</v>
      </c>
      <c r="X41" s="7">
        <f>IF(B41&lt;&gt;"",SUMPRODUCT((Resultados!$B$1:$B$602=19)*(Resultados!$E$1:$E$602=B41)*1),"")</f>
        <v>0</v>
      </c>
      <c r="Y41" s="7">
        <f>IF(B41&lt;&gt;"",SUMPRODUCT((Resultados!$B$1:$B$602=20)*(Resultados!$E$1:$E$602=B41)*1),"")</f>
        <v>1</v>
      </c>
      <c r="Z41" s="7">
        <f>IF(B41&lt;&gt;"",SUMPRODUCT((Resultados!$B$1:$B$602=21)*(Resultados!$E$1:$E$602=B41)*1),"")</f>
        <v>0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10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1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0</v>
      </c>
      <c r="O42" s="7">
        <f>IF(B42&lt;&gt;"",SUMPRODUCT((Resultados!$B$1:$B$602=10)*(Resultados!$E$1:$E$602=B42)*1),"")</f>
        <v>1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0</v>
      </c>
      <c r="S42" s="7">
        <f>IF(B42&lt;&gt;"",SUMPRODUCT((Resultados!$B$1:$B$602=14)*(Resultados!$E$1:$E$602=B42)*1),"")</f>
        <v>0</v>
      </c>
      <c r="T42" s="7">
        <f>IF(B42&lt;&gt;"",SUMPRODUCT((Resultados!$B$1:$B$602=15)*(Resultados!$E$1:$E$602=B42)*1),"")</f>
        <v>3</v>
      </c>
      <c r="U42" s="7">
        <f>IF(B42&lt;&gt;"",SUMPRODUCT((Resultados!$B$1:$B$602=16)*(Resultados!$E$1:$E$602=B42)*1),"")</f>
        <v>1</v>
      </c>
      <c r="V42" s="7">
        <f>IF(B42&lt;&gt;"",SUMPRODUCT((Resultados!$B$1:$B$602=17)*(Resultados!$E$1:$E$602=B42)*1),"")</f>
        <v>5</v>
      </c>
      <c r="W42" s="7">
        <f>IF(B42&lt;&gt;"",SUMPRODUCT((Resultados!$B$1:$B$602=18)*(Resultados!$E$1:$E$602=B42)*1),"")</f>
        <v>7</v>
      </c>
      <c r="X42" s="7">
        <f>IF(B42&lt;&gt;"",SUMPRODUCT((Resultados!$B$1:$B$602=19)*(Resultados!$E$1:$E$602=B42)*1),"")</f>
        <v>3</v>
      </c>
      <c r="Y42" s="7">
        <f>IF(B42&lt;&gt;"",SUMPRODUCT((Resultados!$B$1:$B$602=20)*(Resultados!$E$1:$E$602=B42)*1),"")</f>
        <v>2</v>
      </c>
      <c r="Z42" s="7">
        <f>IF(B42&lt;&gt;"",SUMPRODUCT((Resultados!$B$1:$B$602=21)*(Resultados!$E$1:$E$602=B42)*1),"")</f>
        <v>2</v>
      </c>
      <c r="AA42" s="7">
        <f>IF(B42&lt;&gt;"",SUMPRODUCT((Resultados!$B$1:$B$602=22)*(Resultados!$E$1:$E$602=B42)*1),"")</f>
        <v>2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9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6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1</v>
      </c>
      <c r="N43" s="7">
        <f>IF(B43&lt;&gt;"",SUMPRODUCT((Resultados!$B$1:$B$602=9)*(Resultados!$E$1:$E$602=B43)*1),"")</f>
        <v>1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5</v>
      </c>
      <c r="Q43" s="7">
        <f>IF(B43&lt;&gt;"",SUMPRODUCT((Resultados!$B$1:$B$602=12)*(Resultados!$E$1:$E$602=B43)*1),"")</f>
        <v>4</v>
      </c>
      <c r="R43" s="7">
        <f>IF(B43&lt;&gt;"",SUMPRODUCT((Resultados!$B$1:$B$602=13)*(Resultados!$E$1:$ED$602=B43)*1),"")</f>
        <v>5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2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3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3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5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60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1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2</v>
      </c>
      <c r="L44" s="7">
        <f>IF(B44&lt;&gt;"",SUMPRODUCT((Resultados!$B$1:$B$602=7)*(Resultados!$E$1:$E$602=B44)*1),"")</f>
        <v>3</v>
      </c>
      <c r="M44" s="7">
        <f>IF(B44&lt;&gt;"",SUMPRODUCT((Resultados!$B$1:$B$602=8)*(Resultados!$E$1:$E$602=B44)*1),"")</f>
        <v>2</v>
      </c>
      <c r="N44" s="7">
        <f>IF(B44&lt;&gt;"",SUMPRODUCT((Resultados!$B$1:$B$602=9)*(Resultados!$E$1:$E$602=B44)*1),"")</f>
        <v>2</v>
      </c>
      <c r="O44" s="7">
        <f>IF(B44&lt;&gt;"",SUMPRODUCT((Resultados!$B$1:$B$602=10)*(Resultados!$E$1:$E$602=B44)*1),"")</f>
        <v>5</v>
      </c>
      <c r="P44" s="7">
        <f>IF(B44&lt;&gt;"",SUMPRODUCT((Resultados!$B$1:$B$602=11)*(Resultados!$E$1:$E$602=B44)*1),"")</f>
        <v>2</v>
      </c>
      <c r="Q44" s="7">
        <f>IF(B44&lt;&gt;"",SUMPRODUCT((Resultados!$B$1:$B$602=12)*(Resultados!$E$1:$E$602=B44)*1),"")</f>
        <v>1</v>
      </c>
      <c r="R44" s="7">
        <f>IF(B44&lt;&gt;"",SUMPRODUCT((Resultados!$B$1:$B$602=13)*(Resultados!$E$1:$ED$602=B44)*1),"")</f>
        <v>1</v>
      </c>
      <c r="S44" s="7">
        <f>IF(B44&lt;&gt;"",SUMPRODUCT((Resultados!$B$1:$B$602=14)*(Resultados!$E$1:$E$602=B44)*1),"")</f>
        <v>3</v>
      </c>
      <c r="T44" s="7">
        <f>IF(B44&lt;&gt;"",SUMPRODUCT((Resultados!$B$1:$B$602=15)*(Resultados!$E$1:$E$602=B44)*1),"")</f>
        <v>1</v>
      </c>
      <c r="U44" s="7">
        <f>IF(B44&lt;&gt;"",SUMPRODUCT((Resultados!$B$1:$B$602=16)*(Resultados!$E$1:$E$602=B44)*1),"")</f>
        <v>1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1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11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3</v>
      </c>
      <c r="T45" s="7">
        <f>IF(B45&lt;&gt;"",SUMPRODUCT((Resultados!$B$1:$B$602=15)*(Resultados!$E$1:$E$602=B45)*1),"")</f>
        <v>2</v>
      </c>
      <c r="U45" s="7">
        <f>IF(B45&lt;&gt;"",SUMPRODUCT((Resultados!$B$1:$B$602=16)*(Resultados!$E$1:$E$602=B45)*1),"")</f>
        <v>5</v>
      </c>
      <c r="V45" s="7">
        <f>IF(B45&lt;&gt;"",SUMPRODUCT((Resultados!$B$1:$B$602=17)*(Resultados!$E$1:$E$602=B45)*1),"")</f>
        <v>3</v>
      </c>
      <c r="W45" s="7">
        <f>IF(B45&lt;&gt;"",SUMPRODUCT((Resultados!$B$1:$B$602=18)*(Resultados!$E$1:$E$602=B45)*1),"")</f>
        <v>1</v>
      </c>
      <c r="X45" s="7">
        <f>IF(B45&lt;&gt;"",SUMPRODUCT((Resultados!$B$1:$B$602=19)*(Resultados!$E$1:$E$602=B45)*1),"")</f>
        <v>5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4</v>
      </c>
      <c r="AA45" s="7">
        <f>IF(B45&lt;&gt;"",SUMPRODUCT((Resultados!$B$1:$B$602=22)*(Resultados!$E$1:$E$602=B45)*1),"")</f>
        <v>2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E12" sqref="E12"/>
    </sheetView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415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382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416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430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431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383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417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418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419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420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421</v>
      </c>
      <c r="E12" s="4" t="s">
        <v>433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384</v>
      </c>
      <c r="E13" s="4" t="s">
        <v>344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422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385</v>
      </c>
      <c r="E15" s="4" t="s">
        <v>345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423</v>
      </c>
      <c r="E16" s="4" t="s">
        <v>346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424</v>
      </c>
      <c r="E17" s="4" t="s">
        <v>386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387</v>
      </c>
      <c r="E18" s="4" t="s">
        <v>347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388</v>
      </c>
      <c r="E19" s="4" t="s">
        <v>348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389</v>
      </c>
      <c r="E20" s="4" t="s">
        <v>349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425</v>
      </c>
      <c r="E21" s="4" t="s">
        <v>350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390</v>
      </c>
      <c r="E22" s="4" t="s">
        <v>351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391</v>
      </c>
      <c r="E23" s="4" t="s">
        <v>352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392</v>
      </c>
      <c r="E24" s="4" t="s">
        <v>353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393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/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360</v>
      </c>
      <c r="D1" t="s">
        <v>361</v>
      </c>
      <c r="E1" t="s">
        <v>362</v>
      </c>
      <c r="F1" t="s">
        <v>363</v>
      </c>
      <c r="G1" s="179" t="s">
        <v>435</v>
      </c>
      <c r="H1" t="s">
        <v>364</v>
      </c>
      <c r="I1" s="178" t="s">
        <v>367</v>
      </c>
      <c r="J1" t="s">
        <v>365</v>
      </c>
      <c r="K1" t="s">
        <v>366</v>
      </c>
      <c r="L1" s="178" t="s">
        <v>380</v>
      </c>
      <c r="M1" s="178" t="s">
        <v>368</v>
      </c>
      <c r="N1" s="178" t="s">
        <v>369</v>
      </c>
      <c r="O1" s="178" t="s">
        <v>370</v>
      </c>
      <c r="P1" s="178" t="s">
        <v>371</v>
      </c>
      <c r="Q1" s="178" t="s">
        <v>436</v>
      </c>
      <c r="R1" t="s">
        <v>372</v>
      </c>
      <c r="S1" t="s">
        <v>373</v>
      </c>
      <c r="T1" t="s">
        <v>374</v>
      </c>
      <c r="U1" t="s">
        <v>302</v>
      </c>
      <c r="V1" t="s">
        <v>375</v>
      </c>
      <c r="W1" t="s">
        <v>376</v>
      </c>
      <c r="X1" t="s">
        <v>377</v>
      </c>
      <c r="Y1" t="s">
        <v>378</v>
      </c>
      <c r="Z1" t="s">
        <v>379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72</v>
      </c>
      <c r="G2">
        <f>F2+'Temporada 2026'!N8</f>
        <v>72</v>
      </c>
      <c r="H2">
        <f>G2+'Temporada 2026'!O8</f>
        <v>100</v>
      </c>
      <c r="I2">
        <f>H2+'Temporada 2026'!P8</f>
        <v>131</v>
      </c>
      <c r="J2">
        <f>I2+'Temporada 2026'!Q8</f>
        <v>156</v>
      </c>
      <c r="K2">
        <f>J2+'Temporada 2026'!R8</f>
        <v>156</v>
      </c>
      <c r="L2">
        <f>K2+'Temporada 2026'!S8</f>
        <v>171</v>
      </c>
      <c r="M2">
        <f>L2+'Temporada 2026'!T8</f>
        <v>179</v>
      </c>
      <c r="N2">
        <f>M2+'Temporada 2026'!U8</f>
        <v>179</v>
      </c>
      <c r="O2">
        <f>N2+'Temporada 2026'!V8</f>
        <v>179</v>
      </c>
      <c r="P2">
        <f>O2+'Temporada 2026'!W8</f>
        <v>179</v>
      </c>
      <c r="Q2">
        <f>P2+'Temporada 2026'!X8</f>
        <v>179</v>
      </c>
      <c r="R2">
        <f>Q2+'Temporada 2026'!Y8</f>
        <v>179</v>
      </c>
      <c r="S2">
        <f>R2+'Temporada 2026'!Z8</f>
        <v>179</v>
      </c>
      <c r="T2">
        <f>S2+'Temporada 2026'!AA8</f>
        <v>179</v>
      </c>
      <c r="U2">
        <f>T2+'Temporada 2026'!AB8</f>
        <v>179</v>
      </c>
      <c r="V2">
        <f>U2+'Temporada 2026'!AC8</f>
        <v>179</v>
      </c>
      <c r="W2">
        <f>V2+'Temporada 2026'!AD8</f>
        <v>179</v>
      </c>
      <c r="X2">
        <f>W2+'Temporada 2026'!AE8</f>
        <v>179</v>
      </c>
      <c r="Y2">
        <f>X2+'Temporada 2026'!AF8</f>
        <v>179</v>
      </c>
      <c r="Z2">
        <f>Y2+'Temporada 2026'!AG8</f>
        <v>179</v>
      </c>
    </row>
    <row r="3" spans="1:26" x14ac:dyDescent="0.2">
      <c r="A3">
        <f>'Temporada 2026'!B9</f>
        <v>2</v>
      </c>
      <c r="B3" t="str">
        <f>'Temporada 2026'!C9</f>
        <v>George Russell</v>
      </c>
      <c r="C3">
        <f>'Temporada 2026'!J9</f>
        <v>25</v>
      </c>
      <c r="D3">
        <f>C3+'Temporada 2026'!K9</f>
        <v>51</v>
      </c>
      <c r="E3">
        <f>D3+'Temporada 2026'!L9</f>
        <v>63</v>
      </c>
      <c r="F3">
        <f>E3+'Temporada 2026'!M9</f>
        <v>63</v>
      </c>
      <c r="G3">
        <f>F3+'Temporada 2026'!N9</f>
        <v>63</v>
      </c>
      <c r="H3">
        <f>G3+'Temporada 2026'!O9</f>
        <v>80</v>
      </c>
      <c r="I3">
        <f>H3+'Temporada 2026'!P9</f>
        <v>88</v>
      </c>
      <c r="J3">
        <f>I3+'Temporada 2026'!Q9</f>
        <v>88</v>
      </c>
      <c r="K3">
        <f>J3+'Temporada 2026'!R9</f>
        <v>106</v>
      </c>
      <c r="L3">
        <f>K3+'Temporada 2026'!S9</f>
        <v>131</v>
      </c>
      <c r="M3">
        <f>L3+'Temporada 2026'!T9</f>
        <v>154</v>
      </c>
      <c r="N3">
        <f>M3+'Temporada 2026'!U9</f>
        <v>154</v>
      </c>
      <c r="O3">
        <f>N3+'Temporada 2026'!V9</f>
        <v>154</v>
      </c>
      <c r="P3">
        <f>O3+'Temporada 2026'!W9</f>
        <v>154</v>
      </c>
      <c r="Q3">
        <f>P3+'Temporada 2026'!X9</f>
        <v>154</v>
      </c>
      <c r="R3">
        <f>Q3+'Temporada 2026'!Y9</f>
        <v>154</v>
      </c>
      <c r="S3">
        <f>R3+'Temporada 2026'!Z9</f>
        <v>154</v>
      </c>
      <c r="T3">
        <f>S3+'Temporada 2026'!AA9</f>
        <v>154</v>
      </c>
      <c r="U3">
        <f>T3+'Temporada 2026'!AB9</f>
        <v>154</v>
      </c>
      <c r="V3">
        <f>U3+'Temporada 2026'!AC9</f>
        <v>154</v>
      </c>
      <c r="W3">
        <f>V3+'Temporada 2026'!AD9</f>
        <v>154</v>
      </c>
      <c r="X3">
        <f>W3+'Temporada 2026'!AE9</f>
        <v>154</v>
      </c>
      <c r="Y3">
        <f>X3+'Temporada 2026'!AF9</f>
        <v>154</v>
      </c>
      <c r="Z3">
        <f>Y3+'Temporada 2026'!AG9</f>
        <v>154</v>
      </c>
    </row>
    <row r="4" spans="1:26" x14ac:dyDescent="0.2">
      <c r="A4">
        <f>'Temporada 2026'!B10</f>
        <v>3</v>
      </c>
      <c r="B4" t="str">
        <f>'Temporada 2026'!C10</f>
        <v>Lewis Hamilton</v>
      </c>
      <c r="C4">
        <f>'Temporada 2026'!J10</f>
        <v>12</v>
      </c>
      <c r="D4">
        <f>C4+'Temporada 2026'!K10</f>
        <v>33</v>
      </c>
      <c r="E4">
        <f>D4+'Temporada 2026'!L10</f>
        <v>41</v>
      </c>
      <c r="F4">
        <f>E4+'Temporada 2026'!M10</f>
        <v>41</v>
      </c>
      <c r="G4">
        <f>F4+'Temporada 2026'!N10</f>
        <v>41</v>
      </c>
      <c r="H4">
        <f>G4+'Temporada 2026'!O10</f>
        <v>51</v>
      </c>
      <c r="I4">
        <f>H4+'Temporada 2026'!P10</f>
        <v>72</v>
      </c>
      <c r="J4">
        <f>I4+'Temporada 2026'!Q10</f>
        <v>90</v>
      </c>
      <c r="K4">
        <f>J4+'Temporada 2026'!R10</f>
        <v>115</v>
      </c>
      <c r="L4">
        <f>K4+'Temporada 2026'!S10</f>
        <v>125</v>
      </c>
      <c r="M4">
        <f>L4+'Temporada 2026'!T10</f>
        <v>147</v>
      </c>
      <c r="N4">
        <f>M4+'Temporada 2026'!U10</f>
        <v>147</v>
      </c>
      <c r="O4">
        <f>N4+'Temporada 2026'!V10</f>
        <v>147</v>
      </c>
      <c r="P4">
        <f>O4+'Temporada 2026'!W10</f>
        <v>147</v>
      </c>
      <c r="Q4">
        <f>P4+'Temporada 2026'!X10</f>
        <v>147</v>
      </c>
      <c r="R4">
        <f>Q4+'Temporada 2026'!Y10</f>
        <v>147</v>
      </c>
      <c r="S4">
        <f>R4+'Temporada 2026'!Z10</f>
        <v>147</v>
      </c>
      <c r="T4">
        <f>S4+'Temporada 2026'!AA10</f>
        <v>147</v>
      </c>
      <c r="U4">
        <f>T4+'Temporada 2026'!AB10</f>
        <v>147</v>
      </c>
      <c r="V4">
        <f>U4+'Temporada 2026'!AC10</f>
        <v>147</v>
      </c>
      <c r="W4">
        <f>V4+'Temporada 2026'!AD10</f>
        <v>147</v>
      </c>
      <c r="X4">
        <f>W4+'Temporada 2026'!AE10</f>
        <v>147</v>
      </c>
      <c r="Y4">
        <f>X4+'Temporada 2026'!AF10</f>
        <v>147</v>
      </c>
      <c r="Z4">
        <f>Y4+'Temporada 2026'!AG10</f>
        <v>147</v>
      </c>
    </row>
    <row r="5" spans="1:26" x14ac:dyDescent="0.2">
      <c r="A5">
        <f>'Temporada 2026'!B11</f>
        <v>4</v>
      </c>
      <c r="B5" t="str">
        <f>'Temporada 2026'!C11</f>
        <v>Charles Leclerc</v>
      </c>
      <c r="C5">
        <f>'Temporada 2026'!J11</f>
        <v>15</v>
      </c>
      <c r="D5">
        <f>C5+'Temporada 2026'!K11</f>
        <v>34</v>
      </c>
      <c r="E5">
        <f>D5+'Temporada 2026'!L11</f>
        <v>49</v>
      </c>
      <c r="F5">
        <f>E5+'Temporada 2026'!M11</f>
        <v>49</v>
      </c>
      <c r="G5">
        <f>F5+'Temporada 2026'!N11</f>
        <v>49</v>
      </c>
      <c r="H5">
        <f>G5+'Temporada 2026'!O11</f>
        <v>59</v>
      </c>
      <c r="I5">
        <f>H5+'Temporada 2026'!P11</f>
        <v>75</v>
      </c>
      <c r="J5">
        <f>I5+'Temporada 2026'!Q11</f>
        <v>75</v>
      </c>
      <c r="K5">
        <f>J5+'Temporada 2026'!R11</f>
        <v>75</v>
      </c>
      <c r="L5">
        <f>K5+'Temporada 2026'!S11</f>
        <v>79</v>
      </c>
      <c r="M5">
        <f>L5+'Temporada 2026'!T11</f>
        <v>108</v>
      </c>
      <c r="N5">
        <f>M5+'Temporada 2026'!U11</f>
        <v>108</v>
      </c>
      <c r="O5">
        <f>N5+'Temporada 2026'!V11</f>
        <v>108</v>
      </c>
      <c r="P5">
        <f>O5+'Temporada 2026'!W11</f>
        <v>108</v>
      </c>
      <c r="Q5">
        <f>P5+'Temporada 2026'!X11</f>
        <v>108</v>
      </c>
      <c r="R5">
        <f>Q5+'Temporada 2026'!Y11</f>
        <v>108</v>
      </c>
      <c r="S5">
        <f>R5+'Temporada 2026'!Z11</f>
        <v>108</v>
      </c>
      <c r="T5">
        <f>S5+'Temporada 2026'!AA11</f>
        <v>108</v>
      </c>
      <c r="U5">
        <f>T5+'Temporada 2026'!AB11</f>
        <v>108</v>
      </c>
      <c r="V5">
        <f>U5+'Temporada 2026'!AC11</f>
        <v>108</v>
      </c>
      <c r="W5">
        <f>V5+'Temporada 2026'!AD11</f>
        <v>108</v>
      </c>
      <c r="X5">
        <f>W5+'Temporada 2026'!AE11</f>
        <v>108</v>
      </c>
      <c r="Y5">
        <f>X5+'Temporada 2026'!AF11</f>
        <v>108</v>
      </c>
      <c r="Z5">
        <f>Y5+'Temporada 2026'!AG11</f>
        <v>108</v>
      </c>
    </row>
    <row r="6" spans="1:26" x14ac:dyDescent="0.2">
      <c r="A6">
        <f>'Temporada 2026'!B12</f>
        <v>5</v>
      </c>
      <c r="B6" t="str">
        <f>'Temporada 2026'!C12</f>
        <v>Lando Norris</v>
      </c>
      <c r="C6">
        <f>'Temporada 2026'!J12</f>
        <v>10</v>
      </c>
      <c r="D6">
        <f>C6+'Temporada 2026'!K12</f>
        <v>15</v>
      </c>
      <c r="E6">
        <f>D6+'Temporada 2026'!L12</f>
        <v>25</v>
      </c>
      <c r="F6">
        <f>E6+'Temporada 2026'!M12</f>
        <v>25</v>
      </c>
      <c r="G6">
        <f>F6+'Temporada 2026'!N12</f>
        <v>25</v>
      </c>
      <c r="H6">
        <f>G6+'Temporada 2026'!O12</f>
        <v>51</v>
      </c>
      <c r="I6">
        <f>H6+'Temporada 2026'!P12</f>
        <v>58</v>
      </c>
      <c r="J6">
        <f>I6+'Temporada 2026'!Q12</f>
        <v>58</v>
      </c>
      <c r="K6">
        <f>J6+'Temporada 2026'!R12</f>
        <v>73</v>
      </c>
      <c r="L6">
        <f>K6+'Temporada 2026'!S12</f>
        <v>79</v>
      </c>
      <c r="M6">
        <f>L6+'Temporada 2026'!T12</f>
        <v>97</v>
      </c>
      <c r="N6">
        <f>M6+'Temporada 2026'!U12</f>
        <v>97</v>
      </c>
      <c r="O6">
        <f>N6+'Temporada 2026'!V12</f>
        <v>97</v>
      </c>
      <c r="P6">
        <f>O6+'Temporada 2026'!W12</f>
        <v>97</v>
      </c>
      <c r="Q6">
        <f>P6+'Temporada 2026'!X12</f>
        <v>97</v>
      </c>
      <c r="R6">
        <f>Q6+'Temporada 2026'!Y12</f>
        <v>97</v>
      </c>
      <c r="S6">
        <f>R6+'Temporada 2026'!Z12</f>
        <v>97</v>
      </c>
      <c r="T6">
        <f>S6+'Temporada 2026'!AA12</f>
        <v>97</v>
      </c>
      <c r="U6">
        <f>T6+'Temporada 2026'!AB12</f>
        <v>97</v>
      </c>
      <c r="V6">
        <f>U6+'Temporada 2026'!AC12</f>
        <v>97</v>
      </c>
      <c r="W6">
        <f>V6+'Temporada 2026'!AD12</f>
        <v>97</v>
      </c>
      <c r="X6">
        <f>W6+'Temporada 2026'!AE12</f>
        <v>97</v>
      </c>
      <c r="Y6">
        <f>X6+'Temporada 2026'!AF12</f>
        <v>97</v>
      </c>
      <c r="Z6">
        <f>Y6+'Temporada 2026'!AG12</f>
        <v>97</v>
      </c>
    </row>
    <row r="7" spans="1:26" x14ac:dyDescent="0.2">
      <c r="A7">
        <f>'Temporada 2026'!B13</f>
        <v>6</v>
      </c>
      <c r="B7" t="str">
        <f>'Temporada 2026'!C13</f>
        <v>Oscar Piastri</v>
      </c>
      <c r="C7">
        <f>'Temporada 2026'!J13</f>
        <v>0</v>
      </c>
      <c r="D7">
        <f>C7+'Temporada 2026'!K13</f>
        <v>3</v>
      </c>
      <c r="E7">
        <f>D7+'Temporada 2026'!L13</f>
        <v>21</v>
      </c>
      <c r="F7">
        <f>E7+'Temporada 2026'!M13</f>
        <v>21</v>
      </c>
      <c r="G7">
        <f>F7+'Temporada 2026'!N13</f>
        <v>21</v>
      </c>
      <c r="H7">
        <f>G7+'Temporada 2026'!O13</f>
        <v>43</v>
      </c>
      <c r="I7">
        <f>H7+'Temporada 2026'!P13</f>
        <v>48</v>
      </c>
      <c r="J7">
        <f>I7+'Temporada 2026'!Q13</f>
        <v>58</v>
      </c>
      <c r="K7">
        <f>J7+'Temporada 2026'!R13</f>
        <v>68</v>
      </c>
      <c r="L7">
        <f>K7+'Temporada 2026'!S13</f>
        <v>80</v>
      </c>
      <c r="M7">
        <f>L7+'Temporada 2026'!T13</f>
        <v>82</v>
      </c>
      <c r="N7">
        <f>M7+'Temporada 2026'!U13</f>
        <v>82</v>
      </c>
      <c r="O7">
        <f>N7+'Temporada 2026'!V13</f>
        <v>82</v>
      </c>
      <c r="P7">
        <f>O7+'Temporada 2026'!W13</f>
        <v>82</v>
      </c>
      <c r="Q7">
        <f>P7+'Temporada 2026'!X13</f>
        <v>82</v>
      </c>
      <c r="R7">
        <f>Q7+'Temporada 2026'!Y13</f>
        <v>82</v>
      </c>
      <c r="S7">
        <f>R7+'Temporada 2026'!Z13</f>
        <v>82</v>
      </c>
      <c r="T7">
        <f>S7+'Temporada 2026'!AA13</f>
        <v>82</v>
      </c>
      <c r="U7">
        <f>T7+'Temporada 2026'!AB13</f>
        <v>82</v>
      </c>
      <c r="V7">
        <f>U7+'Temporada 2026'!AC13</f>
        <v>82</v>
      </c>
      <c r="W7">
        <f>V7+'Temporada 2026'!AD13</f>
        <v>82</v>
      </c>
      <c r="X7">
        <f>W7+'Temporada 2026'!AE13</f>
        <v>82</v>
      </c>
      <c r="Y7">
        <f>X7+'Temporada 2026'!AF13</f>
        <v>82</v>
      </c>
      <c r="Z7">
        <f>Y7+'Temporada 2026'!AG13</f>
        <v>82</v>
      </c>
    </row>
    <row r="8" spans="1:26" x14ac:dyDescent="0.2">
      <c r="A8">
        <f>'Temporada 2026'!B14</f>
        <v>7</v>
      </c>
      <c r="B8" t="str">
        <f>'Temporada 2026'!C14</f>
        <v>Max Verstappen</v>
      </c>
      <c r="C8">
        <f>'Temporada 2026'!J14</f>
        <v>8</v>
      </c>
      <c r="D8">
        <f>C8+'Temporada 2026'!K14</f>
        <v>8</v>
      </c>
      <c r="E8">
        <f>D8+'Temporada 2026'!L14</f>
        <v>12</v>
      </c>
      <c r="F8">
        <f>E8+'Temporada 2026'!M14</f>
        <v>12</v>
      </c>
      <c r="G8">
        <f>F8+'Temporada 2026'!N14</f>
        <v>12</v>
      </c>
      <c r="H8">
        <f>G8+'Temporada 2026'!O14</f>
        <v>26</v>
      </c>
      <c r="I8">
        <f>H8+'Temporada 2026'!P14</f>
        <v>43</v>
      </c>
      <c r="J8">
        <f>I8+'Temporada 2026'!Q14</f>
        <v>43</v>
      </c>
      <c r="K8">
        <f>J8+'Temporada 2026'!R14</f>
        <v>55</v>
      </c>
      <c r="L8">
        <f>K8+'Temporada 2026'!S14</f>
        <v>73</v>
      </c>
      <c r="M8">
        <f>L8+'Temporada 2026'!T14</f>
        <v>76</v>
      </c>
      <c r="N8">
        <f>M8+'Temporada 2026'!U14</f>
        <v>76</v>
      </c>
      <c r="O8">
        <f>N8+'Temporada 2026'!V14</f>
        <v>76</v>
      </c>
      <c r="P8">
        <f>O8+'Temporada 2026'!W14</f>
        <v>76</v>
      </c>
      <c r="Q8">
        <f>P8+'Temporada 2026'!X14</f>
        <v>76</v>
      </c>
      <c r="R8">
        <f>Q8+'Temporada 2026'!Y14</f>
        <v>76</v>
      </c>
      <c r="S8">
        <f>R8+'Temporada 2026'!Z14</f>
        <v>76</v>
      </c>
      <c r="T8">
        <f>S8+'Temporada 2026'!AA14</f>
        <v>76</v>
      </c>
      <c r="U8">
        <f>T8+'Temporada 2026'!AB14</f>
        <v>76</v>
      </c>
      <c r="V8">
        <f>U8+'Temporada 2026'!AC14</f>
        <v>76</v>
      </c>
      <c r="W8">
        <f>V8+'Temporada 2026'!AD14</f>
        <v>76</v>
      </c>
      <c r="X8">
        <f>W8+'Temporada 2026'!AE14</f>
        <v>76</v>
      </c>
      <c r="Y8">
        <f>X8+'Temporada 2026'!AF14</f>
        <v>76</v>
      </c>
      <c r="Z8">
        <f>Y8+'Temporada 2026'!AG14</f>
        <v>76</v>
      </c>
    </row>
    <row r="9" spans="1:26" x14ac:dyDescent="0.2">
      <c r="A9">
        <f>'Temporada 2026'!B15</f>
        <v>8</v>
      </c>
      <c r="B9" t="str">
        <f>'Temporada 2026'!C15</f>
        <v>Isack Hadjar</v>
      </c>
      <c r="C9">
        <f>'Temporada 2026'!J15</f>
        <v>0</v>
      </c>
      <c r="D9">
        <f>C9+'Temporada 2026'!K15</f>
        <v>4</v>
      </c>
      <c r="E9">
        <f>D9+'Temporada 2026'!L15</f>
        <v>4</v>
      </c>
      <c r="F9">
        <f>E9+'Temporada 2026'!M15</f>
        <v>4</v>
      </c>
      <c r="G9">
        <f>F9+'Temporada 2026'!N15</f>
        <v>4</v>
      </c>
      <c r="H9">
        <f>G9+'Temporada 2026'!O15</f>
        <v>4</v>
      </c>
      <c r="I9">
        <f>H9+'Temporada 2026'!P15</f>
        <v>14</v>
      </c>
      <c r="J9">
        <f>I9+'Temporada 2026'!Q15</f>
        <v>26</v>
      </c>
      <c r="K9">
        <f>J9+'Temporada 2026'!R15</f>
        <v>34</v>
      </c>
      <c r="L9">
        <f>K9+'Temporada 2026'!S15</f>
        <v>42</v>
      </c>
      <c r="M9">
        <f>L9+'Temporada 2026'!T15</f>
        <v>52</v>
      </c>
      <c r="N9">
        <f>M9+'Temporada 2026'!U15</f>
        <v>52</v>
      </c>
      <c r="O9">
        <f>N9+'Temporada 2026'!V15</f>
        <v>52</v>
      </c>
      <c r="P9">
        <f>O9+'Temporada 2026'!W15</f>
        <v>52</v>
      </c>
      <c r="Q9">
        <f>P9+'Temporada 2026'!X15</f>
        <v>52</v>
      </c>
      <c r="R9">
        <f>Q9+'Temporada 2026'!Y15</f>
        <v>52</v>
      </c>
      <c r="S9">
        <f>R9+'Temporada 2026'!Z15</f>
        <v>52</v>
      </c>
      <c r="T9">
        <f>S9+'Temporada 2026'!AA15</f>
        <v>52</v>
      </c>
      <c r="U9">
        <f>T9+'Temporada 2026'!AB15</f>
        <v>52</v>
      </c>
      <c r="V9">
        <f>U9+'Temporada 2026'!AC15</f>
        <v>52</v>
      </c>
      <c r="W9">
        <f>V9+'Temporada 2026'!AD15</f>
        <v>52</v>
      </c>
      <c r="X9">
        <f>W9+'Temporada 2026'!AE15</f>
        <v>52</v>
      </c>
      <c r="Y9">
        <f>X9+'Temporada 2026'!AF15</f>
        <v>52</v>
      </c>
      <c r="Z9">
        <f>Y9+'Temporada 2026'!AG15</f>
        <v>52</v>
      </c>
    </row>
    <row r="10" spans="1:26" x14ac:dyDescent="0.2">
      <c r="A10">
        <f>'Temporada 2026'!B16</f>
        <v>9</v>
      </c>
      <c r="B10" t="str">
        <f>'Temporada 2026'!C16</f>
        <v>Pierre Gasly</v>
      </c>
      <c r="C10">
        <f>'Temporada 2026'!J16</f>
        <v>1</v>
      </c>
      <c r="D10">
        <f>C10+'Temporada 2026'!K16</f>
        <v>9</v>
      </c>
      <c r="E10">
        <f>D10+'Temporada 2026'!L16</f>
        <v>15</v>
      </c>
      <c r="F10">
        <f>E10+'Temporada 2026'!M16</f>
        <v>15</v>
      </c>
      <c r="G10">
        <f>F10+'Temporada 2026'!N16</f>
        <v>15</v>
      </c>
      <c r="H10">
        <f>G10+'Temporada 2026'!O16</f>
        <v>16</v>
      </c>
      <c r="I10">
        <f>H10+'Temporada 2026'!P16</f>
        <v>20</v>
      </c>
      <c r="J10">
        <f>I10+'Temporada 2026'!Q16</f>
        <v>35</v>
      </c>
      <c r="K10">
        <f>J10+'Temporada 2026'!R16</f>
        <v>41</v>
      </c>
      <c r="L10">
        <f>K10+'Temporada 2026'!S16</f>
        <v>41</v>
      </c>
      <c r="M10">
        <f>L10+'Temporada 2026'!T16</f>
        <v>42</v>
      </c>
      <c r="N10">
        <f>M10+'Temporada 2026'!U16</f>
        <v>42</v>
      </c>
      <c r="O10">
        <f>N10+'Temporada 2026'!V16</f>
        <v>42</v>
      </c>
      <c r="P10">
        <f>O10+'Temporada 2026'!W16</f>
        <v>42</v>
      </c>
      <c r="Q10">
        <f>P10+'Temporada 2026'!X16</f>
        <v>42</v>
      </c>
      <c r="R10">
        <f>Q10+'Temporada 2026'!Y16</f>
        <v>42</v>
      </c>
      <c r="S10">
        <f>R10+'Temporada 2026'!Z16</f>
        <v>42</v>
      </c>
      <c r="T10">
        <f>S10+'Temporada 2026'!AA16</f>
        <v>42</v>
      </c>
      <c r="U10">
        <f>T10+'Temporada 2026'!AB16</f>
        <v>42</v>
      </c>
      <c r="V10">
        <f>U10+'Temporada 2026'!AC16</f>
        <v>42</v>
      </c>
      <c r="W10">
        <f>V10+'Temporada 2026'!AD16</f>
        <v>42</v>
      </c>
      <c r="X10">
        <f>W10+'Temporada 2026'!AE16</f>
        <v>42</v>
      </c>
      <c r="Y10">
        <f>X10+'Temporada 2026'!AF16</f>
        <v>42</v>
      </c>
      <c r="Z10">
        <f>Y10+'Temporada 2026'!AG16</f>
        <v>42</v>
      </c>
    </row>
    <row r="11" spans="1:26" x14ac:dyDescent="0.2">
      <c r="A11">
        <f>'Temporada 2026'!B17</f>
        <v>10</v>
      </c>
      <c r="B11" t="str">
        <f>'Temporada 2026'!C17</f>
        <v>Liam Lawson</v>
      </c>
      <c r="C11">
        <f>'Temporada 2026'!J17</f>
        <v>0</v>
      </c>
      <c r="D11">
        <f>C11+'Temporada 2026'!K17</f>
        <v>8</v>
      </c>
      <c r="E11">
        <f>D11+'Temporada 2026'!L17</f>
        <v>10</v>
      </c>
      <c r="F11">
        <f>E11+'Temporada 2026'!M17</f>
        <v>10</v>
      </c>
      <c r="G11">
        <f>F11+'Temporada 2026'!N17</f>
        <v>10</v>
      </c>
      <c r="H11">
        <f>G11+'Temporada 2026'!O17</f>
        <v>10</v>
      </c>
      <c r="I11">
        <f>H11+'Temporada 2026'!P17</f>
        <v>16</v>
      </c>
      <c r="J11">
        <f>I11+'Temporada 2026'!Q17</f>
        <v>24</v>
      </c>
      <c r="K11">
        <f>J11+'Temporada 2026'!R17</f>
        <v>28</v>
      </c>
      <c r="L11">
        <f>K11+'Temporada 2026'!S17</f>
        <v>30</v>
      </c>
      <c r="M11">
        <f>L11+'Temporada 2026'!T17</f>
        <v>39</v>
      </c>
      <c r="N11">
        <f>M11+'Temporada 2026'!U17</f>
        <v>39</v>
      </c>
      <c r="O11">
        <f>N11+'Temporada 2026'!V17</f>
        <v>39</v>
      </c>
      <c r="P11">
        <f>O11+'Temporada 2026'!W17</f>
        <v>39</v>
      </c>
      <c r="Q11">
        <f>P11+'Temporada 2026'!X17</f>
        <v>39</v>
      </c>
      <c r="R11">
        <f>Q11+'Temporada 2026'!Y17</f>
        <v>39</v>
      </c>
      <c r="S11">
        <f>R11+'Temporada 2026'!Z17</f>
        <v>39</v>
      </c>
      <c r="T11">
        <f>S11+'Temporada 2026'!AA17</f>
        <v>39</v>
      </c>
      <c r="U11">
        <f>T11+'Temporada 2026'!AB17</f>
        <v>39</v>
      </c>
      <c r="V11">
        <f>U11+'Temporada 2026'!AC17</f>
        <v>39</v>
      </c>
      <c r="W11">
        <f>V11+'Temporada 2026'!AD17</f>
        <v>39</v>
      </c>
      <c r="X11">
        <f>W11+'Temporada 2026'!AE17</f>
        <v>39</v>
      </c>
      <c r="Y11">
        <f>X11+'Temporada 2026'!AF17</f>
        <v>39</v>
      </c>
      <c r="Z11">
        <f>Y11+'Temporada 2026'!AG17</f>
        <v>39</v>
      </c>
    </row>
    <row r="12" spans="1:26" x14ac:dyDescent="0.2">
      <c r="A12">
        <f>'Temporada 2026'!B18</f>
        <v>11</v>
      </c>
      <c r="B12" t="str">
        <f>'Temporada 2026'!C18</f>
        <v>Arvid Lindblad</v>
      </c>
      <c r="C12">
        <f>'Temporada 2026'!J18</f>
        <v>4</v>
      </c>
      <c r="D12">
        <f>C12+'Temporada 2026'!K18</f>
        <v>4</v>
      </c>
      <c r="E12">
        <f>D12+'Temporada 2026'!L18</f>
        <v>4</v>
      </c>
      <c r="F12">
        <f>E12+'Temporada 2026'!M18</f>
        <v>4</v>
      </c>
      <c r="G12">
        <f>F12+'Temporada 2026'!N18</f>
        <v>4</v>
      </c>
      <c r="H12">
        <f>G12+'Temporada 2026'!O18</f>
        <v>4</v>
      </c>
      <c r="I12">
        <f>H12+'Temporada 2026'!P18</f>
        <v>5</v>
      </c>
      <c r="J12">
        <f>I12+'Temporada 2026'!Q18</f>
        <v>11</v>
      </c>
      <c r="K12">
        <f>J12+'Temporada 2026'!R18</f>
        <v>13</v>
      </c>
      <c r="L12">
        <f>K12+'Temporada 2026'!S18</f>
        <v>14</v>
      </c>
      <c r="M12">
        <f>L12+'Temporada 2026'!T18</f>
        <v>20</v>
      </c>
      <c r="N12">
        <f>M12+'Temporada 2026'!U18</f>
        <v>20</v>
      </c>
      <c r="O12">
        <f>N12+'Temporada 2026'!V18</f>
        <v>20</v>
      </c>
      <c r="P12">
        <f>O12+'Temporada 2026'!W18</f>
        <v>20</v>
      </c>
      <c r="Q12">
        <f>P12+'Temporada 2026'!X18</f>
        <v>20</v>
      </c>
      <c r="R12">
        <f>Q12+'Temporada 2026'!Y18</f>
        <v>20</v>
      </c>
      <c r="S12">
        <f>R12+'Temporada 2026'!Z18</f>
        <v>20</v>
      </c>
      <c r="T12">
        <f>S12+'Temporada 2026'!AA18</f>
        <v>20</v>
      </c>
      <c r="U12">
        <f>T12+'Temporada 2026'!AB18</f>
        <v>20</v>
      </c>
      <c r="V12">
        <f>U12+'Temporada 2026'!AC18</f>
        <v>20</v>
      </c>
      <c r="W12">
        <f>V12+'Temporada 2026'!AD18</f>
        <v>20</v>
      </c>
      <c r="X12">
        <f>W12+'Temporada 2026'!AE18</f>
        <v>20</v>
      </c>
      <c r="Y12">
        <f>X12+'Temporada 2026'!AF18</f>
        <v>20</v>
      </c>
      <c r="Z12">
        <f>Y12+'Temporada 2026'!AG18</f>
        <v>20</v>
      </c>
    </row>
    <row r="13" spans="1:26" x14ac:dyDescent="0.2">
      <c r="A13">
        <f>'Temporada 2026'!B19</f>
        <v>12</v>
      </c>
      <c r="B13" t="str">
        <f>'Temporada 2026'!C19</f>
        <v>Oliver Bearman</v>
      </c>
      <c r="C13">
        <f>'Temporada 2026'!J19</f>
        <v>6</v>
      </c>
      <c r="D13">
        <f>C13+'Temporada 2026'!K19</f>
        <v>17</v>
      </c>
      <c r="E13">
        <f>D13+'Temporada 2026'!L19</f>
        <v>17</v>
      </c>
      <c r="F13">
        <f>E13+'Temporada 2026'!M19</f>
        <v>17</v>
      </c>
      <c r="G13">
        <f>F13+'Temporada 2026'!N19</f>
        <v>17</v>
      </c>
      <c r="H13">
        <f>G13+'Temporada 2026'!O19</f>
        <v>17</v>
      </c>
      <c r="I13">
        <f>H13+'Temporada 2026'!P19</f>
        <v>18</v>
      </c>
      <c r="J13">
        <f>I13+'Temporada 2026'!Q19</f>
        <v>18</v>
      </c>
      <c r="K13">
        <f>J13+'Temporada 2026'!R19</f>
        <v>18</v>
      </c>
      <c r="L13">
        <f>K13+'Temporada 2026'!S19</f>
        <v>18</v>
      </c>
      <c r="M13">
        <f>L13+'Temporada 2026'!T19</f>
        <v>18</v>
      </c>
      <c r="N13">
        <f>M13+'Temporada 2026'!U19</f>
        <v>18</v>
      </c>
      <c r="O13">
        <f>N13+'Temporada 2026'!V19</f>
        <v>18</v>
      </c>
      <c r="P13">
        <f>O13+'Temporada 2026'!W19</f>
        <v>18</v>
      </c>
      <c r="Q13">
        <f>P13+'Temporada 2026'!X19</f>
        <v>18</v>
      </c>
      <c r="R13">
        <f>Q13+'Temporada 2026'!Y19</f>
        <v>18</v>
      </c>
      <c r="S13">
        <f>R13+'Temporada 2026'!Z19</f>
        <v>18</v>
      </c>
      <c r="T13">
        <f>S13+'Temporada 2026'!AA19</f>
        <v>18</v>
      </c>
      <c r="U13">
        <f>T13+'Temporada 2026'!AB19</f>
        <v>18</v>
      </c>
      <c r="V13">
        <f>U13+'Temporada 2026'!AC19</f>
        <v>18</v>
      </c>
      <c r="W13">
        <f>V13+'Temporada 2026'!AD19</f>
        <v>18</v>
      </c>
      <c r="X13">
        <f>W13+'Temporada 2026'!AE19</f>
        <v>18</v>
      </c>
      <c r="Y13">
        <f>X13+'Temporada 2026'!AF19</f>
        <v>18</v>
      </c>
      <c r="Z13">
        <f>Y13+'Temporada 2026'!AG19</f>
        <v>18</v>
      </c>
    </row>
    <row r="14" spans="1:26" x14ac:dyDescent="0.2">
      <c r="A14">
        <f>'Temporada 2026'!B20</f>
        <v>13</v>
      </c>
      <c r="B14" t="str">
        <f>'Temporada 2026'!C20</f>
        <v>Franco Colapinto</v>
      </c>
      <c r="C14">
        <f>'Temporada 2026'!J20</f>
        <v>0</v>
      </c>
      <c r="D14">
        <f>C14+'Temporada 2026'!K20</f>
        <v>1</v>
      </c>
      <c r="E14">
        <f>D14+'Temporada 2026'!L20</f>
        <v>1</v>
      </c>
      <c r="F14">
        <f>E14+'Temporada 2026'!M20</f>
        <v>1</v>
      </c>
      <c r="G14">
        <f>F14+'Temporada 2026'!N20</f>
        <v>1</v>
      </c>
      <c r="H14">
        <f>G14+'Temporada 2026'!O20</f>
        <v>7</v>
      </c>
      <c r="I14">
        <f>H14+'Temporada 2026'!P20</f>
        <v>15</v>
      </c>
      <c r="J14">
        <f>I14+'Temporada 2026'!Q20</f>
        <v>15</v>
      </c>
      <c r="K14">
        <f>J14+'Temporada 2026'!R20</f>
        <v>16</v>
      </c>
      <c r="L14">
        <f>K14+'Temporada 2026'!S20</f>
        <v>16</v>
      </c>
      <c r="M14">
        <f>L14+'Temporada 2026'!T20</f>
        <v>18</v>
      </c>
      <c r="N14">
        <f>M14+'Temporada 2026'!U20</f>
        <v>18</v>
      </c>
      <c r="O14">
        <f>N14+'Temporada 2026'!V20</f>
        <v>18</v>
      </c>
      <c r="P14">
        <f>O14+'Temporada 2026'!W20</f>
        <v>18</v>
      </c>
      <c r="Q14">
        <f>P14+'Temporada 2026'!X20</f>
        <v>18</v>
      </c>
      <c r="R14">
        <f>Q14+'Temporada 2026'!Y20</f>
        <v>18</v>
      </c>
      <c r="S14">
        <f>R14+'Temporada 2026'!Z20</f>
        <v>18</v>
      </c>
      <c r="T14">
        <f>S14+'Temporada 2026'!AA20</f>
        <v>18</v>
      </c>
      <c r="U14">
        <f>T14+'Temporada 2026'!AB20</f>
        <v>18</v>
      </c>
      <c r="V14">
        <f>U14+'Temporada 2026'!AC20</f>
        <v>18</v>
      </c>
      <c r="W14">
        <f>V14+'Temporada 2026'!AD20</f>
        <v>18</v>
      </c>
      <c r="X14">
        <f>W14+'Temporada 2026'!AE20</f>
        <v>18</v>
      </c>
      <c r="Y14">
        <f>X14+'Temporada 2026'!AF20</f>
        <v>18</v>
      </c>
      <c r="Z14">
        <f>Y14+'Temporada 2026'!AG20</f>
        <v>18</v>
      </c>
    </row>
    <row r="15" spans="1:26" x14ac:dyDescent="0.2">
      <c r="A15">
        <f>'Temporada 2026'!B21</f>
        <v>14</v>
      </c>
      <c r="B15" t="str">
        <f>'Temporada 2026'!C21</f>
        <v>Gabriel Bortoleto</v>
      </c>
      <c r="C15">
        <f>'Temporada 2026'!J21</f>
        <v>2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2</v>
      </c>
      <c r="I15">
        <f>H15+'Temporada 2026'!P21</f>
        <v>2</v>
      </c>
      <c r="J15">
        <f>I15+'Temporada 2026'!Q21</f>
        <v>2</v>
      </c>
      <c r="K15">
        <f>J15+'Temporada 2026'!R21</f>
        <v>2</v>
      </c>
      <c r="L15">
        <f>K15+'Temporada 2026'!S21</f>
        <v>2</v>
      </c>
      <c r="M15">
        <f>L15+'Temporada 2026'!T21</f>
        <v>6</v>
      </c>
      <c r="N15">
        <f>M15+'Temporada 2026'!U21</f>
        <v>6</v>
      </c>
      <c r="O15">
        <f>N15+'Temporada 2026'!V21</f>
        <v>6</v>
      </c>
      <c r="P15">
        <f>O15+'Temporada 2026'!W21</f>
        <v>6</v>
      </c>
      <c r="Q15">
        <f>P15+'Temporada 2026'!X21</f>
        <v>6</v>
      </c>
      <c r="R15">
        <f>Q15+'Temporada 2026'!Y21</f>
        <v>6</v>
      </c>
      <c r="S15">
        <f>R15+'Temporada 2026'!Z21</f>
        <v>6</v>
      </c>
      <c r="T15">
        <f>S15+'Temporada 2026'!AA21</f>
        <v>6</v>
      </c>
      <c r="U15">
        <f>T15+'Temporada 2026'!AB21</f>
        <v>6</v>
      </c>
      <c r="V15">
        <f>U15+'Temporada 2026'!AC21</f>
        <v>6</v>
      </c>
      <c r="W15">
        <f>V15+'Temporada 2026'!AD21</f>
        <v>6</v>
      </c>
      <c r="X15">
        <f>W15+'Temporada 2026'!AE21</f>
        <v>6</v>
      </c>
      <c r="Y15">
        <f>X15+'Temporada 2026'!AF21</f>
        <v>6</v>
      </c>
      <c r="Z15">
        <f>Y15+'Temporada 2026'!AG21</f>
        <v>6</v>
      </c>
    </row>
    <row r="16" spans="1:26" x14ac:dyDescent="0.2">
      <c r="A16">
        <f>'Temporada 2026'!B22</f>
        <v>15</v>
      </c>
      <c r="B16" t="str">
        <f>'Temporada 2026'!C22</f>
        <v>Carlos Sainz</v>
      </c>
      <c r="C16">
        <f>'Temporada 2026'!J22</f>
        <v>0</v>
      </c>
      <c r="D16">
        <f>C16+'Temporada 2026'!K22</f>
        <v>2</v>
      </c>
      <c r="E16">
        <f>D16+'Temporada 2026'!L22</f>
        <v>2</v>
      </c>
      <c r="F16">
        <f>E16+'Temporada 2026'!M22</f>
        <v>2</v>
      </c>
      <c r="G16">
        <f>F16+'Temporada 2026'!N22</f>
        <v>2</v>
      </c>
      <c r="H16">
        <f>G16+'Temporada 2026'!O22</f>
        <v>4</v>
      </c>
      <c r="I16">
        <f>H16+'Temporada 2026'!P22</f>
        <v>6</v>
      </c>
      <c r="J16">
        <f>I16+'Temporada 2026'!Q22</f>
        <v>6</v>
      </c>
      <c r="K16">
        <f>J16+'Temporada 2026'!R22</f>
        <v>6</v>
      </c>
      <c r="L16">
        <f>K16+'Temporada 2026'!S22</f>
        <v>6</v>
      </c>
      <c r="M16">
        <f>L16+'Temporada 2026'!T22</f>
        <v>6</v>
      </c>
      <c r="N16">
        <f>M16+'Temporada 2026'!U22</f>
        <v>6</v>
      </c>
      <c r="O16">
        <f>N16+'Temporada 2026'!V22</f>
        <v>6</v>
      </c>
      <c r="P16">
        <f>O16+'Temporada 2026'!W22</f>
        <v>6</v>
      </c>
      <c r="Q16">
        <f>P16+'Temporada 2026'!X22</f>
        <v>6</v>
      </c>
      <c r="R16">
        <f>Q16+'Temporada 2026'!Y22</f>
        <v>6</v>
      </c>
      <c r="S16">
        <f>R16+'Temporada 2026'!Z22</f>
        <v>6</v>
      </c>
      <c r="T16">
        <f>S16+'Temporada 2026'!AA22</f>
        <v>6</v>
      </c>
      <c r="U16">
        <f>T16+'Temporada 2026'!AB22</f>
        <v>6</v>
      </c>
      <c r="V16">
        <f>U16+'Temporada 2026'!AC22</f>
        <v>6</v>
      </c>
      <c r="W16">
        <f>V16+'Temporada 2026'!AD22</f>
        <v>6</v>
      </c>
      <c r="X16">
        <f>W16+'Temporada 2026'!AE22</f>
        <v>6</v>
      </c>
      <c r="Y16">
        <f>X16+'Temporada 2026'!AF22</f>
        <v>6</v>
      </c>
      <c r="Z16">
        <f>Y16+'Temporada 2026'!AG22</f>
        <v>6</v>
      </c>
    </row>
    <row r="17" spans="1:26" x14ac:dyDescent="0.2">
      <c r="A17">
        <f>'Temporada 2026'!B23</f>
        <v>16</v>
      </c>
      <c r="B17" t="str">
        <f>'Temporada 2026'!C23</f>
        <v>Alexander Albon</v>
      </c>
      <c r="C17">
        <f>'Temporada 2026'!J23</f>
        <v>0</v>
      </c>
      <c r="D17">
        <f>C17+'Temporada 2026'!K23</f>
        <v>0</v>
      </c>
      <c r="E17">
        <f>D17+'Temporada 2026'!L23</f>
        <v>0</v>
      </c>
      <c r="F17">
        <f>E17+'Temporada 2026'!M23</f>
        <v>0</v>
      </c>
      <c r="G17">
        <f>F17+'Temporada 2026'!N23</f>
        <v>0</v>
      </c>
      <c r="H17">
        <f>G17+'Temporada 2026'!O23</f>
        <v>1</v>
      </c>
      <c r="I17">
        <f>H17+'Temporada 2026'!P23</f>
        <v>1</v>
      </c>
      <c r="J17">
        <f>I17+'Temporada 2026'!Q23</f>
        <v>5</v>
      </c>
      <c r="K17">
        <f>J17+'Temporada 2026'!R23</f>
        <v>5</v>
      </c>
      <c r="L17">
        <f>K17+'Temporada 2026'!S23</f>
        <v>5</v>
      </c>
      <c r="M17">
        <f>L17+'Temporada 2026'!T23</f>
        <v>5</v>
      </c>
      <c r="N17">
        <f>M17+'Temporada 2026'!U23</f>
        <v>5</v>
      </c>
      <c r="O17">
        <f>N17+'Temporada 2026'!V23</f>
        <v>5</v>
      </c>
      <c r="P17">
        <f>O17+'Temporada 2026'!W23</f>
        <v>5</v>
      </c>
      <c r="Q17">
        <f>P17+'Temporada 2026'!X23</f>
        <v>5</v>
      </c>
      <c r="R17">
        <f>Q17+'Temporada 2026'!Y23</f>
        <v>5</v>
      </c>
      <c r="S17">
        <f>R17+'Temporada 2026'!Z23</f>
        <v>5</v>
      </c>
      <c r="T17">
        <f>S17+'Temporada 2026'!AA23</f>
        <v>5</v>
      </c>
      <c r="U17">
        <f>T17+'Temporada 2026'!AB23</f>
        <v>5</v>
      </c>
      <c r="V17">
        <f>U17+'Temporada 2026'!AC23</f>
        <v>5</v>
      </c>
      <c r="W17">
        <f>V17+'Temporada 2026'!AD23</f>
        <v>5</v>
      </c>
      <c r="X17">
        <f>W17+'Temporada 2026'!AE23</f>
        <v>5</v>
      </c>
      <c r="Y17">
        <f>X17+'Temporada 2026'!AF23</f>
        <v>5</v>
      </c>
      <c r="Z17">
        <f>Y17+'Temporada 2026'!AG23</f>
        <v>5</v>
      </c>
    </row>
    <row r="18" spans="1:26" x14ac:dyDescent="0.2">
      <c r="A18">
        <f>'Temporada 2026'!B24</f>
        <v>17</v>
      </c>
      <c r="B18" t="str">
        <f>'Temporada 2026'!C24</f>
        <v>Esteban Ocon</v>
      </c>
      <c r="C18">
        <f>'Temporada 2026'!J24</f>
        <v>0</v>
      </c>
      <c r="D18">
        <f>C18+'Temporada 2026'!K24</f>
        <v>0</v>
      </c>
      <c r="E18">
        <f>D18+'Temporada 2026'!L24</f>
        <v>1</v>
      </c>
      <c r="F18">
        <f>E18+'Temporada 2026'!M24</f>
        <v>1</v>
      </c>
      <c r="G18">
        <f>F18+'Temporada 2026'!N24</f>
        <v>1</v>
      </c>
      <c r="H18">
        <f>G18+'Temporada 2026'!O24</f>
        <v>1</v>
      </c>
      <c r="I18">
        <f>H18+'Temporada 2026'!P24</f>
        <v>1</v>
      </c>
      <c r="J18">
        <f>I18+'Temporada 2026'!Q24</f>
        <v>3</v>
      </c>
      <c r="K18">
        <f>J18+'Temporada 2026'!R24</f>
        <v>3</v>
      </c>
      <c r="L18">
        <f>K18+'Temporada 2026'!S24</f>
        <v>3</v>
      </c>
      <c r="M18">
        <f>L18+'Temporada 2026'!T24</f>
        <v>3</v>
      </c>
      <c r="N18">
        <f>M18+'Temporada 2026'!U24</f>
        <v>3</v>
      </c>
      <c r="O18">
        <f>N18+'Temporada 2026'!V24</f>
        <v>3</v>
      </c>
      <c r="P18">
        <f>O18+'Temporada 2026'!W24</f>
        <v>3</v>
      </c>
      <c r="Q18">
        <f>P18+'Temporada 2026'!X24</f>
        <v>3</v>
      </c>
      <c r="R18">
        <f>Q18+'Temporada 2026'!Y24</f>
        <v>3</v>
      </c>
      <c r="S18">
        <f>R18+'Temporada 2026'!Z24</f>
        <v>3</v>
      </c>
      <c r="T18">
        <f>S18+'Temporada 2026'!AA24</f>
        <v>3</v>
      </c>
      <c r="U18">
        <f>T18+'Temporada 2026'!AB24</f>
        <v>3</v>
      </c>
      <c r="V18">
        <f>U18+'Temporada 2026'!AC24</f>
        <v>3</v>
      </c>
      <c r="W18">
        <f>V18+'Temporada 2026'!AD24</f>
        <v>3</v>
      </c>
      <c r="X18">
        <f>W18+'Temporada 2026'!AE24</f>
        <v>3</v>
      </c>
      <c r="Y18">
        <f>X18+'Temporada 2026'!AF24</f>
        <v>3</v>
      </c>
      <c r="Z18">
        <f>Y18+'Temporada 2026'!AG24</f>
        <v>3</v>
      </c>
    </row>
    <row r="19" spans="1:26" x14ac:dyDescent="0.2">
      <c r="A19">
        <f>'Temporada 2026'!B25</f>
        <v>18</v>
      </c>
      <c r="B19" t="str">
        <f>'Temporada 2026'!C25</f>
        <v>Fernando Alonso</v>
      </c>
      <c r="C19">
        <f>'Temporada 2026'!J25</f>
        <v>0</v>
      </c>
      <c r="D19">
        <f>C19+'Temporada 2026'!K25</f>
        <v>0</v>
      </c>
      <c r="E19">
        <f>D19+'Temporada 2026'!L25</f>
        <v>0</v>
      </c>
      <c r="F19">
        <f>E19+'Temporada 2026'!M25</f>
        <v>0</v>
      </c>
      <c r="G19">
        <f>F19+'Temporada 2026'!N25</f>
        <v>0</v>
      </c>
      <c r="H19">
        <f>G19+'Temporada 2026'!O25</f>
        <v>0</v>
      </c>
      <c r="I19">
        <f>H19+'Temporada 2026'!P25</f>
        <v>0</v>
      </c>
      <c r="J19">
        <f>I19+'Temporada 2026'!Q25</f>
        <v>1</v>
      </c>
      <c r="K19">
        <f>J19+'Temporada 2026'!R25</f>
        <v>1</v>
      </c>
      <c r="L19">
        <f>K19+'Temporada 2026'!S25</f>
        <v>1</v>
      </c>
      <c r="M19">
        <f>L19+'Temporada 2026'!T25</f>
        <v>1</v>
      </c>
      <c r="N19">
        <f>M19+'Temporada 2026'!U25</f>
        <v>1</v>
      </c>
      <c r="O19">
        <f>N19+'Temporada 2026'!V25</f>
        <v>1</v>
      </c>
      <c r="P19">
        <f>O19+'Temporada 2026'!W25</f>
        <v>1</v>
      </c>
      <c r="Q19">
        <f>P19+'Temporada 2026'!X25</f>
        <v>1</v>
      </c>
      <c r="R19">
        <f>Q19+'Temporada 2026'!Y25</f>
        <v>1</v>
      </c>
      <c r="S19">
        <f>R19+'Temporada 2026'!Z25</f>
        <v>1</v>
      </c>
      <c r="T19">
        <f>S19+'Temporada 2026'!AA25</f>
        <v>1</v>
      </c>
      <c r="U19">
        <f>T19+'Temporada 2026'!AB25</f>
        <v>1</v>
      </c>
      <c r="V19">
        <f>U19+'Temporada 2026'!AC25</f>
        <v>1</v>
      </c>
      <c r="W19">
        <f>V19+'Temporada 2026'!AD25</f>
        <v>1</v>
      </c>
      <c r="X19">
        <f>W19+'Temporada 2026'!AE25</f>
        <v>1</v>
      </c>
      <c r="Y19">
        <f>X19+'Temporada 2026'!AF25</f>
        <v>1</v>
      </c>
      <c r="Z19">
        <f>Y19+'Temporada 2026'!AG25</f>
        <v>1</v>
      </c>
    </row>
    <row r="20" spans="1:26" x14ac:dyDescent="0.2">
      <c r="A20">
        <f>'Temporada 2026'!B26</f>
        <v>19</v>
      </c>
      <c r="B20" t="str">
        <f>'Temporada 2026'!C26</f>
        <v>Nico Hulkenberg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0</v>
      </c>
      <c r="K20">
        <f>J20+'Temporada 2026'!R26</f>
        <v>0</v>
      </c>
      <c r="L20">
        <f>K20+'Temporada 2026'!S26</f>
        <v>0</v>
      </c>
      <c r="M20">
        <f>L20+'Temporada 2026'!T26</f>
        <v>0</v>
      </c>
      <c r="N20">
        <f>M20+'Temporada 2026'!U26</f>
        <v>0</v>
      </c>
      <c r="O20">
        <f>N20+'Temporada 2026'!V26</f>
        <v>0</v>
      </c>
      <c r="P20">
        <f>O20+'Temporada 2026'!W26</f>
        <v>0</v>
      </c>
      <c r="Q20">
        <f>P20+'Temporada 2026'!X26</f>
        <v>0</v>
      </c>
      <c r="R20">
        <f>Q20+'Temporada 2026'!Y26</f>
        <v>0</v>
      </c>
      <c r="S20">
        <f>R20+'Temporada 2026'!Z26</f>
        <v>0</v>
      </c>
      <c r="T20">
        <f>S20+'Temporada 2026'!AA26</f>
        <v>0</v>
      </c>
      <c r="U20">
        <f>T20+'Temporada 2026'!AB26</f>
        <v>0</v>
      </c>
      <c r="V20">
        <f>U20+'Temporada 2026'!AC26</f>
        <v>0</v>
      </c>
      <c r="W20">
        <f>V20+'Temporada 2026'!AD26</f>
        <v>0</v>
      </c>
      <c r="X20">
        <f>W20+'Temporada 2026'!AE26</f>
        <v>0</v>
      </c>
      <c r="Y20">
        <f>X20+'Temporada 2026'!AF26</f>
        <v>0</v>
      </c>
      <c r="Z20">
        <f>Y20+'Temporada 2026'!AG26</f>
        <v>0</v>
      </c>
    </row>
    <row r="21" spans="1:26" x14ac:dyDescent="0.2">
      <c r="A21">
        <f>'Temporada 2026'!B27</f>
        <v>20</v>
      </c>
      <c r="B21" t="str">
        <f>'Temporada 2026'!C27</f>
        <v>Valtteri Bottas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Sergio Perez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Lance Stroll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 t="str">
        <f>'Temporada 2026'!B30</f>
        <v/>
      </c>
      <c r="B24" t="str">
        <f>'Temporada 2026'!C30</f>
        <v/>
      </c>
      <c r="C24" t="str">
        <f>'Temporada 2026'!J30</f>
        <v/>
      </c>
      <c r="D24" t="e">
        <f>C24+'Temporada 2026'!K30</f>
        <v>#VALUE!</v>
      </c>
      <c r="E24" t="e">
        <f>D24+'Temporada 2026'!L30</f>
        <v>#VALUE!</v>
      </c>
      <c r="F24" t="e">
        <f>E24+'Temporada 2026'!M30</f>
        <v>#VALUE!</v>
      </c>
      <c r="G24" t="e">
        <f>F24+'Temporada 2026'!N30</f>
        <v>#VALUE!</v>
      </c>
      <c r="H24" t="e">
        <f>G24+'Temporada 2026'!O30</f>
        <v>#VALUE!</v>
      </c>
      <c r="I24" t="e">
        <f>H24+'Temporada 2026'!P30</f>
        <v>#VALUE!</v>
      </c>
      <c r="J24" t="e">
        <f>I24+'Temporada 2026'!Q30</f>
        <v>#VALUE!</v>
      </c>
      <c r="K24" t="e">
        <f>J24+'Temporada 2026'!R30</f>
        <v>#VALUE!</v>
      </c>
      <c r="L24" t="e">
        <f>K24+'Temporada 2026'!S30</f>
        <v>#VALUE!</v>
      </c>
      <c r="M24" t="e">
        <f>L24+'Temporada 2026'!T30</f>
        <v>#VALUE!</v>
      </c>
      <c r="N24" t="e">
        <f>M24+'Temporada 2026'!U30</f>
        <v>#VALUE!</v>
      </c>
      <c r="O24" t="e">
        <f>N24+'Temporada 2026'!V30</f>
        <v>#VALUE!</v>
      </c>
      <c r="P24" t="e">
        <f>O24+'Temporada 2026'!W30</f>
        <v>#VALUE!</v>
      </c>
      <c r="Q24" t="e">
        <f>P24+'Temporada 2026'!X30</f>
        <v>#VALUE!</v>
      </c>
      <c r="R24" t="e">
        <f>Q24+'Temporada 2026'!Y30</f>
        <v>#VALUE!</v>
      </c>
      <c r="S24" t="e">
        <f>R24+'Temporada 2026'!Z30</f>
        <v>#VALUE!</v>
      </c>
      <c r="T24" t="e">
        <f>S24+'Temporada 2026'!AA30</f>
        <v>#VALUE!</v>
      </c>
      <c r="U24" t="e">
        <f>T24+'Temporada 2026'!AB30</f>
        <v>#VALUE!</v>
      </c>
      <c r="V24" t="e">
        <f>U24+'Temporada 2026'!AC30</f>
        <v>#VALUE!</v>
      </c>
      <c r="W24" t="e">
        <f>V24+'Temporada 2026'!AD30</f>
        <v>#VALUE!</v>
      </c>
      <c r="X24" t="e">
        <f>W24+'Temporada 2026'!AE30</f>
        <v>#VALUE!</v>
      </c>
      <c r="Y24" t="e">
        <f>X24+'Temporada 2026'!AF30</f>
        <v>#VALUE!</v>
      </c>
      <c r="Z24" t="e">
        <f>Y24+'Temporada 2026'!AG30</f>
        <v>#VALUE!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381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Row],[SAU]]</f>
        <v>0</v>
      </c>
      <c r="I26">
        <f>Tabela1[[#This Row],[MIA]]</f>
        <v>0</v>
      </c>
      <c r="J26">
        <f>Tabela1[[#This Row],[CAN]]</f>
        <v>0</v>
      </c>
      <c r="K26">
        <f>Tabela1[[#This Row],[MON]]</f>
        <v>0</v>
      </c>
      <c r="L26">
        <f>Tabela1[[#This Row],[ESP]]</f>
        <v>0</v>
      </c>
      <c r="M26">
        <f>Tabela1[[#This Row],[AUT]]</f>
        <v>0</v>
      </c>
      <c r="N26">
        <f>Tabela1[[#This Row],[ING]]</f>
        <v>0</v>
      </c>
      <c r="O26">
        <f>Tabela1[[#This Row],[BEL]]</f>
        <v>0</v>
      </c>
      <c r="P26">
        <f>Tabela1[[#This Row],[HUN]]</f>
        <v>0</v>
      </c>
      <c r="Q26">
        <f>Tabela1[[#This Row],[HOL]]</f>
        <v>0</v>
      </c>
      <c r="R26">
        <f>Tabela1[[#This Row],[MAD]]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8" spans="1:26" x14ac:dyDescent="0.2">
      <c r="C28">
        <v>1</v>
      </c>
      <c r="D28">
        <v>2</v>
      </c>
      <c r="E28">
        <v>3</v>
      </c>
      <c r="F28">
        <v>4</v>
      </c>
      <c r="G28">
        <v>5</v>
      </c>
      <c r="H28">
        <v>6</v>
      </c>
      <c r="I28">
        <v>7</v>
      </c>
      <c r="J28">
        <v>8</v>
      </c>
      <c r="K28">
        <v>9</v>
      </c>
      <c r="L28">
        <v>10</v>
      </c>
      <c r="M28">
        <v>11</v>
      </c>
      <c r="N28">
        <v>12</v>
      </c>
      <c r="O28">
        <v>13</v>
      </c>
      <c r="P28">
        <v>14</v>
      </c>
      <c r="Q28">
        <v>15</v>
      </c>
      <c r="R28">
        <v>16</v>
      </c>
      <c r="S28">
        <v>17</v>
      </c>
      <c r="T28">
        <v>18</v>
      </c>
      <c r="U28">
        <v>19</v>
      </c>
      <c r="V28">
        <v>20</v>
      </c>
      <c r="W28">
        <v>21</v>
      </c>
      <c r="X28">
        <v>22</v>
      </c>
      <c r="Y28">
        <v>23</v>
      </c>
      <c r="Z28">
        <v>24</v>
      </c>
    </row>
    <row r="29" spans="1:26" ht="13.5" thickBot="1" x14ac:dyDescent="0.25">
      <c r="A29" s="21" t="s">
        <v>244</v>
      </c>
      <c r="B29" s="21" t="s">
        <v>17</v>
      </c>
      <c r="C29" s="21" t="s">
        <v>360</v>
      </c>
      <c r="D29" s="21" t="s">
        <v>361</v>
      </c>
      <c r="E29" s="21" t="s">
        <v>362</v>
      </c>
      <c r="F29" s="21" t="s">
        <v>363</v>
      </c>
      <c r="G29" s="177" t="s">
        <v>435</v>
      </c>
      <c r="H29" s="21" t="s">
        <v>364</v>
      </c>
      <c r="I29" s="177" t="s">
        <v>367</v>
      </c>
      <c r="J29" s="21" t="s">
        <v>365</v>
      </c>
      <c r="K29" s="21" t="s">
        <v>366</v>
      </c>
      <c r="L29" s="177" t="s">
        <v>380</v>
      </c>
      <c r="M29" s="177" t="s">
        <v>368</v>
      </c>
      <c r="N29" s="177" t="s">
        <v>369</v>
      </c>
      <c r="O29" s="177" t="s">
        <v>370</v>
      </c>
      <c r="P29" s="177" t="s">
        <v>371</v>
      </c>
      <c r="Q29" s="177" t="s">
        <v>436</v>
      </c>
      <c r="R29" s="21" t="s">
        <v>372</v>
      </c>
      <c r="S29" s="21" t="s">
        <v>373</v>
      </c>
      <c r="T29" s="21" t="s">
        <v>374</v>
      </c>
      <c r="U29" s="21" t="s">
        <v>302</v>
      </c>
      <c r="V29" s="21" t="s">
        <v>375</v>
      </c>
      <c r="W29" s="21" t="s">
        <v>376</v>
      </c>
      <c r="X29" s="21" t="s">
        <v>377</v>
      </c>
      <c r="Y29" s="21" t="s">
        <v>378</v>
      </c>
      <c r="Z29" s="21" t="s">
        <v>379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135</v>
      </c>
      <c r="G30">
        <f>Tabela2[[#This Row],[BAH]]+'Temporada 2026'!N39</f>
        <v>135</v>
      </c>
      <c r="H30">
        <f>Tabela2[[#This Row],[SAU]]+'Temporada 2026'!O39</f>
        <v>180</v>
      </c>
      <c r="I30">
        <f>Tabela2[[#This Row],[MIA]]+'Temporada 2026'!P39</f>
        <v>205</v>
      </c>
      <c r="J30">
        <f>Tabela2[[#This Row],[CAN]]+'Temporada 2026'!Q39</f>
        <v>230</v>
      </c>
      <c r="K30">
        <f>Tabela2[[#This Row],[MON]]+'Temporada 2026'!R39</f>
        <v>248</v>
      </c>
      <c r="L30">
        <f>Tabela2[[#This Row],[ESP]]+'Temporada 2026'!S39</f>
        <v>288</v>
      </c>
      <c r="M30">
        <f>Tabela2[[#This Row],[AUT]]+'Temporada 2026'!T39</f>
        <v>319</v>
      </c>
      <c r="N30">
        <f>Tabela2[[#This Row],[ING]]+'Temporada 2026'!U39</f>
        <v>319</v>
      </c>
      <c r="O30">
        <f>Tabela2[[#This Row],[BEL]]+'Temporada 2026'!V39</f>
        <v>319</v>
      </c>
      <c r="P30">
        <f>Tabela2[[#This Row],[HUN]]+'Temporada 2026'!W39</f>
        <v>319</v>
      </c>
      <c r="Q30">
        <f>Tabela2[[#This Row],[HOL]]+'Temporada 2026'!X39</f>
        <v>319</v>
      </c>
      <c r="R30">
        <f>Tabela2[[#This Row],[MAD]]+'Temporada 2026'!Y39</f>
        <v>319</v>
      </c>
      <c r="S30">
        <f>Tabela2[[#This Row],[ITA]]+'Temporada 2026'!Z39</f>
        <v>319</v>
      </c>
      <c r="T30">
        <f>Tabela2[[#This Row],[AZE]]+'Temporada 2026'!AA39</f>
        <v>319</v>
      </c>
      <c r="U30">
        <f>Tabela2[[#This Row],[SIN]]+'Temporada 2026'!AB39</f>
        <v>319</v>
      </c>
      <c r="V30">
        <f>Tabela2[[#This Row],[USA]]+'Temporada 2026'!AC39</f>
        <v>319</v>
      </c>
      <c r="W30">
        <f>Tabela2[[#This Row],[MEX]]+'Temporada 2026'!AD39</f>
        <v>319</v>
      </c>
      <c r="X30">
        <f>Tabela2[[#This Row],[SÃO]]+'Temporada 2026'!AE39</f>
        <v>319</v>
      </c>
      <c r="Y30">
        <f>Tabela2[[#This Row],[VEG]]+'Temporada 2026'!AF39</f>
        <v>319</v>
      </c>
      <c r="Z30">
        <f>Tabela2[[#This Row],[QAT]]+'Temporada 2026'!AG39</f>
        <v>319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90</v>
      </c>
      <c r="G31">
        <f>Tabela2[[#This Row],[BAH]]+'Temporada 2026'!N40</f>
        <v>90</v>
      </c>
      <c r="H31">
        <f>Tabela2[[#This Row],[SAU]]+'Temporada 2026'!O40</f>
        <v>110</v>
      </c>
      <c r="I31">
        <f>Tabela2[[#This Row],[MIA]]+'Temporada 2026'!P40</f>
        <v>140</v>
      </c>
      <c r="J31">
        <f>Tabela2[[#This Row],[CAN]]+'Temporada 2026'!Q40</f>
        <v>158</v>
      </c>
      <c r="K31">
        <f>Tabela2[[#This Row],[MON]]+'Temporada 2026'!R40</f>
        <v>183</v>
      </c>
      <c r="L31">
        <f>Tabela2[[#This Row],[ESP]]+'Temporada 2026'!S40</f>
        <v>197</v>
      </c>
      <c r="M31">
        <f>Tabela2[[#This Row],[AUT]]+'Temporada 2026'!T40</f>
        <v>248</v>
      </c>
      <c r="N31">
        <f>Tabela2[[#This Row],[ING]]+'Temporada 2026'!U40</f>
        <v>248</v>
      </c>
      <c r="O31">
        <f>Tabela2[[#This Row],[BEL]]+'Temporada 2026'!V40</f>
        <v>248</v>
      </c>
      <c r="P31">
        <f>Tabela2[[#This Row],[HUN]]+'Temporada 2026'!W40</f>
        <v>248</v>
      </c>
      <c r="Q31">
        <f>Tabela2[[#This Row],[HOL]]+'Temporada 2026'!X40</f>
        <v>248</v>
      </c>
      <c r="R31">
        <f>Tabela2[[#This Row],[MAD]]+'Temporada 2026'!Y40</f>
        <v>248</v>
      </c>
      <c r="S31">
        <f>Tabela2[[#This Row],[ITA]]+'Temporada 2026'!Z40</f>
        <v>248</v>
      </c>
      <c r="T31">
        <f>Tabela2[[#This Row],[AZE]]+'Temporada 2026'!AA40</f>
        <v>248</v>
      </c>
      <c r="U31">
        <f>Tabela2[[#This Row],[SIN]]+'Temporada 2026'!AB40</f>
        <v>248</v>
      </c>
      <c r="V31">
        <f>Tabela2[[#This Row],[USA]]+'Temporada 2026'!AC40</f>
        <v>248</v>
      </c>
      <c r="W31">
        <f>Tabela2[[#This Row],[MEX]]+'Temporada 2026'!AD40</f>
        <v>248</v>
      </c>
      <c r="X31">
        <f>Tabela2[[#This Row],[SÃO]]+'Temporada 2026'!AE40</f>
        <v>248</v>
      </c>
      <c r="Y31">
        <f>Tabela2[[#This Row],[VEG]]+'Temporada 2026'!AF40</f>
        <v>248</v>
      </c>
      <c r="Z31">
        <f>Tabela2[[#This Row],[QAT]]+'Temporada 2026'!AG40</f>
        <v>248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46</v>
      </c>
      <c r="G32">
        <f>Tabela2[[#This Row],[BAH]]+'Temporada 2026'!N41</f>
        <v>46</v>
      </c>
      <c r="H32">
        <f>Tabela2[[#This Row],[SAU]]+'Temporada 2026'!O41</f>
        <v>94</v>
      </c>
      <c r="I32">
        <f>Tabela2[[#This Row],[MIA]]+'Temporada 2026'!P41</f>
        <v>94</v>
      </c>
      <c r="J32">
        <f>Tabela2[[#This Row],[CAN]]+'Temporada 2026'!Q41</f>
        <v>104</v>
      </c>
      <c r="K32">
        <f>Tabela2[[#This Row],[MON]]+'Temporada 2026'!R41</f>
        <v>129</v>
      </c>
      <c r="L32">
        <f>Tabela2[[#This Row],[ESP]]+'Temporada 2026'!S41</f>
        <v>147</v>
      </c>
      <c r="M32">
        <f>Tabela2[[#This Row],[AUT]]+'Temporada 2026'!T41</f>
        <v>167</v>
      </c>
      <c r="N32">
        <f>Tabela2[[#This Row],[ING]]+'Temporada 2026'!U41</f>
        <v>167</v>
      </c>
      <c r="O32">
        <f>Tabela2[[#This Row],[BEL]]+'Temporada 2026'!V41</f>
        <v>167</v>
      </c>
      <c r="P32">
        <f>Tabela2[[#This Row],[HUN]]+'Temporada 2026'!W41</f>
        <v>167</v>
      </c>
      <c r="Q32">
        <f>Tabela2[[#This Row],[HOL]]+'Temporada 2026'!X41</f>
        <v>167</v>
      </c>
      <c r="R32">
        <f>Tabela2[[#This Row],[MAD]]+'Temporada 2026'!Y41</f>
        <v>167</v>
      </c>
      <c r="S32">
        <f>Tabela2[[#This Row],[ITA]]+'Temporada 2026'!Z41</f>
        <v>167</v>
      </c>
      <c r="T32">
        <f>Tabela2[[#This Row],[AZE]]+'Temporada 2026'!AA41</f>
        <v>167</v>
      </c>
      <c r="U32">
        <f>Tabela2[[#This Row],[SIN]]+'Temporada 2026'!AB41</f>
        <v>167</v>
      </c>
      <c r="V32">
        <f>Tabela2[[#This Row],[USA]]+'Temporada 2026'!AC41</f>
        <v>167</v>
      </c>
      <c r="W32">
        <f>Tabela2[[#This Row],[MEX]]+'Temporada 2026'!AD41</f>
        <v>167</v>
      </c>
      <c r="X32">
        <f>Tabela2[[#This Row],[SÃO]]+'Temporada 2026'!AE41</f>
        <v>167</v>
      </c>
      <c r="Y32">
        <f>Tabela2[[#This Row],[VEG]]+'Temporada 2026'!AF41</f>
        <v>167</v>
      </c>
      <c r="Z32">
        <f>Tabela2[[#This Row],[QAT]]+'Temporada 2026'!AG41</f>
        <v>167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16</v>
      </c>
      <c r="G33">
        <f>Tabela2[[#This Row],[BAH]]+'Temporada 2026'!N42</f>
        <v>16</v>
      </c>
      <c r="H33">
        <f>Tabela2[[#This Row],[SAU]]+'Temporada 2026'!O42</f>
        <v>30</v>
      </c>
      <c r="I33">
        <f>Tabela2[[#This Row],[MIA]]+'Temporada 2026'!P42</f>
        <v>55</v>
      </c>
      <c r="J33">
        <f>Tabela2[[#This Row],[CAN]]+'Temporada 2026'!Q42</f>
        <v>67</v>
      </c>
      <c r="K33">
        <f>Tabela2[[#This Row],[MON]]+'Temporada 2026'!R42</f>
        <v>87</v>
      </c>
      <c r="L33">
        <f>Tabela2[[#This Row],[ESP]]+'Temporada 2026'!S42</f>
        <v>113</v>
      </c>
      <c r="M33">
        <f>Tabela2[[#This Row],[AUT]]+'Temporada 2026'!T42</f>
        <v>126</v>
      </c>
      <c r="N33">
        <f>Tabela2[[#This Row],[ING]]+'Temporada 2026'!U42</f>
        <v>126</v>
      </c>
      <c r="O33">
        <f>Tabela2[[#This Row],[BEL]]+'Temporada 2026'!V42</f>
        <v>126</v>
      </c>
      <c r="P33">
        <f>Tabela2[[#This Row],[HUN]]+'Temporada 2026'!W42</f>
        <v>126</v>
      </c>
      <c r="Q33">
        <f>Tabela2[[#This Row],[HOL]]+'Temporada 2026'!X42</f>
        <v>126</v>
      </c>
      <c r="R33">
        <f>Tabela2[[#This Row],[MAD]]+'Temporada 2026'!Y42</f>
        <v>126</v>
      </c>
      <c r="S33">
        <f>Tabela2[[#This Row],[ITA]]+'Temporada 2026'!Z42</f>
        <v>126</v>
      </c>
      <c r="T33">
        <f>Tabela2[[#This Row],[AZE]]+'Temporada 2026'!AA42</f>
        <v>126</v>
      </c>
      <c r="U33">
        <f>Tabela2[[#This Row],[SIN]]+'Temporada 2026'!AB42</f>
        <v>126</v>
      </c>
      <c r="V33">
        <f>Tabela2[[#This Row],[USA]]+'Temporada 2026'!AC42</f>
        <v>126</v>
      </c>
      <c r="W33">
        <f>Tabela2[[#This Row],[MEX]]+'Temporada 2026'!AD42</f>
        <v>126</v>
      </c>
      <c r="X33">
        <f>Tabela2[[#This Row],[SÃO]]+'Temporada 2026'!AE42</f>
        <v>126</v>
      </c>
      <c r="Y33">
        <f>Tabela2[[#This Row],[VEG]]+'Temporada 2026'!AF42</f>
        <v>126</v>
      </c>
      <c r="Z33">
        <f>Tabela2[[#This Row],[QAT]]+'Temporada 2026'!AG42</f>
        <v>126</v>
      </c>
    </row>
    <row r="34" spans="1:26" x14ac:dyDescent="0.2">
      <c r="A34">
        <f>'Temporada 2026'!B43</f>
        <v>5</v>
      </c>
      <c r="B34" t="str">
        <f>'Temporada 2026'!C43</f>
        <v>Alpine</v>
      </c>
      <c r="C34">
        <f>'Temporada 2026'!J43</f>
        <v>1</v>
      </c>
      <c r="D34">
        <f>Tabela2[[#This Row],[AUS]]+'Temporada 2026'!K43</f>
        <v>10</v>
      </c>
      <c r="E34">
        <f>Tabela2[[#This Row],[CHI]]+'Temporada 2026'!L43</f>
        <v>16</v>
      </c>
      <c r="F34">
        <f>Tabela2[[#This Row],[JAP]]+'Temporada 2026'!M43</f>
        <v>16</v>
      </c>
      <c r="G34">
        <f>Tabela2[[#This Row],[BAH]]+'Temporada 2026'!N43</f>
        <v>16</v>
      </c>
      <c r="H34">
        <f>Tabela2[[#This Row],[SAU]]+'Temporada 2026'!O43</f>
        <v>23</v>
      </c>
      <c r="I34">
        <f>Tabela2[[#This Row],[MIA]]+'Temporada 2026'!P43</f>
        <v>35</v>
      </c>
      <c r="J34">
        <f>Tabela2[[#This Row],[CAN]]+'Temporada 2026'!Q43</f>
        <v>50</v>
      </c>
      <c r="K34">
        <f>Tabela2[[#This Row],[MON]]+'Temporada 2026'!R43</f>
        <v>57</v>
      </c>
      <c r="L34">
        <f>Tabela2[[#This Row],[ESP]]+'Temporada 2026'!S43</f>
        <v>57</v>
      </c>
      <c r="M34">
        <f>Tabela2[[#This Row],[AUT]]+'Temporada 2026'!T43</f>
        <v>60</v>
      </c>
      <c r="N34">
        <f>Tabela2[[#This Row],[ING]]+'Temporada 2026'!U43</f>
        <v>60</v>
      </c>
      <c r="O34">
        <f>Tabela2[[#This Row],[BEL]]+'Temporada 2026'!V43</f>
        <v>60</v>
      </c>
      <c r="P34">
        <f>Tabela2[[#This Row],[HUN]]+'Temporada 2026'!W43</f>
        <v>60</v>
      </c>
      <c r="Q34">
        <f>Tabela2[[#This Row],[HOL]]+'Temporada 2026'!X43</f>
        <v>60</v>
      </c>
      <c r="R34">
        <f>Tabela2[[#This Row],[MAD]]+'Temporada 2026'!Y43</f>
        <v>60</v>
      </c>
      <c r="S34">
        <f>Tabela2[[#This Row],[ITA]]+'Temporada 2026'!Z43</f>
        <v>60</v>
      </c>
      <c r="T34">
        <f>Tabela2[[#This Row],[AZE]]+'Temporada 2026'!AA43</f>
        <v>60</v>
      </c>
      <c r="U34">
        <f>Tabela2[[#This Row],[SIN]]+'Temporada 2026'!AB43</f>
        <v>60</v>
      </c>
      <c r="V34">
        <f>Tabela2[[#This Row],[USA]]+'Temporada 2026'!AC43</f>
        <v>60</v>
      </c>
      <c r="W34">
        <f>Tabela2[[#This Row],[MEX]]+'Temporada 2026'!AD43</f>
        <v>60</v>
      </c>
      <c r="X34">
        <f>Tabela2[[#This Row],[SÃO]]+'Temporada 2026'!AE43</f>
        <v>60</v>
      </c>
      <c r="Y34">
        <f>Tabela2[[#This Row],[VEG]]+'Temporada 2026'!AF43</f>
        <v>60</v>
      </c>
      <c r="Z34">
        <f>Tabela2[[#This Row],[QAT]]+'Temporada 2026'!AG43</f>
        <v>60</v>
      </c>
    </row>
    <row r="35" spans="1:26" x14ac:dyDescent="0.2">
      <c r="A35">
        <f>'Temporada 2026'!B44</f>
        <v>6</v>
      </c>
      <c r="B35" t="str">
        <f>'Temporada 2026'!C44</f>
        <v>Racing Bulls</v>
      </c>
      <c r="C35">
        <f>'Temporada 2026'!J44</f>
        <v>4</v>
      </c>
      <c r="D35">
        <f>Tabela2[[#This Row],[AUS]]+'Temporada 2026'!K44</f>
        <v>12</v>
      </c>
      <c r="E35">
        <f>Tabela2[[#This Row],[CHI]]+'Temporada 2026'!L44</f>
        <v>14</v>
      </c>
      <c r="F35">
        <f>Tabela2[[#This Row],[JAP]]+'Temporada 2026'!M44</f>
        <v>14</v>
      </c>
      <c r="G35">
        <f>Tabela2[[#This Row],[BAH]]+'Temporada 2026'!N44</f>
        <v>14</v>
      </c>
      <c r="H35">
        <f>Tabela2[[#This Row],[SAU]]+'Temporada 2026'!O44</f>
        <v>14</v>
      </c>
      <c r="I35">
        <f>Tabela2[[#This Row],[MIA]]+'Temporada 2026'!P44</f>
        <v>20</v>
      </c>
      <c r="J35">
        <f>Tabela2[[#This Row],[CAN]]+'Temporada 2026'!Q44</f>
        <v>34</v>
      </c>
      <c r="K35">
        <f>Tabela2[[#This Row],[MON]]+'Temporada 2026'!R44</f>
        <v>40</v>
      </c>
      <c r="L35">
        <f>Tabela2[[#This Row],[ESP]]+'Temporada 2026'!S44</f>
        <v>43</v>
      </c>
      <c r="M35">
        <f>Tabela2[[#This Row],[AUT]]+'Temporada 2026'!T44</f>
        <v>58</v>
      </c>
      <c r="N35">
        <f>Tabela2[[#This Row],[ING]]+'Temporada 2026'!U44</f>
        <v>58</v>
      </c>
      <c r="O35">
        <f>Tabela2[[#This Row],[BEL]]+'Temporada 2026'!V44</f>
        <v>58</v>
      </c>
      <c r="P35">
        <f>Tabela2[[#This Row],[HUN]]+'Temporada 2026'!W44</f>
        <v>58</v>
      </c>
      <c r="Q35">
        <f>Tabela2[[#This Row],[HOL]]+'Temporada 2026'!X44</f>
        <v>58</v>
      </c>
      <c r="R35">
        <f>Tabela2[[#This Row],[MAD]]+'Temporada 2026'!Y44</f>
        <v>58</v>
      </c>
      <c r="S35">
        <f>Tabela2[[#This Row],[ITA]]+'Temporada 2026'!Z44</f>
        <v>58</v>
      </c>
      <c r="T35">
        <f>Tabela2[[#This Row],[AZE]]+'Temporada 2026'!AA44</f>
        <v>58</v>
      </c>
      <c r="U35">
        <f>Tabela2[[#This Row],[SIN]]+'Temporada 2026'!AB44</f>
        <v>58</v>
      </c>
      <c r="V35">
        <f>Tabela2[[#This Row],[USA]]+'Temporada 2026'!AC44</f>
        <v>58</v>
      </c>
      <c r="W35">
        <f>Tabela2[[#This Row],[MEX]]+'Temporada 2026'!AD44</f>
        <v>58</v>
      </c>
      <c r="X35">
        <f>Tabela2[[#This Row],[SÃO]]+'Temporada 2026'!AE44</f>
        <v>58</v>
      </c>
      <c r="Y35">
        <f>Tabela2[[#This Row],[VEG]]+'Temporada 2026'!AF44</f>
        <v>58</v>
      </c>
      <c r="Z35">
        <f>Tabela2[[#This Row],[QAT]]+'Temporada 2026'!AG44</f>
        <v>58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6</v>
      </c>
      <c r="D36">
        <f>Tabela2[[#This Row],[AUS]]+'Temporada 2026'!K45</f>
        <v>17</v>
      </c>
      <c r="E36">
        <f>Tabela2[[#This Row],[CHI]]+'Temporada 2026'!L45</f>
        <v>18</v>
      </c>
      <c r="F36">
        <f>Tabela2[[#This Row],[JAP]]+'Temporada 2026'!M45</f>
        <v>18</v>
      </c>
      <c r="G36">
        <f>Tabela2[[#This Row],[BAH]]+'Temporada 2026'!N45</f>
        <v>18</v>
      </c>
      <c r="H36">
        <f>Tabela2[[#This Row],[SAU]]+'Temporada 2026'!O45</f>
        <v>18</v>
      </c>
      <c r="I36">
        <f>Tabela2[[#This Row],[MIA]]+'Temporada 2026'!P45</f>
        <v>19</v>
      </c>
      <c r="J36">
        <f>Tabela2[[#This Row],[CAN]]+'Temporada 2026'!Q45</f>
        <v>21</v>
      </c>
      <c r="K36">
        <f>Tabela2[[#This Row],[MON]]+'Temporada 2026'!R45</f>
        <v>21</v>
      </c>
      <c r="L36">
        <f>Tabela2[[#This Row],[ESP]]+'Temporada 2026'!S45</f>
        <v>21</v>
      </c>
      <c r="M36">
        <f>Tabela2[[#This Row],[AUT]]+'Temporada 2026'!T45</f>
        <v>21</v>
      </c>
      <c r="N36">
        <f>Tabela2[[#This Row],[ING]]+'Temporada 2026'!U45</f>
        <v>21</v>
      </c>
      <c r="O36">
        <f>Tabela2[[#This Row],[BEL]]+'Temporada 2026'!V45</f>
        <v>21</v>
      </c>
      <c r="P36">
        <f>Tabela2[[#This Row],[HUN]]+'Temporada 2026'!W45</f>
        <v>21</v>
      </c>
      <c r="Q36">
        <f>Tabela2[[#This Row],[HOL]]+'Temporada 2026'!X45</f>
        <v>21</v>
      </c>
      <c r="R36">
        <f>Tabela2[[#This Row],[MAD]]+'Temporada 2026'!Y45</f>
        <v>21</v>
      </c>
      <c r="S36">
        <f>Tabela2[[#This Row],[ITA]]+'Temporada 2026'!Z45</f>
        <v>21</v>
      </c>
      <c r="T36">
        <f>Tabela2[[#This Row],[AZE]]+'Temporada 2026'!AA45</f>
        <v>21</v>
      </c>
      <c r="U36">
        <f>Tabela2[[#This Row],[SIN]]+'Temporada 2026'!AB45</f>
        <v>21</v>
      </c>
      <c r="V36">
        <f>Tabela2[[#This Row],[USA]]+'Temporada 2026'!AC45</f>
        <v>21</v>
      </c>
      <c r="W36">
        <f>Tabela2[[#This Row],[MEX]]+'Temporada 2026'!AD45</f>
        <v>21</v>
      </c>
      <c r="X36">
        <f>Tabela2[[#This Row],[SÃO]]+'Temporada 2026'!AE45</f>
        <v>21</v>
      </c>
      <c r="Y36">
        <f>Tabela2[[#This Row],[VEG]]+'Temporada 2026'!AF45</f>
        <v>21</v>
      </c>
      <c r="Z36">
        <f>Tabela2[[#This Row],[QAT]]+'Temporada 2026'!AG45</f>
        <v>21</v>
      </c>
    </row>
    <row r="37" spans="1:26" x14ac:dyDescent="0.2">
      <c r="A37">
        <f>'Temporada 2026'!B46</f>
        <v>8</v>
      </c>
      <c r="B37" t="str">
        <f>'Temporada 2026'!C46</f>
        <v>Williams</v>
      </c>
      <c r="C37">
        <f>'Temporada 2026'!J46</f>
        <v>0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Row],[SAU]]+'Temporada 2026'!O46</f>
        <v>5</v>
      </c>
      <c r="I37">
        <f>Tabela2[[#This Row],[MIA]]+'Temporada 2026'!P46</f>
        <v>7</v>
      </c>
      <c r="J37">
        <f>Tabela2[[#This Row],[CAN]]+'Temporada 2026'!Q46</f>
        <v>11</v>
      </c>
      <c r="K37">
        <f>Tabela2[[#This Row],[MON]]+'Temporada 2026'!R46</f>
        <v>11</v>
      </c>
      <c r="L37">
        <f>Tabela2[[#This Row],[ESP]]+'Temporada 2026'!S46</f>
        <v>11</v>
      </c>
      <c r="M37">
        <f>Tabela2[[#This Row],[AUT]]+'Temporada 2026'!T46</f>
        <v>11</v>
      </c>
      <c r="N37">
        <f>Tabela2[[#This Row],[ING]]+'Temporada 2026'!U46</f>
        <v>11</v>
      </c>
      <c r="O37">
        <f>Tabela2[[#This Row],[BEL]]+'Temporada 2026'!V46</f>
        <v>11</v>
      </c>
      <c r="P37">
        <f>Tabela2[[#This Row],[HUN]]+'Temporada 2026'!W46</f>
        <v>11</v>
      </c>
      <c r="Q37">
        <f>Tabela2[[#This Row],[HOL]]+'Temporada 2026'!X46</f>
        <v>11</v>
      </c>
      <c r="R37">
        <f>Tabela2[[#This Row],[MAD]]+'Temporada 2026'!Y46</f>
        <v>11</v>
      </c>
      <c r="S37">
        <f>Tabela2[[#This Row],[ITA]]+'Temporada 2026'!Z46</f>
        <v>11</v>
      </c>
      <c r="T37">
        <f>Tabela2[[#This Row],[AZE]]+'Temporada 2026'!AA46</f>
        <v>11</v>
      </c>
      <c r="U37">
        <f>Tabela2[[#This Row],[SIN]]+'Temporada 2026'!AB46</f>
        <v>11</v>
      </c>
      <c r="V37">
        <f>Tabela2[[#This Row],[USA]]+'Temporada 2026'!AC46</f>
        <v>11</v>
      </c>
      <c r="W37">
        <f>Tabela2[[#This Row],[MEX]]+'Temporada 2026'!AD46</f>
        <v>11</v>
      </c>
      <c r="X37">
        <f>Tabela2[[#This Row],[SÃO]]+'Temporada 2026'!AE46</f>
        <v>11</v>
      </c>
      <c r="Y37">
        <f>Tabela2[[#This Row],[VEG]]+'Temporada 2026'!AF46</f>
        <v>11</v>
      </c>
      <c r="Z37">
        <f>Tabela2[[#This Row],[QAT]]+'Temporada 2026'!AG46</f>
        <v>11</v>
      </c>
    </row>
    <row r="38" spans="1:26" x14ac:dyDescent="0.2">
      <c r="A38">
        <f>'Temporada 2026'!B47</f>
        <v>9</v>
      </c>
      <c r="B38" t="str">
        <f>'Temporada 2026'!C47</f>
        <v>Audi</v>
      </c>
      <c r="C38">
        <f>'Temporada 2026'!J47</f>
        <v>2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Row],[SAU]]+'Temporada 2026'!O47</f>
        <v>2</v>
      </c>
      <c r="I38">
        <f>Tabela2[[#This Row],[MIA]]+'Temporada 2026'!P47</f>
        <v>2</v>
      </c>
      <c r="J38">
        <f>Tabela2[[#This Row],[CAN]]+'Temporada 2026'!Q47</f>
        <v>2</v>
      </c>
      <c r="K38">
        <f>Tabela2[[#This Row],[MON]]+'Temporada 2026'!R47</f>
        <v>2</v>
      </c>
      <c r="L38">
        <f>Tabela2[[#This Row],[ESP]]+'Temporada 2026'!S47</f>
        <v>2</v>
      </c>
      <c r="M38">
        <f>Tabela2[[#This Row],[AUT]]+'Temporada 2026'!T47</f>
        <v>6</v>
      </c>
      <c r="N38">
        <f>Tabela2[[#This Row],[ING]]+'Temporada 2026'!U47</f>
        <v>6</v>
      </c>
      <c r="O38">
        <f>Tabela2[[#This Row],[BEL]]+'Temporada 2026'!V47</f>
        <v>6</v>
      </c>
      <c r="P38">
        <f>Tabela2[[#This Row],[HUN]]+'Temporada 2026'!W47</f>
        <v>6</v>
      </c>
      <c r="Q38">
        <f>Tabela2[[#This Row],[HOL]]+'Temporada 2026'!X47</f>
        <v>6</v>
      </c>
      <c r="R38">
        <f>Tabela2[[#This Row],[MAD]]+'Temporada 2026'!Y47</f>
        <v>6</v>
      </c>
      <c r="S38">
        <f>Tabela2[[#This Row],[ITA]]+'Temporada 2026'!Z47</f>
        <v>6</v>
      </c>
      <c r="T38">
        <f>Tabela2[[#This Row],[AZE]]+'Temporada 2026'!AA47</f>
        <v>6</v>
      </c>
      <c r="U38">
        <f>Tabela2[[#This Row],[SIN]]+'Temporada 2026'!AB47</f>
        <v>6</v>
      </c>
      <c r="V38">
        <f>Tabela2[[#This Row],[USA]]+'Temporada 2026'!AC47</f>
        <v>6</v>
      </c>
      <c r="W38">
        <f>Tabela2[[#This Row],[MEX]]+'Temporada 2026'!AD47</f>
        <v>6</v>
      </c>
      <c r="X38">
        <f>Tabela2[[#This Row],[SÃO]]+'Temporada 2026'!AE47</f>
        <v>6</v>
      </c>
      <c r="Y38">
        <f>Tabela2[[#This Row],[VEG]]+'Temporada 2026'!AF47</f>
        <v>6</v>
      </c>
      <c r="Z38">
        <f>Tabela2[[#This Row],[QAT]]+'Temporada 2026'!AG47</f>
        <v>6</v>
      </c>
    </row>
    <row r="39" spans="1:26" x14ac:dyDescent="0.2">
      <c r="A39">
        <f>'Temporada 2026'!B48</f>
        <v>10</v>
      </c>
      <c r="B39" t="str">
        <f>'Temporada 2026'!C48</f>
        <v>Aston Martin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Row],[SAU]]+'Temporada 2026'!O48</f>
        <v>0</v>
      </c>
      <c r="I39">
        <f>Tabela2[[#This Row],[MIA]]+'Temporada 2026'!P48</f>
        <v>0</v>
      </c>
      <c r="J39">
        <f>Tabela2[[#This Row],[CAN]]+'Temporada 2026'!Q48</f>
        <v>1</v>
      </c>
      <c r="K39">
        <f>Tabela2[[#This Row],[MON]]+'Temporada 2026'!R48</f>
        <v>1</v>
      </c>
      <c r="L39">
        <f>Tabela2[[#This Row],[ESP]]+'Temporada 2026'!S48</f>
        <v>1</v>
      </c>
      <c r="M39">
        <f>Tabela2[[#This Row],[AUT]]+'Temporada 2026'!T48</f>
        <v>1</v>
      </c>
      <c r="N39">
        <f>Tabela2[[#This Row],[ING]]+'Temporada 2026'!U48</f>
        <v>1</v>
      </c>
      <c r="O39">
        <f>Tabela2[[#This Row],[BEL]]+'Temporada 2026'!V48</f>
        <v>1</v>
      </c>
      <c r="P39">
        <f>Tabela2[[#This Row],[HUN]]+'Temporada 2026'!W48</f>
        <v>1</v>
      </c>
      <c r="Q39">
        <f>Tabela2[[#This Row],[HOL]]+'Temporada 2026'!X48</f>
        <v>1</v>
      </c>
      <c r="R39">
        <f>Tabela2[[#This Row],[MAD]]+'Temporada 2026'!Y48</f>
        <v>1</v>
      </c>
      <c r="S39">
        <f>Tabela2[[#This Row],[ITA]]+'Temporada 2026'!Z48</f>
        <v>1</v>
      </c>
      <c r="T39">
        <f>Tabela2[[#This Row],[AZE]]+'Temporada 2026'!AA48</f>
        <v>1</v>
      </c>
      <c r="U39">
        <f>Tabela2[[#This Row],[SIN]]+'Temporada 2026'!AB48</f>
        <v>1</v>
      </c>
      <c r="V39">
        <f>Tabela2[[#This Row],[USA]]+'Temporada 2026'!AC48</f>
        <v>1</v>
      </c>
      <c r="W39">
        <f>Tabela2[[#This Row],[MEX]]+'Temporada 2026'!AD48</f>
        <v>1</v>
      </c>
      <c r="X39">
        <f>Tabela2[[#This Row],[SÃO]]+'Temporada 2026'!AE48</f>
        <v>1</v>
      </c>
      <c r="Y39">
        <f>Tabela2[[#This Row],[VEG]]+'Temporada 2026'!AF48</f>
        <v>1</v>
      </c>
      <c r="Z39">
        <f>Tabela2[[#This Row],[QAT]]+'Temporada 2026'!AG48</f>
        <v>1</v>
      </c>
    </row>
    <row r="40" spans="1:26" x14ac:dyDescent="0.2">
      <c r="A40">
        <f>'Temporada 2026'!B49</f>
        <v>11</v>
      </c>
      <c r="B40" t="str">
        <f>'Temporada 2026'!C49</f>
        <v>Cadillac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Row],[SAU]]+'Temporada 2026'!O49</f>
        <v>0</v>
      </c>
      <c r="I40">
        <f>Tabela2[[#This Row],[MIA]]+'Temporada 2026'!P49</f>
        <v>0</v>
      </c>
      <c r="J40">
        <f>Tabela2[[#This Row],[CAN]]+'Temporada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Row],[AUT]]+'Temporada 2026'!T49</f>
        <v>0</v>
      </c>
      <c r="N40">
        <f>Tabela2[[#This Row],[ING]]+'Temporada 2026'!U49</f>
        <v>0</v>
      </c>
      <c r="O40">
        <f>Tabela2[[#This Row],[BEL]]+'Temporada 2026'!V49</f>
        <v>0</v>
      </c>
      <c r="P40">
        <f>Tabela2[[#This Row],[HUN]]+'Temporada 2026'!W49</f>
        <v>0</v>
      </c>
      <c r="Q40">
        <f>Tabela2[[#This Row],[HOL]]+'Temporada 2026'!X49</f>
        <v>0</v>
      </c>
      <c r="R40">
        <f>Tabela2[[#This Row],[MAD]]+'Temporada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Row],[SAU]]+'Temporada 2026'!O50</f>
        <v>#VALUE!</v>
      </c>
      <c r="I41" t="e">
        <f>Tabela2[[#This Row],[MIA]]+'Temporada 2026'!P50</f>
        <v>#VALUE!</v>
      </c>
      <c r="J41" t="e">
        <f>Tabela2[[#This Row],[CAN]]+'Temporada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Row],[AUT]]+'Temporada 2026'!T50</f>
        <v>#VALUE!</v>
      </c>
      <c r="N41" t="e">
        <f>Tabela2[[#This Row],[ING]]+'Temporada 2026'!U50</f>
        <v>#VALUE!</v>
      </c>
      <c r="O41" t="e">
        <f>Tabela2[[#This Row],[BEL]]+'Temporada 2026'!V50</f>
        <v>#VALUE!</v>
      </c>
      <c r="P41" t="e">
        <f>Tabela2[[#This Row],[HUN]]+'Temporada 2026'!W50</f>
        <v>#VALUE!</v>
      </c>
      <c r="Q41" t="e">
        <f>Tabela2[[#This Row],[HOL]]+'Temporada 2026'!X50</f>
        <v>#VALUE!</v>
      </c>
      <c r="R41" t="e">
        <f>Tabela2[[#This Row],[MAD]]+'Temporada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Row],[SAU]]+'Temporada 2026'!O51</f>
        <v>#VALUE!</v>
      </c>
      <c r="I42" t="e">
        <f>Tabela2[[#This Row],[MIA]]+'Temporada 2026'!P51</f>
        <v>#VALUE!</v>
      </c>
      <c r="J42" t="e">
        <f>Tabela2[[#This Row],[CAN]]+'Temporada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Row],[AUT]]+'Temporada 2026'!T51</f>
        <v>#VALUE!</v>
      </c>
      <c r="N42" t="e">
        <f>Tabela2[[#This Row],[ING]]+'Temporada 2026'!U51</f>
        <v>#VALUE!</v>
      </c>
      <c r="O42" t="e">
        <f>Tabela2[[#This Row],[BEL]]+'Temporada 2026'!V51</f>
        <v>#VALUE!</v>
      </c>
      <c r="P42" t="e">
        <f>Tabela2[[#This Row],[HUN]]+'Temporada 2026'!W51</f>
        <v>#VALUE!</v>
      </c>
      <c r="Q42" t="e">
        <f>Tabela2[[#This Row],[HOL]]+'Temporada 2026'!X51</f>
        <v>#VALUE!</v>
      </c>
      <c r="R42" t="e">
        <f>Tabela2[[#This Row],[MAD]]+'Temporada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381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Row],[SAU]]</f>
        <v>0</v>
      </c>
      <c r="I43" s="23">
        <f>Tabela2[[#This Row],[MIA]]</f>
        <v>0</v>
      </c>
      <c r="J43" s="23">
        <f>Tabela2[[#This Row],[CAN]]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Row],[AUT]]</f>
        <v>0</v>
      </c>
      <c r="N43" s="23">
        <f>Tabela2[[#This Row],[ING]]</f>
        <v>0</v>
      </c>
      <c r="O43" s="23">
        <f>Tabela2[[#This Row],[BEL]]</f>
        <v>0</v>
      </c>
      <c r="P43" s="23">
        <f>Tabela2[[#This Row],[HUN]]</f>
        <v>0</v>
      </c>
      <c r="Q43" s="23">
        <f>Tabela2[[#This Row],[HOL]]</f>
        <v>0</v>
      </c>
      <c r="R43" s="23">
        <f>Tabela2[[#This Row],[MAD]]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6" t="s">
        <v>394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  <c r="AG2" s="156"/>
    </row>
    <row r="3" spans="1:42" ht="12.75" customHeight="1" x14ac:dyDescent="0.2"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  <c r="AG3" s="156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7" t="s">
        <v>412</v>
      </c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  <c r="AG5" s="157"/>
    </row>
    <row r="6" spans="1:42" x14ac:dyDescent="0.2">
      <c r="B6" s="154" t="s">
        <v>244</v>
      </c>
      <c r="C6" s="154" t="s">
        <v>29</v>
      </c>
      <c r="D6" s="154" t="s">
        <v>16</v>
      </c>
      <c r="E6" s="154" t="s">
        <v>17</v>
      </c>
      <c r="F6" s="154" t="s">
        <v>245</v>
      </c>
      <c r="G6" s="154" t="s">
        <v>246</v>
      </c>
      <c r="H6" s="154" t="s">
        <v>358</v>
      </c>
      <c r="I6" s="154" t="s">
        <v>253</v>
      </c>
      <c r="J6" s="155" t="s">
        <v>232</v>
      </c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J6" s="110"/>
    </row>
    <row r="7" spans="1:42" x14ac:dyDescent="0.2">
      <c r="B7" s="154"/>
      <c r="C7" s="154"/>
      <c r="D7" s="154"/>
      <c r="E7" s="154"/>
      <c r="F7" s="154"/>
      <c r="G7" s="154"/>
      <c r="H7" s="154"/>
      <c r="I7" s="154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179</v>
      </c>
      <c r="H8" s="123"/>
      <c r="I8" s="126">
        <f>IF(B8="","",SUMIF(Resultados!$M$3:$M$30,C8,Resultados!$O$3:$O$30))</f>
        <v>5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IF(C8&lt;&gt;"",SUMIF(Resultados!$C$223:$C$268,'Temporada 2026'!C8,Resultados!$F$223:$F$268),"")</f>
        <v>31</v>
      </c>
      <c r="Q8" s="121">
        <f>IF(C8&lt;&gt;"",SUMIF(Resultados!$C$275:$C$300,'Temporada 2026'!C8,Resultados!$F$275:$F$300),"")</f>
        <v>25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15</v>
      </c>
      <c r="T8" s="121">
        <f>IF(C8&lt;&gt;"",SUMIF(Resultados!$C$360:$C$409,'Temporada 2026'!C8,Resultados!$F$360:$F$409),"")</f>
        <v>8</v>
      </c>
      <c r="U8" s="121">
        <f>IF(C8&lt;&gt;"",SUMIF(Resultados!$C$412:$C$437,'Temporada 2026'!C8,Resultados!$F$412:$F$437),"")</f>
        <v>0</v>
      </c>
      <c r="V8" s="121">
        <f>IF(C8&lt;&gt;"",SUMIF(Resultados!$C$440:$C$465,'Temporada 2026'!C8,Resultados!$F$440:$F$465),"")</f>
        <v>0</v>
      </c>
      <c r="W8" s="121">
        <f>IF(C8&lt;&gt;"",SUMIF(Resultados!$C$469:$C$518,'Temporada 2026'!C8,Resultados!$F$469:$F$518),"")</f>
        <v>0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IF(C8&lt;&gt;"",SUMIF(Resultados!$C$606:$C$655,'Temporada 2026'!C8,Resultados!$F$606:$F$655),"")</f>
        <v>0</v>
      </c>
      <c r="AB8" s="121">
        <f>IF(C8&lt;&gt;"",SUMIF(Resultados!$C$658:$C$683,'Temporada 2026'!C8,Resultados!$F$658:$F$683),"")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IF(C8&lt;&gt;"",SUMIF(Resultados!$C$714:$C$739,'Temporada 2026'!C8,Resultados!$F$714:$F$739),"")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IF(C8&lt;&gt;"",SUMIF(Resultados!$C$770:$C$795,'Temporada 2026'!C8,Resultados!$F$770:$F$795),"")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George Russell</v>
      </c>
      <c r="D9" s="123" t="str">
        <f>VLOOKUP(B9,'Dummy Table'!$A$3:$C$30,3,FALSE)</f>
        <v>Inglaterra</v>
      </c>
      <c r="E9" s="123" t="str">
        <f>VLOOKUP(B9,'Dummy Table'!$A$3:$D$30,4,FALSE)</f>
        <v>Mercedes</v>
      </c>
      <c r="F9" s="124" t="str">
        <f>IF(C9&lt;&gt;"",IF(G9+Resultados!$K$35&gt;$G$8,"J","L"),"")</f>
        <v>J</v>
      </c>
      <c r="G9" s="125">
        <f>VLOOKUP(B9,'Dummy Table'!$A$3:$E$30,5,FALSE)</f>
        <v>154</v>
      </c>
      <c r="H9" s="123">
        <f>IF(C9&lt;&gt;"",G9-G$8,"")</f>
        <v>-25</v>
      </c>
      <c r="I9" s="126">
        <f>IF(B9="","",SUMIF(Resultados!$M$3:$M$30,C9,Resultados!$O$3:$O$30))</f>
        <v>2</v>
      </c>
      <c r="J9" s="121">
        <f>IF(C9&lt;&gt;"",SUMIF(Resultados!$C$4:$C$29,'Temporada 2026'!C9,Resultados!$F$4:$F$29),"")</f>
        <v>25</v>
      </c>
      <c r="K9" s="121">
        <f>IF(C9&lt;&gt;"",SUMIF(Resultados!$C$33:$C$82,'Temporada 2026'!C9,Resultados!$F$33:$F$82),"")</f>
        <v>26</v>
      </c>
      <c r="L9" s="121">
        <f>IF(C9&lt;&gt;"",SUMIF(Resultados!$C$85:$C$110,'Temporada 2026'!C9,Resultados!$F$85:$F$110),"")</f>
        <v>12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17</v>
      </c>
      <c r="P9" s="121">
        <f>IF(C9&lt;&gt;"",SUMIF(Resultados!$C$223:$C$268,'Temporada 2026'!C9,Resultados!$F$223:$F$268),"")</f>
        <v>8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18</v>
      </c>
      <c r="S9" s="121">
        <f>IF(C9&lt;&gt;"",SUMIF(Resultados!$C$331:$C$356,'Temporada 2026'!C9,Resultados!$F$331:$F$356),"")</f>
        <v>25</v>
      </c>
      <c r="T9" s="121">
        <f>IF(C9&lt;&gt;"",SUMIF(Resultados!$C$360:$C$409,'Temporada 2026'!C9,Resultados!$F$360:$F$409),"")</f>
        <v>23</v>
      </c>
      <c r="U9" s="121">
        <f>IF(C9&lt;&gt;"",SUMIF(Resultados!$C$412:$C$437,'Temporada 2026'!C9,Resultados!$F$412:$F$437),"")</f>
        <v>0</v>
      </c>
      <c r="V9" s="121">
        <f>IF(C9&lt;&gt;"",SUMIF(Resultados!$C$440:$C$465,'Temporada 2026'!C9,Resultados!$F$440:$F$465),"")</f>
        <v>0</v>
      </c>
      <c r="W9" s="121">
        <f>IF(C9&lt;&gt;"",SUMIF(Resultados!$C$469:$C$518,'Temporada 2026'!C9,Resultados!$F$469:$F$518),"")</f>
        <v>0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IF(C9&lt;&gt;"",SUMIF(Resultados!$C$606:$C$655,'Temporada 2026'!C9,Resultados!$F$606:$F$655),"")</f>
        <v>0</v>
      </c>
      <c r="AB9" s="121">
        <f>IF(C9&lt;&gt;"",SUMIF(Resultados!$C$658:$C$683,'Temporada 2026'!C9,Resultados!$F$658:$F$683),"")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IF(C9&lt;&gt;"",SUMIF(Resultados!$C$714:$C$739,'Temporada 2026'!C9,Resultados!$F$714:$F$739),"")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IF(C9&lt;&gt;"",SUMIF(Resultados!$C$770:$C$795,'Temporada 2026'!C9,Resultados!$F$770:$F$795),"")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Lewis Hamilton</v>
      </c>
      <c r="D10" s="123" t="str">
        <f>VLOOKUP(B10,'Dummy Table'!$A$3:$C$30,3,FALSE)</f>
        <v>Inglaterra</v>
      </c>
      <c r="E10" s="123" t="str">
        <f>VLOOKUP(B10,'Dummy Table'!$A$3:$D$30,4,FALSE)</f>
        <v>Ferrari</v>
      </c>
      <c r="F10" s="124" t="str">
        <f>IF(C10&lt;&gt;"",IF(G10+Resultados!$K$35&gt;$G$8,"J","L"),"")</f>
        <v>J</v>
      </c>
      <c r="G10" s="125">
        <f>VLOOKUP(B10,'Dummy Table'!$A$3:$E$30,5,FALSE)</f>
        <v>147</v>
      </c>
      <c r="H10" s="123">
        <f t="shared" ref="H10:H31" si="0">IF(C10&lt;&gt;"",G10-G$8,"")</f>
        <v>-32</v>
      </c>
      <c r="I10" s="126">
        <f>IF(B10="","",SUMIF(Resultados!$M$3:$M$30,C10,Resultados!$O$3:$O$30))</f>
        <v>1</v>
      </c>
      <c r="J10" s="121">
        <f>IF(C10&lt;&gt;"",SUMIF(Resultados!$C$4:$C$29,'Temporada 2026'!C10,Resultados!$F$4:$F$29),"")</f>
        <v>12</v>
      </c>
      <c r="K10" s="121">
        <f>IF(C10&lt;&gt;"",SUMIF(Resultados!$C$33:$C$82,'Temporada 2026'!C10,Resultados!$F$33:$F$82),"")</f>
        <v>21</v>
      </c>
      <c r="L10" s="121">
        <f>IF(C10&lt;&gt;"",SUMIF(Resultados!$C$85:$C$110,'Temporada 2026'!C10,Resultados!$F$85:$F$110),"")</f>
        <v>8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10</v>
      </c>
      <c r="P10" s="121">
        <f>IF(C10&lt;&gt;"",SUMIF(Resultados!$C$223:$C$268,'Temporada 2026'!C10,Resultados!$F$223:$F$268),"")</f>
        <v>21</v>
      </c>
      <c r="Q10" s="121">
        <f>IF(C10&lt;&gt;"",SUMIF(Resultados!$C$275:$C$300,'Temporada 2026'!C10,Resultados!$F$275:$F$300),"")</f>
        <v>18</v>
      </c>
      <c r="R10" s="121">
        <f>IF(C10&lt;&gt;"",SUMIF(Resultados!$C$303:$C$328,'Temporada 2026'!C10,Resultados!$F$303:$F$328),"")</f>
        <v>25</v>
      </c>
      <c r="S10" s="121">
        <f>IF(C10&lt;&gt;"",SUMIF(Resultados!$C$331:$C$356,'Temporada 2026'!C10,Resultados!$F$331:$F$356),"")</f>
        <v>10</v>
      </c>
      <c r="T10" s="121">
        <f>IF(C10&lt;&gt;"",SUMIF(Resultados!$C$360:$C$409,'Temporada 2026'!C10,Resultados!$F$360:$F$409),"")</f>
        <v>22</v>
      </c>
      <c r="U10" s="121">
        <f>IF(C10&lt;&gt;"",SUMIF(Resultados!$C$412:$C$437,'Temporada 2026'!C10,Resultados!$F$412:$F$437),"")</f>
        <v>0</v>
      </c>
      <c r="V10" s="121">
        <f>IF(C10&lt;&gt;"",SUMIF(Resultados!$C$440:$C$465,'Temporada 2026'!C10,Resultados!$F$440:$F$465),"")</f>
        <v>0</v>
      </c>
      <c r="W10" s="121">
        <f>IF(C10&lt;&gt;"",SUMIF(Resultados!$C$469:$C$518,'Temporada 2026'!C10,Resultados!$F$469:$F$518),"")</f>
        <v>0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IF(C10&lt;&gt;"",SUMIF(Resultados!$C$606:$C$655,'Temporada 2026'!C10,Resultados!$F$606:$F$655),"")</f>
        <v>0</v>
      </c>
      <c r="AB10" s="121">
        <f>IF(C10&lt;&gt;"",SUMIF(Resultados!$C$658:$C$683,'Temporada 2026'!C10,Resultados!$F$658:$F$683),"")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IF(C10&lt;&gt;"",SUMIF(Resultados!$C$714:$C$739,'Temporada 2026'!C10,Resultados!$F$714:$F$739),"")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IF(C10&lt;&gt;"",SUMIF(Resultados!$C$770:$C$795,'Temporada 2026'!C10,Resultados!$F$770:$F$795),"")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Charles Leclerc</v>
      </c>
      <c r="D11" s="123" t="str">
        <f>VLOOKUP(B11,'Dummy Table'!$A$3:$C$30,3,FALSE)</f>
        <v>Mônaco</v>
      </c>
      <c r="E11" s="123" t="str">
        <f>VLOOKUP(B11,'Dummy Table'!$A$3:$D$30,4,FALSE)</f>
        <v>Ferrari</v>
      </c>
      <c r="F11" s="124" t="str">
        <f>IF(C11&lt;&gt;"",IF(G11+Resultados!$K$35&gt;$G$8,"J","L"),"")</f>
        <v>J</v>
      </c>
      <c r="G11" s="125">
        <f>VLOOKUP(B11,'Dummy Table'!$A$3:$E$30,5,FALSE)</f>
        <v>108</v>
      </c>
      <c r="H11" s="123">
        <f t="shared" si="0"/>
        <v>-71</v>
      </c>
      <c r="I11" s="126">
        <f>IF(B11="","",SUMIF(Resultados!$M$3:$M$30,C11,Resultados!$O$3:$O$30))</f>
        <v>1</v>
      </c>
      <c r="J11" s="121">
        <f>IF(C11&lt;&gt;"",SUMIF(Resultados!$C$4:$C$29,'Temporada 2026'!C11,Resultados!$F$4:$F$29),"")</f>
        <v>15</v>
      </c>
      <c r="K11" s="121">
        <f>IF(C11&lt;&gt;"",SUMIF(Resultados!$C$33:$C$82,'Temporada 2026'!C11,Resultados!$F$33:$F$82),"")</f>
        <v>19</v>
      </c>
      <c r="L11" s="121">
        <f>IF(C11&lt;&gt;"",SUMIF(Resultados!$C$85:$C$110,'Temporada 2026'!C11,Resultados!$F$85:$F$110),"")</f>
        <v>15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10</v>
      </c>
      <c r="P11" s="121">
        <f>IF(C11&lt;&gt;"",SUMIF(Resultados!$C$223:$C$268,'Temporada 2026'!C11,Resultados!$F$223:$F$268),"")</f>
        <v>16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0</v>
      </c>
      <c r="S11" s="121">
        <f>IF(C11&lt;&gt;"",SUMIF(Resultados!$C$331:$C$356,'Temporada 2026'!C11,Resultados!$F$331:$F$356),"")</f>
        <v>4</v>
      </c>
      <c r="T11" s="121">
        <f>IF(C11&lt;&gt;"",SUMIF(Resultados!$C$360:$C$409,'Temporada 2026'!C11,Resultados!$F$360:$F$409),"")</f>
        <v>29</v>
      </c>
      <c r="U11" s="121">
        <f>IF(C11&lt;&gt;"",SUMIF(Resultados!$C$412:$C$437,'Temporada 2026'!C11,Resultados!$F$412:$F$437),"")</f>
        <v>0</v>
      </c>
      <c r="V11" s="121">
        <f>IF(C11&lt;&gt;"",SUMIF(Resultados!$C$440:$C$465,'Temporada 2026'!C11,Resultados!$F$440:$F$465),"")</f>
        <v>0</v>
      </c>
      <c r="W11" s="121">
        <f>IF(C11&lt;&gt;"",SUMIF(Resultados!$C$469:$C$518,'Temporada 2026'!C11,Resultados!$F$469:$F$518),"")</f>
        <v>0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IF(C11&lt;&gt;"",SUMIF(Resultados!$C$606:$C$655,'Temporada 2026'!C11,Resultados!$F$606:$F$655),"")</f>
        <v>0</v>
      </c>
      <c r="AB11" s="121">
        <f>IF(C11&lt;&gt;"",SUMIF(Resultados!$C$658:$C$683,'Temporada 2026'!C11,Resultados!$F$658:$F$683),"")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IF(C11&lt;&gt;"",SUMIF(Resultados!$C$714:$C$739,'Temporada 2026'!C11,Resultados!$F$714:$F$739),"")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IF(C11&lt;&gt;"",SUMIF(Resultados!$C$770:$C$795,'Temporada 2026'!C11,Resultados!$F$770:$F$795),"")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Lando Norris</v>
      </c>
      <c r="D12" s="123" t="str">
        <f>VLOOKUP(B12,'Dummy Table'!$A$3:$C$30,3,FALSE)</f>
        <v>Inglaterra</v>
      </c>
      <c r="E12" s="123" t="str">
        <f>VLOOKUP(B12,'Dummy Table'!$A$3:$D$30,4,FALSE)</f>
        <v>McLaren</v>
      </c>
      <c r="F12" s="124" t="str">
        <f>IF(C12&lt;&gt;"",IF(G12+Resultados!$K$35&gt;$G$8,"J","L"),"")</f>
        <v>J</v>
      </c>
      <c r="G12" s="125">
        <f>VLOOKUP(B12,'Dummy Table'!$A$3:$E$30,5,FALSE)</f>
        <v>97</v>
      </c>
      <c r="H12" s="123">
        <f t="shared" si="0"/>
        <v>-82</v>
      </c>
      <c r="I12" s="126">
        <f>IF(B12="","",SUMIF(Resultados!$M$3:$M$30,C12,Resultados!$O$3:$O$30))</f>
        <v>0</v>
      </c>
      <c r="J12" s="121">
        <f>IF(C12&lt;&gt;"",SUMIF(Resultados!$C$4:$C$29,'Temporada 2026'!C12,Resultados!$F$4:$F$29),"")</f>
        <v>10</v>
      </c>
      <c r="K12" s="121">
        <f>IF(C12&lt;&gt;"",SUMIF(Resultados!$C$33:$C$82,'Temporada 2026'!C12,Resultados!$F$33:$F$82),"")</f>
        <v>5</v>
      </c>
      <c r="L12" s="121">
        <f>IF(C12&lt;&gt;"",SUMIF(Resultados!$C$85:$C$110,'Temporada 2026'!C12,Resultados!$F$85:$F$110),"")</f>
        <v>10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26</v>
      </c>
      <c r="P12" s="121">
        <f>IF(C12&lt;&gt;"",SUMIF(Resultados!$C$223:$C$268,'Temporada 2026'!C12,Resultados!$F$223:$F$268),"")</f>
        <v>7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15</v>
      </c>
      <c r="S12" s="121">
        <f>IF(C12&lt;&gt;"",SUMIF(Resultados!$C$331:$C$356,'Temporada 2026'!C12,Resultados!$F$331:$F$356),"")</f>
        <v>6</v>
      </c>
      <c r="T12" s="121">
        <f>IF(C12&lt;&gt;"",SUMIF(Resultados!$C$360:$C$409,'Temporada 2026'!C12,Resultados!$F$360:$F$409),"")</f>
        <v>18</v>
      </c>
      <c r="U12" s="121">
        <f>IF(C12&lt;&gt;"",SUMIF(Resultados!$C$412:$C$437,'Temporada 2026'!C12,Resultados!$F$412:$F$437),"")</f>
        <v>0</v>
      </c>
      <c r="V12" s="121">
        <f>IF(C12&lt;&gt;"",SUMIF(Resultados!$C$440:$C$465,'Temporada 2026'!C12,Resultados!$F$440:$F$465),"")</f>
        <v>0</v>
      </c>
      <c r="W12" s="121">
        <f>IF(C12&lt;&gt;"",SUMIF(Resultados!$C$469:$C$518,'Temporada 2026'!C12,Resultados!$F$469:$F$518),"")</f>
        <v>0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IF(C12&lt;&gt;"",SUMIF(Resultados!$C$606:$C$655,'Temporada 2026'!C12,Resultados!$F$606:$F$655),"")</f>
        <v>0</v>
      </c>
      <c r="AB12" s="121">
        <f>IF(C12&lt;&gt;"",SUMIF(Resultados!$C$658:$C$683,'Temporada 2026'!C12,Resultados!$F$658:$F$683),"")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IF(C12&lt;&gt;"",SUMIF(Resultados!$C$714:$C$739,'Temporada 2026'!C12,Resultados!$F$714:$F$739),"")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IF(C12&lt;&gt;"",SUMIF(Resultados!$C$770:$C$795,'Temporada 2026'!C12,Resultados!$F$770:$F$795),"")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Oscar Piastri</v>
      </c>
      <c r="D13" s="123" t="str">
        <f>VLOOKUP(B13,'Dummy Table'!$A$3:$C$30,3,FALSE)</f>
        <v>Austrália</v>
      </c>
      <c r="E13" s="123" t="str">
        <f>VLOOKUP(B13,'Dummy Table'!$A$3:$D$30,4,FALSE)</f>
        <v>McLaren</v>
      </c>
      <c r="F13" s="124" t="str">
        <f>IF(C13&lt;&gt;"",IF(G13+Resultados!$K$35&gt;$G$8,"J","L"),"")</f>
        <v>J</v>
      </c>
      <c r="G13" s="125">
        <f>VLOOKUP(B13,'Dummy Table'!$A$3:$E$30,5,FALSE)</f>
        <v>82</v>
      </c>
      <c r="H13" s="123">
        <f t="shared" si="0"/>
        <v>-97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0</v>
      </c>
      <c r="K13" s="121">
        <f>IF(C13&lt;&gt;"",SUMIF(Resultados!$C$33:$C$82,'Temporada 2026'!C13,Resultados!$F$33:$F$82),"")</f>
        <v>3</v>
      </c>
      <c r="L13" s="121">
        <f>IF(C13&lt;&gt;"",SUMIF(Resultados!$C$85:$C$110,'Temporada 2026'!C13,Resultados!$F$85:$F$110),"")</f>
        <v>18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22</v>
      </c>
      <c r="P13" s="121">
        <f>IF(C13&lt;&gt;"",SUMIF(Resultados!$C$223:$C$268,'Temporada 2026'!C13,Resultados!$F$223:$F$268),"")</f>
        <v>5</v>
      </c>
      <c r="Q13" s="121">
        <f>IF(C13&lt;&gt;"",SUMIF(Resultados!$C$275:$C$300,'Temporada 2026'!C13,Resultados!$F$275:$F$300),"")</f>
        <v>10</v>
      </c>
      <c r="R13" s="121">
        <f>IF(C13&lt;&gt;"",SUMIF(Resultados!$C$303:$C$328,'Temporada 2026'!C13,Resultados!$F$303:$F$328),"")</f>
        <v>10</v>
      </c>
      <c r="S13" s="121">
        <f>IF(C13&lt;&gt;"",SUMIF(Resultados!$C$331:$C$356,'Temporada 2026'!C13,Resultados!$F$331:$F$356),"")</f>
        <v>12</v>
      </c>
      <c r="T13" s="121">
        <f>IF(C13&lt;&gt;"",SUMIF(Resultados!$C$360:$C$409,'Temporada 2026'!C13,Resultados!$F$360:$F$409),"")</f>
        <v>2</v>
      </c>
      <c r="U13" s="121">
        <f>IF(C13&lt;&gt;"",SUMIF(Resultados!$C$412:$C$437,'Temporada 2026'!C13,Resultados!$F$412:$F$437),"")</f>
        <v>0</v>
      </c>
      <c r="V13" s="121">
        <f>IF(C13&lt;&gt;"",SUMIF(Resultados!$C$440:$C$465,'Temporada 2026'!C13,Resultados!$F$440:$F$465),"")</f>
        <v>0</v>
      </c>
      <c r="W13" s="121">
        <f>IF(C13&lt;&gt;"",SUMIF(Resultados!$C$469:$C$518,'Temporada 2026'!C13,Resultados!$F$469:$F$518),"")</f>
        <v>0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IF(C13&lt;&gt;"",SUMIF(Resultados!$C$606:$C$655,'Temporada 2026'!C13,Resultados!$F$606:$F$655),"")</f>
        <v>0</v>
      </c>
      <c r="AB13" s="121">
        <f>IF(C13&lt;&gt;"",SUMIF(Resultados!$C$658:$C$683,'Temporada 2026'!C13,Resultados!$F$658:$F$683),"")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IF(C13&lt;&gt;"",SUMIF(Resultados!$C$714:$C$739,'Temporada 2026'!C13,Resultados!$F$714:$F$739),"")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IF(C13&lt;&gt;"",SUMIF(Resultados!$C$770:$C$795,'Temporada 2026'!C13,Resultados!$F$770:$F$795),"")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Max Verstappen</v>
      </c>
      <c r="D14" s="123" t="str">
        <f>VLOOKUP(B14,'Dummy Table'!$A$3:$C$30,3,FALSE)</f>
        <v>Holanda</v>
      </c>
      <c r="E14" s="123" t="str">
        <f>VLOOKUP(B14,'Dummy Table'!$A$3:$D$30,4,FALSE)</f>
        <v>Red Bull</v>
      </c>
      <c r="F14" s="124" t="str">
        <f>IF(C14&lt;&gt;"",IF(G14+Resultados!$K$35&gt;$G$8,"J","L"),"")</f>
        <v>J</v>
      </c>
      <c r="G14" s="125">
        <f>VLOOKUP(B14,'Dummy Table'!$A$3:$E$30,5,FALSE)</f>
        <v>76</v>
      </c>
      <c r="H14" s="123">
        <f t="shared" si="0"/>
        <v>-103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8</v>
      </c>
      <c r="K14" s="121">
        <f>IF(C14&lt;&gt;"",SUMIF(Resultados!$C$33:$C$82,'Temporada 2026'!C14,Resultados!$F$33:$F$82),"")</f>
        <v>0</v>
      </c>
      <c r="L14" s="121">
        <f>IF(C14&lt;&gt;"",SUMIF(Resultados!$C$85:$C$110,'Temporada 2026'!C14,Resultados!$F$85:$F$110),"")</f>
        <v>4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14</v>
      </c>
      <c r="P14" s="121">
        <f>IF(C14&lt;&gt;"",SUMIF(Resultados!$C$223:$C$268,'Temporada 2026'!C14,Resultados!$F$223:$F$268),"")</f>
        <v>17</v>
      </c>
      <c r="Q14" s="121">
        <f>IF(C14&lt;&gt;"",SUMIF(Resultados!$C$275:$C$300,'Temporada 2026'!C14,Resultados!$F$275:$F$300),"")</f>
        <v>0</v>
      </c>
      <c r="R14" s="121">
        <f>IF(C14&lt;&gt;"",SUMIF(Resultados!$C$303:$C$328,'Temporada 2026'!C14,Resultados!$F$303:$F$328),"")</f>
        <v>12</v>
      </c>
      <c r="S14" s="121">
        <f>IF(C14&lt;&gt;"",SUMIF(Resultados!$C$331:$C$356,'Temporada 2026'!C14,Resultados!$F$331:$F$356),"")</f>
        <v>18</v>
      </c>
      <c r="T14" s="121">
        <f>IF(C14&lt;&gt;"",SUMIF(Resultados!$C$360:$C$409,'Temporada 2026'!C14,Resultados!$F$360:$F$409),"")</f>
        <v>3</v>
      </c>
      <c r="U14" s="121">
        <f>IF(C14&lt;&gt;"",SUMIF(Resultados!$C$412:$C$437,'Temporada 2026'!C14,Resultados!$F$412:$F$437),"")</f>
        <v>0</v>
      </c>
      <c r="V14" s="121">
        <f>IF(C14&lt;&gt;"",SUMIF(Resultados!$C$440:$C$465,'Temporada 2026'!C14,Resultados!$F$440:$F$465),"")</f>
        <v>0</v>
      </c>
      <c r="W14" s="121">
        <f>IF(C14&lt;&gt;"",SUMIF(Resultados!$C$469:$C$518,'Temporada 2026'!C14,Resultados!$F$469:$F$518),"")</f>
        <v>0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IF(C14&lt;&gt;"",SUMIF(Resultados!$C$606:$C$655,'Temporada 2026'!C14,Resultados!$F$606:$F$655),"")</f>
        <v>0</v>
      </c>
      <c r="AB14" s="121">
        <f>IF(C14&lt;&gt;"",SUMIF(Resultados!$C$658:$C$683,'Temporada 2026'!C14,Resultados!$F$658:$F$683),"")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IF(C14&lt;&gt;"",SUMIF(Resultados!$C$714:$C$739,'Temporada 2026'!C14,Resultados!$F$714:$F$739),"")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IF(C14&lt;&gt;"",SUMIF(Resultados!$C$770:$C$795,'Temporada 2026'!C14,Resultados!$F$770:$F$795),"")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Isack Hadjar</v>
      </c>
      <c r="D15" s="123" t="str">
        <f>VLOOKUP(B15,'Dummy Table'!$A$3:$C$30,3,FALSE)</f>
        <v>França</v>
      </c>
      <c r="E15" s="123" t="str">
        <f>VLOOKUP(B15,'Dummy Table'!$A$3:$D$30,4,FALSE)</f>
        <v>Red Bull</v>
      </c>
      <c r="F15" s="124" t="str">
        <f>IF(C15&lt;&gt;"",IF(G15+Resultados!$K$35&gt;$G$8,"J","L"),"")</f>
        <v>J</v>
      </c>
      <c r="G15" s="125">
        <f>VLOOKUP(B15,'Dummy Table'!$A$3:$E$30,5,FALSE)</f>
        <v>52</v>
      </c>
      <c r="H15" s="123">
        <f t="shared" si="0"/>
        <v>-127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0</v>
      </c>
      <c r="K15" s="121">
        <f>IF(C15&lt;&gt;"",SUMIF(Resultados!$C$33:$C$82,'Temporada 2026'!C15,Resultados!$F$33:$F$82),"")</f>
        <v>4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IF(C15&lt;&gt;"",SUMIF(Resultados!$C$223:$C$268,'Temporada 2026'!C15,Resultados!$F$223:$F$268),"")</f>
        <v>10</v>
      </c>
      <c r="Q15" s="121">
        <f>IF(C15&lt;&gt;"",SUMIF(Resultados!$C$275:$C$300,'Temporada 2026'!C15,Resultados!$F$275:$F$300),"")</f>
        <v>12</v>
      </c>
      <c r="R15" s="121">
        <f>IF(C15&lt;&gt;"",SUMIF(Resultados!$C$303:$C$328,'Temporada 2026'!C15,Resultados!$F$303:$F$328),"")</f>
        <v>8</v>
      </c>
      <c r="S15" s="121">
        <f>IF(C15&lt;&gt;"",SUMIF(Resultados!$C$331:$C$356,'Temporada 2026'!C15,Resultados!$F$331:$F$356),"")</f>
        <v>8</v>
      </c>
      <c r="T15" s="121">
        <f>IF(C15&lt;&gt;"",SUMIF(Resultados!$C$360:$C$409,'Temporada 2026'!C15,Resultados!$F$360:$F$409),"")</f>
        <v>10</v>
      </c>
      <c r="U15" s="121">
        <f>IF(C15&lt;&gt;"",SUMIF(Resultados!$C$412:$C$437,'Temporada 2026'!C15,Resultados!$F$412:$F$437),"")</f>
        <v>0</v>
      </c>
      <c r="V15" s="121">
        <f>IF(C15&lt;&gt;"",SUMIF(Resultados!$C$440:$C$465,'Temporada 2026'!C15,Resultados!$F$440:$F$465),"")</f>
        <v>0</v>
      </c>
      <c r="W15" s="121">
        <f>IF(C15&lt;&gt;"",SUMIF(Resultados!$C$469:$C$518,'Temporada 2026'!C15,Resultados!$F$469:$F$518),"")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IF(C15&lt;&gt;"",SUMIF(Resultados!$C$606:$C$655,'Temporada 2026'!C15,Resultados!$F$606:$F$655),"")</f>
        <v>0</v>
      </c>
      <c r="AB15" s="121">
        <f>IF(C15&lt;&gt;"",SUMIF(Resultados!$C$658:$C$683,'Temporada 2026'!C15,Resultados!$F$658:$F$683),"")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IF(C15&lt;&gt;"",SUMIF(Resultados!$C$714:$C$739,'Temporada 2026'!C15,Resultados!$F$714:$F$739),"")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IF(C15&lt;&gt;"",SUMIF(Resultados!$C$770:$C$795,'Temporada 2026'!C15,Resultados!$F$770:$F$795),"")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Pierre Gasly</v>
      </c>
      <c r="D16" s="123" t="str">
        <f>VLOOKUP(B16,'Dummy Table'!$A$3:$C$30,3,FALSE)</f>
        <v>França</v>
      </c>
      <c r="E16" s="123" t="str">
        <f>VLOOKUP(B16,'Dummy Table'!$A$3:$D$30,4,FALSE)</f>
        <v>Alpine</v>
      </c>
      <c r="F16" s="124" t="str">
        <f>IF(C16&lt;&gt;"",IF(G16+Resultados!$K$35&gt;$G$8,"J","L"),"")</f>
        <v>J</v>
      </c>
      <c r="G16" s="125">
        <f>VLOOKUP(B16,'Dummy Table'!$A$3:$E$30,5,FALSE)</f>
        <v>42</v>
      </c>
      <c r="H16" s="123">
        <f t="shared" si="0"/>
        <v>-137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1</v>
      </c>
      <c r="K16" s="121">
        <f>IF(C16&lt;&gt;"",SUMIF(Resultados!$C$33:$C$82,'Temporada 2026'!C16,Resultados!$F$33:$F$82),"")</f>
        <v>8</v>
      </c>
      <c r="L16" s="121">
        <f>IF(C16&lt;&gt;"",SUMIF(Resultados!$C$85:$C$110,'Temporada 2026'!C16,Resultados!$F$85:$F$110),"")</f>
        <v>6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1</v>
      </c>
      <c r="P16" s="121">
        <f>IF(C16&lt;&gt;"",SUMIF(Resultados!$C$223:$C$268,'Temporada 2026'!C16,Resultados!$F$223:$F$268),"")</f>
        <v>4</v>
      </c>
      <c r="Q16" s="121">
        <f>IF(C16&lt;&gt;"",SUMIF(Resultados!$C$275:$C$300,'Temporada 2026'!C16,Resultados!$F$275:$F$300),"")</f>
        <v>15</v>
      </c>
      <c r="R16" s="121">
        <f>IF(C16&lt;&gt;"",SUMIF(Resultados!$C$303:$C$328,'Temporada 2026'!C16,Resultados!$F$303:$F$328),"")</f>
        <v>6</v>
      </c>
      <c r="S16" s="121">
        <f>IF(C16&lt;&gt;"",SUMIF(Resultados!$C$331:$C$356,'Temporada 2026'!C16,Resultados!$F$331:$F$356),"")</f>
        <v>0</v>
      </c>
      <c r="T16" s="121">
        <f>IF(C16&lt;&gt;"",SUMIF(Resultados!$C$360:$C$409,'Temporada 2026'!C16,Resultados!$F$360:$F$409),"")</f>
        <v>1</v>
      </c>
      <c r="U16" s="121">
        <f>IF(C16&lt;&gt;"",SUMIF(Resultados!$C$412:$C$437,'Temporada 2026'!C16,Resultados!$F$412:$F$437),"")</f>
        <v>0</v>
      </c>
      <c r="V16" s="121">
        <f>IF(C16&lt;&gt;"",SUMIF(Resultados!$C$440:$C$465,'Temporada 2026'!C16,Resultados!$F$440:$F$465),"")</f>
        <v>0</v>
      </c>
      <c r="W16" s="121">
        <f>IF(C16&lt;&gt;"",SUMIF(Resultados!$C$469:$C$518,'Temporada 2026'!C16,Resultados!$F$469:$F$518),"")</f>
        <v>0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IF(C16&lt;&gt;"",SUMIF(Resultados!$C$606:$C$655,'Temporada 2026'!C16,Resultados!$F$606:$F$655),"")</f>
        <v>0</v>
      </c>
      <c r="AB16" s="121">
        <f>IF(C16&lt;&gt;"",SUMIF(Resultados!$C$658:$C$683,'Temporada 2026'!C16,Resultados!$F$658:$F$683),"")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IF(C16&lt;&gt;"",SUMIF(Resultados!$C$714:$C$739,'Temporada 2026'!C16,Resultados!$F$714:$F$739),"")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IF(C16&lt;&gt;"",SUMIF(Resultados!$C$770:$C$795,'Temporada 2026'!C16,Resultados!$F$770:$F$795),"")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Liam Lawson</v>
      </c>
      <c r="D17" s="123" t="str">
        <f>VLOOKUP(B17,'Dummy Table'!$A$3:$C$30,3,FALSE)</f>
        <v>Austrália</v>
      </c>
      <c r="E17" s="123" t="str">
        <f>VLOOKUP(B17,'Dummy Table'!$A$3:$D$30,4,FALSE)</f>
        <v>Racing Bulls</v>
      </c>
      <c r="F17" s="124" t="str">
        <f>IF(C17&lt;&gt;"",IF(G17+Resultados!$K$35&gt;$G$8,"J","L"),"")</f>
        <v>J</v>
      </c>
      <c r="G17" s="125">
        <f>VLOOKUP(B17,'Dummy Table'!$A$3:$E$30,5,FALSE)</f>
        <v>39</v>
      </c>
      <c r="H17" s="123">
        <f t="shared" si="0"/>
        <v>-140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0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2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0</v>
      </c>
      <c r="P17" s="121">
        <f>IF(C17&lt;&gt;"",SUMIF(Resultados!$C$223:$C$268,'Temporada 2026'!C17,Resultados!$F$223:$F$268),"")</f>
        <v>6</v>
      </c>
      <c r="Q17" s="121">
        <f>IF(C17&lt;&gt;"",SUMIF(Resultados!$C$275:$C$300,'Temporada 2026'!C17,Resultados!$F$275:$F$300),"")</f>
        <v>8</v>
      </c>
      <c r="R17" s="121">
        <f>IF(C17&lt;&gt;"",SUMIF(Resultados!$C$303:$C$328,'Temporada 2026'!C17,Resultados!$F$303:$F$328),"")</f>
        <v>4</v>
      </c>
      <c r="S17" s="121">
        <f>IF(C17&lt;&gt;"",SUMIF(Resultados!$C$331:$C$356,'Temporada 2026'!C17,Resultados!$F$331:$F$356),"")</f>
        <v>2</v>
      </c>
      <c r="T17" s="121">
        <f>IF(C17&lt;&gt;"",SUMIF(Resultados!$C$360:$C$409,'Temporada 2026'!C17,Resultados!$F$360:$F$409),"")</f>
        <v>9</v>
      </c>
      <c r="U17" s="121">
        <f>IF(C17&lt;&gt;"",SUMIF(Resultados!$C$412:$C$437,'Temporada 2026'!C17,Resultados!$F$412:$F$437),"")</f>
        <v>0</v>
      </c>
      <c r="V17" s="121">
        <f>IF(C17&lt;&gt;"",SUMIF(Resultados!$C$440:$C$465,'Temporada 2026'!C17,Resultados!$F$440:$F$465),"")</f>
        <v>0</v>
      </c>
      <c r="W17" s="121">
        <f>IF(C17&lt;&gt;"",SUMIF(Resultados!$C$469:$C$518,'Temporada 2026'!C17,Resultados!$F$469:$F$518),"")</f>
        <v>0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IF(C17&lt;&gt;"",SUMIF(Resultados!$C$606:$C$655,'Temporada 2026'!C17,Resultados!$F$606:$F$655),"")</f>
        <v>0</v>
      </c>
      <c r="AB17" s="121">
        <f>IF(C17&lt;&gt;"",SUMIF(Resultados!$C$658:$C$683,'Temporada 2026'!C17,Resultados!$F$658:$F$683),"")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IF(C17&lt;&gt;"",SUMIF(Resultados!$C$714:$C$739,'Temporada 2026'!C17,Resultados!$F$714:$F$739),"")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IF(C17&lt;&gt;"",SUMIF(Resultados!$C$770:$C$795,'Temporada 2026'!C17,Resultados!$F$770:$F$795),"")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Arvid Lindblad</v>
      </c>
      <c r="D18" s="123" t="str">
        <f>VLOOKUP(B18,'Dummy Table'!$A$3:$C$30,3,FALSE)</f>
        <v>Inglaterra</v>
      </c>
      <c r="E18" s="123" t="str">
        <f>VLOOKUP(B18,'Dummy Table'!$A$3:$D$30,4,FALSE)</f>
        <v>Racing Bulls</v>
      </c>
      <c r="F18" s="124" t="str">
        <f>IF(C18&lt;&gt;"",IF(G18+Resultados!$K$35&gt;$G$8,"J","L"),"")</f>
        <v>J</v>
      </c>
      <c r="G18" s="125">
        <f>VLOOKUP(B18,'Dummy Table'!$A$3:$E$30,5,FALSE)</f>
        <v>20</v>
      </c>
      <c r="H18" s="123">
        <f t="shared" si="0"/>
        <v>-159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4</v>
      </c>
      <c r="K18" s="121">
        <f>IF(C18&lt;&gt;"",SUMIF(Resultados!$C$33:$C$82,'Temporada 2026'!C18,Resultados!$F$33:$F$82),"")</f>
        <v>0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IF(C18&lt;&gt;"",SUMIF(Resultados!$C$223:$C$268,'Temporada 2026'!C18,Resultados!$F$223:$F$268),"")</f>
        <v>1</v>
      </c>
      <c r="Q18" s="121">
        <f>IF(C18&lt;&gt;"",SUMIF(Resultados!$C$275:$C$300,'Temporada 2026'!C18,Resultados!$F$275:$F$300),"")</f>
        <v>6</v>
      </c>
      <c r="R18" s="121">
        <f>IF(C18&lt;&gt;"",SUMIF(Resultados!$C$303:$C$328,'Temporada 2026'!C18,Resultados!$F$303:$F$328),"")</f>
        <v>2</v>
      </c>
      <c r="S18" s="121">
        <f>IF(C18&lt;&gt;"",SUMIF(Resultados!$C$331:$C$356,'Temporada 2026'!C18,Resultados!$F$331:$F$356),"")</f>
        <v>1</v>
      </c>
      <c r="T18" s="121">
        <f>IF(C18&lt;&gt;"",SUMIF(Resultados!$C$360:$C$409,'Temporada 2026'!C18,Resultados!$F$360:$F$409),"")</f>
        <v>6</v>
      </c>
      <c r="U18" s="121">
        <f>IF(C18&lt;&gt;"",SUMIF(Resultados!$C$412:$C$437,'Temporada 2026'!C18,Resultados!$F$412:$F$437),"")</f>
        <v>0</v>
      </c>
      <c r="V18" s="121">
        <f>IF(C18&lt;&gt;"",SUMIF(Resultados!$C$440:$C$465,'Temporada 2026'!C18,Resultados!$F$440:$F$465),"")</f>
        <v>0</v>
      </c>
      <c r="W18" s="121">
        <f>IF(C18&lt;&gt;"",SUMIF(Resultados!$C$469:$C$518,'Temporada 2026'!C18,Resultados!$F$469:$F$518),"")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IF(C18&lt;&gt;"",SUMIF(Resultados!$C$606:$C$655,'Temporada 2026'!C18,Resultados!$F$606:$F$655),"")</f>
        <v>0</v>
      </c>
      <c r="AB18" s="121">
        <f>IF(C18&lt;&gt;"",SUMIF(Resultados!$C$658:$C$683,'Temporada 2026'!C18,Resultados!$F$658:$F$683),"")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IF(C18&lt;&gt;"",SUMIF(Resultados!$C$714:$C$739,'Temporada 2026'!C18,Resultados!$F$714:$F$739),"")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IF(C18&lt;&gt;"",SUMIF(Resultados!$C$770:$C$795,'Temporada 2026'!C18,Resultados!$F$770:$F$795),"")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Oliver Bearman</v>
      </c>
      <c r="D19" s="123" t="str">
        <f>VLOOKUP(B19,'Dummy Table'!$A$3:$C$30,3,FALSE)</f>
        <v>Inglaterra</v>
      </c>
      <c r="E19" s="123" t="str">
        <f>VLOOKUP(B19,'Dummy Table'!$A$3:$D$30,4,FALSE)</f>
        <v>Haas</v>
      </c>
      <c r="F19" s="124" t="str">
        <f>IF(C19&lt;&gt;"",IF(G19+Resultados!$K$35&gt;$G$8,"J","L"),"")</f>
        <v>J</v>
      </c>
      <c r="G19" s="125">
        <f>VLOOKUP(B19,'Dummy Table'!$A$3:$E$30,5,FALSE)</f>
        <v>18</v>
      </c>
      <c r="H19" s="123">
        <f t="shared" si="0"/>
        <v>-161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6</v>
      </c>
      <c r="K19" s="121">
        <f>IF(C19&lt;&gt;"",SUMIF(Resultados!$C$33:$C$82,'Temporada 2026'!C19,Resultados!$F$33:$F$82),"")</f>
        <v>11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0</v>
      </c>
      <c r="P19" s="121">
        <f>IF(C19&lt;&gt;"",SUMIF(Resultados!$C$223:$C$268,'Temporada 2026'!C19,Resultados!$F$223:$F$268),"")</f>
        <v>1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0</v>
      </c>
      <c r="S19" s="121">
        <f>IF(C19&lt;&gt;"",SUMIF(Resultados!$C$331:$C$356,'Temporada 2026'!C19,Resultados!$F$331:$F$356),"")</f>
        <v>0</v>
      </c>
      <c r="T19" s="121">
        <f>IF(C19&lt;&gt;"",SUMIF(Resultados!$C$360:$C$409,'Temporada 2026'!C19,Resultados!$F$360:$F$409),"")</f>
        <v>0</v>
      </c>
      <c r="U19" s="121">
        <f>IF(C19&lt;&gt;"",SUMIF(Resultados!$C$412:$C$437,'Temporada 2026'!C19,Resultados!$F$412:$F$437),"")</f>
        <v>0</v>
      </c>
      <c r="V19" s="121">
        <f>IF(C19&lt;&gt;"",SUMIF(Resultados!$C$440:$C$465,'Temporada 2026'!C19,Resultados!$F$440:$F$465),"")</f>
        <v>0</v>
      </c>
      <c r="W19" s="121">
        <f>IF(C19&lt;&gt;"",SUMIF(Resultados!$C$469:$C$518,'Temporada 2026'!C19,Resultados!$F$469:$F$518),"")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IF(C19&lt;&gt;"",SUMIF(Resultados!$C$606:$C$655,'Temporada 2026'!C19,Resultados!$F$606:$F$655),"")</f>
        <v>0</v>
      </c>
      <c r="AB19" s="121">
        <f>IF(C19&lt;&gt;"",SUMIF(Resultados!$C$658:$C$683,'Temporada 2026'!C19,Resultados!$F$658:$F$683),"")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IF(C19&lt;&gt;"",SUMIF(Resultados!$C$714:$C$739,'Temporada 2026'!C19,Resultados!$F$714:$F$739),"")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IF(C19&lt;&gt;"",SUMIF(Resultados!$C$770:$C$795,'Temporada 2026'!C19,Resultados!$F$770:$F$795),"")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Franco Colapinto</v>
      </c>
      <c r="D20" s="123" t="str">
        <f>VLOOKUP(B20,'Dummy Table'!$A$3:$C$30,3,FALSE)</f>
        <v>Argentina</v>
      </c>
      <c r="E20" s="123" t="str">
        <f>VLOOKUP(B20,'Dummy Table'!$A$3:$D$30,4,FALSE)</f>
        <v>Alpine</v>
      </c>
      <c r="F20" s="124" t="str">
        <f>IF(C20&lt;&gt;"",IF(G20+Resultados!$K$35&gt;$G$8,"J","L"),"")</f>
        <v>J</v>
      </c>
      <c r="G20" s="125">
        <f>VLOOKUP(B20,'Dummy Table'!$A$3:$E$30,5,FALSE)</f>
        <v>18</v>
      </c>
      <c r="H20" s="123">
        <f t="shared" si="0"/>
        <v>-161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0</v>
      </c>
      <c r="K20" s="121">
        <f>IF(C20&lt;&gt;"",SUMIF(Resultados!$C$33:$C$82,'Temporada 2026'!C20,Resultados!$F$33:$F$82),"")</f>
        <v>1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6</v>
      </c>
      <c r="P20" s="121">
        <f>IF(C20&lt;&gt;"",SUMIF(Resultados!$C$223:$C$268,'Temporada 2026'!C20,Resultados!$F$223:$F$268),"")</f>
        <v>8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1</v>
      </c>
      <c r="S20" s="121">
        <f>IF(C20&lt;&gt;"",SUMIF(Resultados!$C$331:$C$356,'Temporada 2026'!C20,Resultados!$F$331:$F$356),"")</f>
        <v>0</v>
      </c>
      <c r="T20" s="121">
        <f>IF(C20&lt;&gt;"",SUMIF(Resultados!$C$360:$C$409,'Temporada 2026'!C20,Resultados!$F$360:$F$409),"")</f>
        <v>2</v>
      </c>
      <c r="U20" s="121">
        <f>IF(C20&lt;&gt;"",SUMIF(Resultados!$C$412:$C$437,'Temporada 2026'!C20,Resultados!$F$412:$F$437),"")</f>
        <v>0</v>
      </c>
      <c r="V20" s="121">
        <f>IF(C20&lt;&gt;"",SUMIF(Resultados!$C$440:$C$465,'Temporada 2026'!C20,Resultados!$F$440:$F$465),"")</f>
        <v>0</v>
      </c>
      <c r="W20" s="121">
        <f>IF(C20&lt;&gt;"",SUMIF(Resultados!$C$469:$C$518,'Temporada 2026'!C20,Resultados!$F$469:$F$518),"")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IF(C20&lt;&gt;"",SUMIF(Resultados!$C$606:$C$655,'Temporada 2026'!C20,Resultados!$F$606:$F$655),"")</f>
        <v>0</v>
      </c>
      <c r="AB20" s="121">
        <f>IF(C20&lt;&gt;"",SUMIF(Resultados!$C$658:$C$683,'Temporada 2026'!C20,Resultados!$F$658:$F$683),"")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IF(C20&lt;&gt;"",SUMIF(Resultados!$C$714:$C$739,'Temporada 2026'!C20,Resultados!$F$714:$F$739),"")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IF(C20&lt;&gt;"",SUMIF(Resultados!$C$770:$C$795,'Temporada 2026'!C20,Resultados!$F$770:$F$795),"")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Gabriel Bortoleto</v>
      </c>
      <c r="D21" s="123" t="str">
        <f>VLOOKUP(B21,'Dummy Table'!$A$3:$C$30,3,FALSE)</f>
        <v>Brasil</v>
      </c>
      <c r="E21" s="123" t="str">
        <f>VLOOKUP(B21,'Dummy Table'!$A$3:$D$30,4,FALSE)</f>
        <v>Audi</v>
      </c>
      <c r="F21" s="124" t="str">
        <f>IF(C21&lt;&gt;"",IF(G21+Resultados!$K$35&gt;$G$8,"J","L"),"")</f>
        <v>J</v>
      </c>
      <c r="G21" s="125">
        <f>VLOOKUP(B21,'Dummy Table'!$A$3:$E$30,5,FALSE)</f>
        <v>6</v>
      </c>
      <c r="H21" s="123">
        <f t="shared" si="0"/>
        <v>-173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2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IF(C21&lt;&gt;"",SUMIF(Resultados!$C$223:$C$268,'Temporada 2026'!C21,Resultados!$F$223:$F$268),"")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IF(C21&lt;&gt;"",SUMIF(Resultados!$C$360:$C$409,'Temporada 2026'!C21,Resultados!$F$360:$F$409),"")</f>
        <v>4</v>
      </c>
      <c r="U21" s="121">
        <f>IF(C21&lt;&gt;"",SUMIF(Resultados!$C$412:$C$437,'Temporada 2026'!C21,Resultados!$F$412:$F$437),"")</f>
        <v>0</v>
      </c>
      <c r="V21" s="121">
        <f>IF(C21&lt;&gt;"",SUMIF(Resultados!$C$440:$C$465,'Temporada 2026'!C21,Resultados!$F$440:$F$465),"")</f>
        <v>0</v>
      </c>
      <c r="W21" s="121">
        <f>IF(C21&lt;&gt;"",SUMIF(Resultados!$C$469:$C$518,'Temporada 2026'!C21,Resultados!$F$469:$F$518),"")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IF(C21&lt;&gt;"",SUMIF(Resultados!$C$606:$C$655,'Temporada 2026'!C21,Resultados!$F$606:$F$655),"")</f>
        <v>0</v>
      </c>
      <c r="AB21" s="121">
        <f>IF(C21&lt;&gt;"",SUMIF(Resultados!$C$658:$C$683,'Temporada 2026'!C21,Resultados!$F$658:$F$683),"")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IF(C21&lt;&gt;"",SUMIF(Resultados!$C$714:$C$739,'Temporada 2026'!C21,Resultados!$F$714:$F$739),"")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IF(C21&lt;&gt;"",SUMIF(Resultados!$C$770:$C$795,'Temporada 2026'!C21,Resultados!$F$770:$F$795),"")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Carlos Sainz</v>
      </c>
      <c r="D22" s="123" t="str">
        <f>VLOOKUP(B22,'Dummy Table'!$A$3:$C$30,3,FALSE)</f>
        <v>Espanha</v>
      </c>
      <c r="E22" s="123" t="str">
        <f>VLOOKUP(B22,'Dummy Table'!$A$3:$D$30,4,FALSE)</f>
        <v>Williams</v>
      </c>
      <c r="F22" s="124" t="str">
        <f>IF(C22&lt;&gt;"",IF(G22+Resultados!$K$35&gt;$G$8,"J","L"),"")</f>
        <v>J</v>
      </c>
      <c r="G22" s="125">
        <f>VLOOKUP(B22,'Dummy Table'!$A$3:$E$30,5,FALSE)</f>
        <v>6</v>
      </c>
      <c r="H22" s="123">
        <f t="shared" si="0"/>
        <v>-173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2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2</v>
      </c>
      <c r="P22" s="121">
        <f>IF(C22&lt;&gt;"",SUMIF(Resultados!$C$223:$C$268,'Temporada 2026'!C22,Resultados!$F$223:$F$268),"")</f>
        <v>2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IF(C22&lt;&gt;"",SUMIF(Resultados!$C$360:$C$409,'Temporada 2026'!C22,Resultados!$F$360:$F$409),"")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IF(C22&lt;&gt;"",SUMIF(Resultados!$C$440:$C$465,'Temporada 2026'!C22,Resultados!$F$440:$F$465),"")</f>
        <v>0</v>
      </c>
      <c r="W22" s="121">
        <f>IF(C22&lt;&gt;"",SUMIF(Resultados!$C$469:$C$518,'Temporada 2026'!C22,Resultados!$F$469:$F$518),"")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IF(C22&lt;&gt;"",SUMIF(Resultados!$C$606:$C$655,'Temporada 2026'!C22,Resultados!$F$606:$F$655),"")</f>
        <v>0</v>
      </c>
      <c r="AB22" s="121">
        <f>IF(C22&lt;&gt;"",SUMIF(Resultados!$C$658:$C$683,'Temporada 2026'!C22,Resultados!$F$658:$F$683),"")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IF(C22&lt;&gt;"",SUMIF(Resultados!$C$714:$C$739,'Temporada 2026'!C22,Resultados!$F$714:$F$739),"")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IF(C22&lt;&gt;"",SUMIF(Resultados!$C$770:$C$795,'Temporada 2026'!C22,Resultados!$F$770:$F$795),"")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Alexander Albon</v>
      </c>
      <c r="D23" s="123" t="str">
        <f>VLOOKUP(B23,'Dummy Table'!$A$3:$C$30,3,FALSE)</f>
        <v>Tailandia</v>
      </c>
      <c r="E23" s="123" t="str">
        <f>VLOOKUP(B23,'Dummy Table'!$A$3:$D$30,4,FALSE)</f>
        <v>Williams</v>
      </c>
      <c r="F23" s="124" t="str">
        <f>IF(C23&lt;&gt;"",IF(G23+Resultados!$K$35&gt;$G$8,"J","L"),"")</f>
        <v>J</v>
      </c>
      <c r="G23" s="125">
        <f>VLOOKUP(B23,'Dummy Table'!$A$3:$E$30,5,FALSE)</f>
        <v>5</v>
      </c>
      <c r="H23" s="123">
        <f t="shared" si="0"/>
        <v>-174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0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1</v>
      </c>
      <c r="P23" s="121">
        <f>IF(C23&lt;&gt;"",SUMIF(Resultados!$C$223:$C$268,'Temporada 2026'!C23,Resultados!$F$223:$F$268),"")</f>
        <v>0</v>
      </c>
      <c r="Q23" s="121">
        <f>IF(C23&lt;&gt;"",SUMIF(Resultados!$C$275:$C$300,'Temporada 2026'!C23,Resultados!$F$275:$F$300),"")</f>
        <v>4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IF(C23&lt;&gt;"",SUMIF(Resultados!$C$360:$C$409,'Temporada 2026'!C23,Resultados!$F$360:$F$409),"")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IF(C23&lt;&gt;"",SUMIF(Resultados!$C$440:$C$465,'Temporada 2026'!C23,Resultados!$F$440:$F$465),"")</f>
        <v>0</v>
      </c>
      <c r="W23" s="121">
        <f>IF(C23&lt;&gt;"",SUMIF(Resultados!$C$469:$C$518,'Temporada 2026'!C23,Resultados!$F$469:$F$518),"")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IF(C23&lt;&gt;"",SUMIF(Resultados!$C$606:$C$655,'Temporada 2026'!C23,Resultados!$F$606:$F$655),"")</f>
        <v>0</v>
      </c>
      <c r="AB23" s="121">
        <f>IF(C23&lt;&gt;"",SUMIF(Resultados!$C$658:$C$683,'Temporada 2026'!C23,Resultados!$F$658:$F$683),"")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IF(C23&lt;&gt;"",SUMIF(Resultados!$C$714:$C$739,'Temporada 2026'!C23,Resultados!$F$714:$F$739),"")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IF(C23&lt;&gt;"",SUMIF(Resultados!$C$770:$C$795,'Temporada 2026'!C23,Resultados!$F$770:$F$795),"")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Esteban Ocon</v>
      </c>
      <c r="D24" s="123" t="str">
        <f>VLOOKUP(B24,'Dummy Table'!$A$3:$C$30,3,FALSE)</f>
        <v>França</v>
      </c>
      <c r="E24" s="123" t="str">
        <f>VLOOKUP(B24,'Dummy Table'!$A$3:$D$30,4,FALSE)</f>
        <v>Haas</v>
      </c>
      <c r="F24" s="124" t="str">
        <f>IF(C24&lt;&gt;"",IF(G24+Resultados!$K$35&gt;$G$8,"J","L"),"")</f>
        <v>J</v>
      </c>
      <c r="G24" s="125">
        <f>VLOOKUP(B24,'Dummy Table'!$A$3:$E$30,5,FALSE)</f>
        <v>3</v>
      </c>
      <c r="H24" s="123">
        <f t="shared" si="0"/>
        <v>-176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1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0</v>
      </c>
      <c r="P24" s="121">
        <f>IF(C24&lt;&gt;"",SUMIF(Resultados!$C$223:$C$268,'Temporada 2026'!C24,Resultados!$F$223:$F$268),"")</f>
        <v>0</v>
      </c>
      <c r="Q24" s="121">
        <f>IF(C24&lt;&gt;"",SUMIF(Resultados!$C$275:$C$300,'Temporada 2026'!C24,Resultados!$F$275:$F$300),"")</f>
        <v>2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IF(C24&lt;&gt;"",SUMIF(Resultados!$C$360:$C$409,'Temporada 2026'!C24,Resultados!$F$360:$F$409),"")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IF(C24&lt;&gt;"",SUMIF(Resultados!$C$440:$C$465,'Temporada 2026'!C24,Resultados!$F$440:$F$465),"")</f>
        <v>0</v>
      </c>
      <c r="W24" s="121">
        <f>IF(C24&lt;&gt;"",SUMIF(Resultados!$C$469:$C$518,'Temporada 2026'!C24,Resultados!$F$469:$F$518),"")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IF(C24&lt;&gt;"",SUMIF(Resultados!$C$606:$C$655,'Temporada 2026'!C24,Resultados!$F$606:$F$655),"")</f>
        <v>0</v>
      </c>
      <c r="AB24" s="121">
        <f>IF(C24&lt;&gt;"",SUMIF(Resultados!$C$658:$C$683,'Temporada 2026'!C24,Resultados!$F$658:$F$683),"")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IF(C24&lt;&gt;"",SUMIF(Resultados!$C$714:$C$739,'Temporada 2026'!C24,Resultados!$F$714:$F$739),"")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IF(C24&lt;&gt;"",SUMIF(Resultados!$C$770:$C$795,'Temporada 2026'!C24,Resultados!$F$770:$F$795),"")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Fernando Alonso</v>
      </c>
      <c r="D25" s="123" t="str">
        <f>VLOOKUP(B25,'Dummy Table'!$A$3:$C$30,3,FALSE)</f>
        <v>Espanha</v>
      </c>
      <c r="E25" s="123" t="str">
        <f>VLOOKUP(B25,'Dummy Table'!$A$3:$D$30,4,FALSE)</f>
        <v>Aston Martin</v>
      </c>
      <c r="F25" s="124" t="str">
        <f>IF(C25&lt;&gt;"",IF(G25+Resultados!$K$35&gt;$G$8,"J","L"),"")</f>
        <v>J</v>
      </c>
      <c r="G25" s="125">
        <f>VLOOKUP(B25,'Dummy Table'!$A$3:$E$30,5,FALSE)</f>
        <v>1</v>
      </c>
      <c r="H25" s="123">
        <f t="shared" si="0"/>
        <v>-178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IF(C25&lt;&gt;"",SUMIF(Resultados!$C$223:$C$268,'Temporada 2026'!C25,Resultados!$F$223:$F$268),"")</f>
        <v>0</v>
      </c>
      <c r="Q25" s="121">
        <f>IF(C25&lt;&gt;"",SUMIF(Resultados!$C$275:$C$300,'Temporada 2026'!C25,Resultados!$F$275:$F$300),"")</f>
        <v>1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IF(C25&lt;&gt;"",SUMIF(Resultados!$C$360:$C$409,'Temporada 2026'!C25,Resultados!$F$360:$F$409),"")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IF(C25&lt;&gt;"",SUMIF(Resultados!$C$440:$C$465,'Temporada 2026'!C25,Resultados!$F$440:$F$465),"")</f>
        <v>0</v>
      </c>
      <c r="W25" s="121">
        <f>IF(C25&lt;&gt;"",SUMIF(Resultados!$C$469:$C$518,'Temporada 2026'!C25,Resultados!$F$469:$F$518),"")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IF(C25&lt;&gt;"",SUMIF(Resultados!$C$606:$C$655,'Temporada 2026'!C25,Resultados!$F$606:$F$655),"")</f>
        <v>0</v>
      </c>
      <c r="AB25" s="121">
        <f>IF(C25&lt;&gt;"",SUMIF(Resultados!$C$658:$C$683,'Temporada 2026'!C25,Resultados!$F$658:$F$683),"")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IF(C25&lt;&gt;"",SUMIF(Resultados!$C$714:$C$739,'Temporada 2026'!C25,Resultados!$F$714:$F$739),"")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IF(C25&lt;&gt;"",SUMIF(Resultados!$C$770:$C$795,'Temporada 2026'!C25,Resultados!$F$770:$F$795),"")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Nico Hulkenberg</v>
      </c>
      <c r="D26" s="123" t="str">
        <f>VLOOKUP(B26,'Dummy Table'!$A$3:$C$30,3,FALSE)</f>
        <v>Alemanha</v>
      </c>
      <c r="E26" s="123" t="str">
        <f>VLOOKUP(B26,'Dummy Table'!$A$3:$D$30,4,FALSE)</f>
        <v>Audi</v>
      </c>
      <c r="F26" s="124" t="str">
        <f>IF(C26&lt;&gt;"",IF(G26+Resultados!$K$35&gt;$G$8,"J","L"),"")</f>
        <v>J</v>
      </c>
      <c r="G26" s="125">
        <f>VLOOKUP(B26,'Dummy Table'!$A$3:$E$30,5,FALSE)</f>
        <v>0</v>
      </c>
      <c r="H26" s="123">
        <f t="shared" si="0"/>
        <v>-179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IF(C26&lt;&gt;"",SUMIF(Resultados!$C$223:$C$268,'Temporada 2026'!C26,Resultados!$F$223:$F$268),"")</f>
        <v>0</v>
      </c>
      <c r="Q26" s="121">
        <f>IF(C26&lt;&gt;"",SUMIF(Resultados!$C$275:$C$300,'Temporada 2026'!C26,Resultados!$F$275:$F$300),"")</f>
        <v>0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IF(C26&lt;&gt;"",SUMIF(Resultados!$C$360:$C$409,'Temporada 2026'!C26,Resultados!$F$360:$F$409),"")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IF(C26&lt;&gt;"",SUMIF(Resultados!$C$440:$C$465,'Temporada 2026'!C26,Resultados!$F$440:$F$465),"")</f>
        <v>0</v>
      </c>
      <c r="W26" s="121">
        <f>IF(C26&lt;&gt;"",SUMIF(Resultados!$C$469:$C$518,'Temporada 2026'!C26,Resultados!$F$469:$F$518),"")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IF(C26&lt;&gt;"",SUMIF(Resultados!$C$606:$C$655,'Temporada 2026'!C26,Resultados!$F$606:$F$655),"")</f>
        <v>0</v>
      </c>
      <c r="AB26" s="121">
        <f>IF(C26&lt;&gt;"",SUMIF(Resultados!$C$658:$C$683,'Temporada 2026'!C26,Resultados!$F$658:$F$683),"")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IF(C26&lt;&gt;"",SUMIF(Resultados!$C$714:$C$739,'Temporada 2026'!C26,Resultados!$F$714:$F$739),"")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IF(C26&lt;&gt;"",SUMIF(Resultados!$C$770:$C$795,'Temporada 2026'!C26,Resultados!$F$770:$F$795),"")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Valtteri Bottas</v>
      </c>
      <c r="D27" s="123" t="str">
        <f>VLOOKUP(B27,'Dummy Table'!$A$3:$C$30,3,FALSE)</f>
        <v>Finlândia</v>
      </c>
      <c r="E27" s="123" t="str">
        <f>VLOOKUP(B27,'Dummy Table'!$A$3:$D$30,4,FALSE)</f>
        <v>Cadillac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-179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IF(C27&lt;&gt;"",SUMIF(Resultados!$C$223:$C$268,'Temporada 2026'!C27,Resultados!$F$223:$F$268),"")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IF(C27&lt;&gt;"",SUMIF(Resultados!$C$360:$C$409,'Temporada 2026'!C27,Resultados!$F$360:$F$409),"")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IF(C27&lt;&gt;"",SUMIF(Resultados!$C$440:$C$465,'Temporada 2026'!C27,Resultados!$F$440:$F$465),"")</f>
        <v>0</v>
      </c>
      <c r="W27" s="121">
        <f>IF(C27&lt;&gt;"",SUMIF(Resultados!$C$469:$C$518,'Temporada 2026'!C27,Resultados!$F$469:$F$518),"")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IF(C27&lt;&gt;"",SUMIF(Resultados!$C$606:$C$655,'Temporada 2026'!C27,Resultados!$F$606:$F$655),"")</f>
        <v>0</v>
      </c>
      <c r="AB27" s="121">
        <f>IF(C27&lt;&gt;"",SUMIF(Resultados!$C$658:$C$683,'Temporada 2026'!C27,Resultados!$F$658:$F$683),"")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IF(C27&lt;&gt;"",SUMIF(Resultados!$C$714:$C$739,'Temporada 2026'!C27,Resultados!$F$714:$F$739),"")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IF(C27&lt;&gt;"",SUMIF(Resultados!$C$770:$C$795,'Temporada 2026'!C27,Resultados!$F$770:$F$795),"")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Sergio Perez</v>
      </c>
      <c r="D28" s="123" t="str">
        <f>VLOOKUP(B28,'Dummy Table'!$A$3:$C$30,3,FALSE)</f>
        <v>México</v>
      </c>
      <c r="E28" s="123" t="str">
        <f>VLOOKUP(B28,'Dummy Table'!$A$3:$D$30,4,FALSE)</f>
        <v>Cadillac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-179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IF(C28&lt;&gt;"",SUMIF(Resultados!$C$223:$C$268,'Temporada 2026'!C28,Resultados!$F$223:$F$268),"")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IF(C28&lt;&gt;"",SUMIF(Resultados!$C$360:$C$409,'Temporada 2026'!C28,Resultados!$F$360:$F$409),"")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IF(C28&lt;&gt;"",SUMIF(Resultados!$C$440:$C$465,'Temporada 2026'!C28,Resultados!$F$440:$F$465),"")</f>
        <v>0</v>
      </c>
      <c r="W28" s="121">
        <f>IF(C28&lt;&gt;"",SUMIF(Resultados!$C$469:$C$518,'Temporada 2026'!C28,Resultados!$F$469:$F$518),"")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IF(C28&lt;&gt;"",SUMIF(Resultados!$C$606:$C$655,'Temporada 2026'!C28,Resultados!$F$606:$F$655),"")</f>
        <v>0</v>
      </c>
      <c r="AB28" s="121">
        <f>IF(C28&lt;&gt;"",SUMIF(Resultados!$C$658:$C$683,'Temporada 2026'!C28,Resultados!$F$658:$F$683),"")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IF(C28&lt;&gt;"",SUMIF(Resultados!$C$714:$C$739,'Temporada 2026'!C28,Resultados!$F$714:$F$739),"")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IF(C28&lt;&gt;"",SUMIF(Resultados!$C$770:$C$795,'Temporada 2026'!C28,Resultados!$F$770:$F$795),"")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Lance Stroll</v>
      </c>
      <c r="D29" s="123" t="str">
        <f>VLOOKUP(B29,'Dummy Table'!$A$3:$C$30,3,FALSE)</f>
        <v>Canadá</v>
      </c>
      <c r="E29" s="123" t="str">
        <f>VLOOKUP(B29,'Dummy Table'!$A$3:$D$30,4,FALSE)</f>
        <v>Aston Martin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-179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IF(C29&lt;&gt;"",SUMIF(Resultados!$C$223:$C$268,'Temporada 2026'!C29,Resultados!$F$223:$F$268),"")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IF(C29&lt;&gt;"",SUMIF(Resultados!$C$360:$C$409,'Temporada 2026'!C29,Resultados!$F$360:$F$409),"")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IF(C29&lt;&gt;"",SUMIF(Resultados!$C$440:$C$465,'Temporada 2026'!C29,Resultados!$F$440:$F$465),"")</f>
        <v>0</v>
      </c>
      <c r="W29" s="121">
        <f>IF(C29&lt;&gt;"",SUMIF(Resultados!$C$469:$C$518,'Temporada 2026'!C29,Resultados!$F$469:$F$518),"")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IF(C29&lt;&gt;"",SUMIF(Resultados!$C$606:$C$655,'Temporada 2026'!C29,Resultados!$F$606:$F$655),"")</f>
        <v>0</v>
      </c>
      <c r="AB29" s="121">
        <f>IF(C29&lt;&gt;"",SUMIF(Resultados!$C$658:$C$683,'Temporada 2026'!C29,Resultados!$F$658:$F$683),"")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IF(C29&lt;&gt;"",SUMIF(Resultados!$C$714:$C$739,'Temporada 2026'!C29,Resultados!$F$714:$F$739),"")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IF(C29&lt;&gt;"",SUMIF(Resultados!$C$770:$C$795,'Temporada 2026'!C29,Resultados!$F$770:$F$795),"")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 t="str">
        <f>IF('Equipes e Pilotos'!B25&lt;&gt;"",'Equipes e Pilotos'!B25,"")</f>
        <v/>
      </c>
      <c r="C30" s="122" t="str">
        <f>VLOOKUP(B30,'Dummy Table'!$A$3:$B$30,2,FALSE)</f>
        <v/>
      </c>
      <c r="D30" s="123" t="str">
        <f>VLOOKUP(B30,'Dummy Table'!$A$3:$C$30,3,FALSE)</f>
        <v/>
      </c>
      <c r="E30" s="123" t="str">
        <f>VLOOKUP(B30,'Dummy Table'!$A$3:$D$30,4,FALSE)</f>
        <v/>
      </c>
      <c r="F30" s="124" t="str">
        <f>IF(C30&lt;&gt;"",IF(G30+Resultados!$K$35&gt;$G$8,"J","L"),"")</f>
        <v/>
      </c>
      <c r="G30" s="125" t="str">
        <f>VLOOKUP(B30,'Dummy Table'!$A$3:$E$30,5,FALSE)</f>
        <v/>
      </c>
      <c r="H30" s="123" t="str">
        <f t="shared" si="0"/>
        <v/>
      </c>
      <c r="I30" s="126" t="str">
        <f>IF(B30="","",SUMIF(Resultados!$M$3:$M$30,C30,Resultados!$O$3:$O$30))</f>
        <v/>
      </c>
      <c r="J30" s="121" t="str">
        <f>IF(C30&lt;&gt;"",SUMIF(Resultados!$C$4:$C$29,'Temporada 2026'!C30,Resultados!$F$4:$F$29),"")</f>
        <v/>
      </c>
      <c r="K30" s="121" t="str">
        <f>IF(C30&lt;&gt;"",SUMIF(Resultados!$C$33:$C$82,'Temporada 2026'!C30,Resultados!$F$33:$F$82),"")</f>
        <v/>
      </c>
      <c r="L30" s="121" t="str">
        <f>IF(C30&lt;&gt;"",SUMIF(Resultados!$C$85:$C$110,'Temporada 2026'!C30,Resultados!$F$85:$F$110),"")</f>
        <v/>
      </c>
      <c r="M30" s="121" t="str">
        <f>IF(C30&lt;&gt;"",SUMIF(Resultados!$C$113:$C$138,'Temporada 2026'!C30,Resultados!$F$113:$F$138),"")</f>
        <v/>
      </c>
      <c r="N30" s="121" t="str">
        <f>IF(C30&lt;&gt;"",SUMIF(Resultados!$C$141:$C$166,'Temporada 2026'!C30,Resultados!$F$141:$F$166),"")</f>
        <v/>
      </c>
      <c r="O30" s="121" t="str">
        <f>IF(C30&lt;&gt;"",SUMIF(Resultados!$C$170:$C$219,'Temporada 2026'!C30,Resultados!$F$170:$F$219),"")</f>
        <v/>
      </c>
      <c r="P30" s="121" t="str">
        <f>IF(C30&lt;&gt;"",SUMIF(Resultados!$C$223:$C$268,'Temporada 2026'!C30,Resultados!$F$223:$F$268),"")</f>
        <v/>
      </c>
      <c r="Q30" s="121" t="str">
        <f>IF(C30&lt;&gt;"",SUMIF(Resultados!$C$275:$C$300,'Temporada 2026'!C30,Resultados!$F$275:$F$300),"")</f>
        <v/>
      </c>
      <c r="R30" s="121" t="str">
        <f>IF(C30&lt;&gt;"",SUMIF(Resultados!$C$303:$C$328,'Temporada 2026'!C30,Resultados!$F$303:$F$328),"")</f>
        <v/>
      </c>
      <c r="S30" s="121" t="str">
        <f>IF(C30&lt;&gt;"",SUMIF(Resultados!$C$331:$C$356,'Temporada 2026'!C30,Resultados!$F$331:$F$356),"")</f>
        <v/>
      </c>
      <c r="T30" s="121" t="str">
        <f>IF(C30&lt;&gt;"",SUMIF(Resultados!$C$360:$C$409,'Temporada 2026'!C30,Resultados!$F$360:$F$409),"")</f>
        <v/>
      </c>
      <c r="U30" s="121" t="str">
        <f>IF(C30&lt;&gt;"",SUMIF(Resultados!$C$412:$C$437,'Temporada 2026'!C30,Resultados!$F$412:$F$437),"")</f>
        <v/>
      </c>
      <c r="V30" s="121" t="str">
        <f>IF(C30&lt;&gt;"",SUMIF(Resultados!$C$440:$C$465,'Temporada 2026'!C30,Resultados!$F$440:$F$465),"")</f>
        <v/>
      </c>
      <c r="W30" s="121" t="str">
        <f>IF(C30&lt;&gt;"",SUMIF(Resultados!$C$469:$C$518,'Temporada 2026'!C30,Resultados!$F$469:$F$518),"")</f>
        <v/>
      </c>
      <c r="X30" s="121" t="str">
        <f>IF(C30&lt;&gt;"",SUMIF(Resultados!$C$521:$C$546,'Temporada 2026'!C30,Resultados!$F$521:$F$546),"")</f>
        <v/>
      </c>
      <c r="Y30" s="121" t="str">
        <f>IF(C30&lt;&gt;"",SUMIF(Resultados!$C$549:$C$574,'Temporada 2026'!C30,Resultados!$F$549:$F$574),"")</f>
        <v/>
      </c>
      <c r="Z30" s="121" t="str">
        <f>IF(C30&lt;&gt;"",SUMIF(Resultados!$C$577:$C$602,'Temporada 2026'!C30,Resultados!$F$577:$F$602),"")</f>
        <v/>
      </c>
      <c r="AA30" s="121" t="str">
        <f>IF(C30&lt;&gt;"",SUMIF(Resultados!$C$606:$C$655,'Temporada 2026'!C30,Resultados!$F$606:$F$655),"")</f>
        <v/>
      </c>
      <c r="AB30" s="121" t="str">
        <f>IF(C30&lt;&gt;"",SUMIF(Resultados!$C$658:$C$683,'Temporada 2026'!C30,Resultados!$F$658:$F$683),"")</f>
        <v/>
      </c>
      <c r="AC30" s="121" t="str">
        <f>IF(C30&lt;&gt;"",SUMIF(Resultados!$C$686:$C$711,'Temporada 2026'!C30,Resultados!$F$686:$F$711),"")</f>
        <v/>
      </c>
      <c r="AD30" s="121" t="str">
        <f>IF(C30&lt;&gt;"",SUMIF(Resultados!$C$714:$C$739,'Temporada 2026'!C30,Resultados!$F$714:$F$739),"")</f>
        <v/>
      </c>
      <c r="AE30" s="121" t="str">
        <f>IF(C30&lt;&gt;"",SUMIF(Resultados!$C$742:$C$767,'Temporada 2026'!C30,Resultados!$F$742:$F$767),"")</f>
        <v/>
      </c>
      <c r="AF30" s="121" t="str">
        <f>IF(C30&lt;&gt;"",SUMIF(Resultados!$C$770:$C$795,'Temporada 2026'!C30,Resultados!$F$770:$F$795),"")</f>
        <v/>
      </c>
      <c r="AG30" s="121" t="str">
        <f>IF(C30&lt;&gt;"",SUMIF(Resultados!$C$798:$C$823,'Temporada 2026'!C30,Resultados!$F$798:$F$823),"")</f>
        <v/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IF(C31&lt;&gt;"",SUMIF(Resultados!$C$223:$C$268,'Temporada 2026'!C31,Resultados!$F$223:$F$268),"")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IF(C31&lt;&gt;"",SUMIF(Resultados!$C$360:$C$409,'Temporada 2026'!C31,Resultados!$F$360:$F$409),"")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IF(C31&lt;&gt;"",SUMIF(Resultados!$C$440:$C$465,'Temporada 2026'!C31,Resultados!$F$440:$F$465),"")</f>
        <v/>
      </c>
      <c r="W31" s="121" t="str">
        <f>IF(C31&lt;&gt;"",SUMIF(Resultados!$C$469:$C$518,'Temporada 2026'!C31,Resultados!$F$469:$F$518),"")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IF(C31&lt;&gt;"",SUMIF(Resultados!$C$606:$C$655,'Temporada 2026'!C31,Resultados!$F$606:$F$655),"")</f>
        <v/>
      </c>
      <c r="AB31" s="121" t="str">
        <f>IF(C31&lt;&gt;"",SUMIF(Resultados!$C$658:$C$683,'Temporada 2026'!C31,Resultados!$F$658:$F$683),"")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IF(C31&lt;&gt;"",SUMIF(Resultados!$C$714:$C$739,'Temporada 2026'!C31,Resultados!$F$714:$F$739),"")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IF(C31&lt;&gt;"",SUMIF(Resultados!$C$770:$C$795,'Temporada 2026'!C31,Resultados!$F$770:$F$795),"")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53" t="s">
        <v>357</v>
      </c>
      <c r="C36" s="153"/>
      <c r="D36" s="153"/>
      <c r="E36" s="153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76" t="s">
        <v>434</v>
      </c>
      <c r="S36" s="176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  <c r="AG36" s="150"/>
    </row>
    <row r="37" spans="2:33" x14ac:dyDescent="0.2">
      <c r="B37" s="154" t="s">
        <v>244</v>
      </c>
      <c r="C37" s="154" t="s">
        <v>233</v>
      </c>
      <c r="D37" s="154" t="s">
        <v>16</v>
      </c>
      <c r="E37" s="154" t="s">
        <v>236</v>
      </c>
      <c r="F37" s="154" t="s">
        <v>245</v>
      </c>
      <c r="G37" s="154" t="s">
        <v>246</v>
      </c>
      <c r="H37" s="120"/>
      <c r="I37" s="154" t="s">
        <v>253</v>
      </c>
      <c r="J37" s="155" t="s">
        <v>232</v>
      </c>
      <c r="K37" s="155"/>
      <c r="L37" s="155"/>
      <c r="M37" s="155"/>
      <c r="N37" s="155"/>
      <c r="O37" s="155"/>
      <c r="P37" s="155"/>
      <c r="Q37" s="155"/>
      <c r="R37" s="155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</row>
    <row r="38" spans="2:33" x14ac:dyDescent="0.2">
      <c r="B38" s="154"/>
      <c r="C38" s="154"/>
      <c r="D38" s="154"/>
      <c r="E38" s="154"/>
      <c r="F38" s="154"/>
      <c r="G38" s="154"/>
      <c r="H38" s="120"/>
      <c r="I38" s="154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333</v>
      </c>
      <c r="H39" s="125"/>
      <c r="I39" s="126">
        <f>IF(B39="","",SUMIF(Resultados!$N$3:$N$30,C39,Resultados!$O$3:$O$30))</f>
        <v>7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25</v>
      </c>
      <c r="Q39" s="121">
        <f>IF(C39&lt;&gt;"",SUMIF(Resultados!$E$275:$E$300,'Temporada 2026'!C39,Resultados!$F$275:$F$300),"")</f>
        <v>25</v>
      </c>
      <c r="R39" s="121">
        <f>IF(C39&lt;&gt;"",SUMIF(Resultados!$E$303:$E$328,'Temporada 2026'!C39,Resultados!$F$303:$F$328),"")</f>
        <v>18</v>
      </c>
      <c r="S39" s="121">
        <f>IF(C39&lt;&gt;"",SUMIF(Resultados!$E$331:$E$356,'Temporada 2026'!C39,Resultados!$F$331:$F$356),"")</f>
        <v>40</v>
      </c>
      <c r="T39" s="121">
        <f>IF(C39&lt;&gt;"",SUMIF(Resultados!$E$360:$E$409,'Temporada 2026'!C39,Resultados!$F$360:$F$409),"")</f>
        <v>31</v>
      </c>
      <c r="U39" s="121">
        <f>IF(C39&lt;&gt;"",SUMIF(Resultados!$E$412:$E$437,'Temporada 2026'!C39,Resultados!$F$412:$F$437),"")</f>
        <v>0</v>
      </c>
      <c r="V39" s="121">
        <f>IF(C39&lt;&gt;"",SUMIF(Resultados!$E$440:$E$465,'Temporada 2026'!C39,Resultados!$F$440:$F$465),"")</f>
        <v>0</v>
      </c>
      <c r="W39" s="121">
        <f>IF(C39&lt;&gt;"",SUMIF(Resultados!$E$469:$E$518,'Temporada 2026'!C39,Resultados!$F$469:$F$518),"")</f>
        <v>0</v>
      </c>
      <c r="X39" s="121">
        <f>IF(C39&lt;&gt;"",SUMIF(Resultados!$E$521:$E$546,'Temporada 2026'!C39,Resultados!$F$521:$F$546),"")</f>
        <v>0</v>
      </c>
      <c r="Y39" s="121">
        <f>IF(C39&lt;&gt;"",SUMIF(Resultados!$E$549:$E$574,'Temporada 2026'!C39,Resultados!$F$549:$F$574),"")</f>
        <v>0</v>
      </c>
      <c r="Z39" s="121">
        <f>IF(C39&lt;&gt;"",SUMIF(Resultados!$E$577:$E$602,'Temporada 2026'!C39,Resultados!$F$577:$F$602),"")</f>
        <v>0</v>
      </c>
      <c r="AA39" s="121">
        <f>IF(C39&lt;&gt;"",SUMIF(Resultados!$E$606:$E$655,'Temporada 2026'!C39,Resultados!$F$606:$F$655),"")</f>
        <v>0</v>
      </c>
      <c r="AB39" s="121">
        <f>IF(C39&lt;&gt;"",SUMIF(Resultados!$E$658:$E$683,'Temporada 2026'!C39,Resultados!$F$658:$F$683),"")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IF(C39&lt;&gt;"",SUMIF(Resultados!$E$714:$E$739,'Temporada 2026'!C39,Resultados!$F$714:$F$739),"")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IF(C39&lt;&gt;"",SUMIF(Resultados!$E$770:$E$795,'Temporada 2026'!C39,Resultados!$F$770:$F$795),"")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255</v>
      </c>
      <c r="H40" s="123">
        <f>IF(C40&lt;&gt;"",G40-G$39,"")</f>
        <v>-78</v>
      </c>
      <c r="I40" s="126">
        <f>IF(B40="","",SUMIF(Resultados!$N$3:$N$30,C40,Resultados!$O$3:$O$30))</f>
        <v>2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30</v>
      </c>
      <c r="Q40" s="121">
        <f>IF(C40&lt;&gt;"",SUMIF(Resultados!$E$275:$E$300,'Temporada 2026'!C40,Resultados!$F$275:$F$300),"")</f>
        <v>18</v>
      </c>
      <c r="R40" s="121">
        <f>IF(C40&lt;&gt;"",SUMIF(Resultados!$E$303:$E$328,'Temporada 2026'!C40,Resultados!$F$303:$F$328),"")</f>
        <v>25</v>
      </c>
      <c r="S40" s="121">
        <f>IF(C40&lt;&gt;"",SUMIF(Resultados!$E$331:$E$356,'Temporada 2026'!C40,Resultados!$F$331:$F$356),"")</f>
        <v>14</v>
      </c>
      <c r="T40" s="121">
        <f>IF(C40&lt;&gt;"",SUMIF(Resultados!$E$360:$E$409,'Temporada 2026'!C40,Resultados!$F$360:$F$409),"")</f>
        <v>51</v>
      </c>
      <c r="U40" s="121">
        <f>IF(C40&lt;&gt;"",SUMIF(Resultados!$E$412:$E$437,'Temporada 2026'!C40,Resultados!$F$412:$F$437),"")</f>
        <v>0</v>
      </c>
      <c r="V40" s="121">
        <f>IF(C40&lt;&gt;"",SUMIF(Resultados!$E$440:$E$465,'Temporada 2026'!C40,Resultados!$F$440:$F$465),"")</f>
        <v>0</v>
      </c>
      <c r="W40" s="121">
        <f>IF(C40&lt;&gt;"",SUMIF(Resultados!$E$469:$E$518,'Temporada 2026'!C40,Resultados!$F$469:$F$518),"")</f>
        <v>0</v>
      </c>
      <c r="X40" s="121">
        <f>IF(C40&lt;&gt;"",SUMIF(Resultados!$E$521:$E$546,'Temporada 2026'!C40,Resultados!$F$521:$F$546),"")</f>
        <v>0</v>
      </c>
      <c r="Y40" s="121">
        <f>IF(C40&lt;&gt;"",SUMIF(Resultados!$E$549:$E$574,'Temporada 2026'!C40,Resultados!$F$549:$F$574),"")</f>
        <v>0</v>
      </c>
      <c r="Z40" s="121">
        <f>IF(C40&lt;&gt;"",SUMIF(Resultados!$E$577:$E$602,'Temporada 2026'!C40,Resultados!$F$577:$F$602),"")</f>
        <v>0</v>
      </c>
      <c r="AA40" s="121">
        <f>IF(C40&lt;&gt;"",SUMIF(Resultados!$E$606:$E$655,'Temporada 2026'!C40,Resultados!$F$606:$F$655),"")</f>
        <v>0</v>
      </c>
      <c r="AB40" s="121">
        <f>IF(C40&lt;&gt;"",SUMIF(Resultados!$E$658:$E$683,'Temporada 2026'!C40,Resultados!$F$658:$F$683),"")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IF(C40&lt;&gt;"",SUMIF(Resultados!$E$714:$E$739,'Temporada 2026'!C40,Resultados!$F$714:$F$739),"")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IF(C40&lt;&gt;"",SUMIF(Resultados!$E$770:$E$795,'Temporada 2026'!C40,Resultados!$F$770:$F$795),"")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179</v>
      </c>
      <c r="H41" s="123">
        <f t="shared" ref="H41:H51" si="1">IF(C41&lt;&gt;"",G41-G$39,"")</f>
        <v>-154</v>
      </c>
      <c r="I41" s="126">
        <f>IF(B41="","",SUMIF(Resultados!$N$3:$N$30,C41,Resultados!$O$3:$O$30))</f>
        <v>0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10</v>
      </c>
      <c r="R41" s="121">
        <f>IF(C41&lt;&gt;"",SUMIF(Resultados!$E$303:$E$328,'Temporada 2026'!C41,Resultados!$F$303:$F$328),"")</f>
        <v>25</v>
      </c>
      <c r="S41" s="121">
        <f>IF(C41&lt;&gt;"",SUMIF(Resultados!$E$331:$E$356,'Temporada 2026'!C41,Resultados!$F$331:$F$356),"")</f>
        <v>18</v>
      </c>
      <c r="T41" s="121">
        <f>IF(C41&lt;&gt;"",SUMIF(Resultados!$E$360:$E$409,'Temporada 2026'!C41,Resultados!$F$360:$F$409),"")</f>
        <v>20</v>
      </c>
      <c r="U41" s="121">
        <f>IF(C41&lt;&gt;"",SUMIF(Resultados!$E$412:$E$437,'Temporada 2026'!C41,Resultados!$F$412:$F$437),"")</f>
        <v>0</v>
      </c>
      <c r="V41" s="121">
        <f>IF(C41&lt;&gt;"",SUMIF(Resultados!$E$440:$E$465,'Temporada 2026'!C41,Resultados!$F$440:$F$465),"")</f>
        <v>0</v>
      </c>
      <c r="W41" s="121">
        <f>IF(C41&lt;&gt;"",SUMIF(Resultados!$E$469:$E$518,'Temporada 2026'!C41,Resultados!$F$469:$F$518),"")</f>
        <v>0</v>
      </c>
      <c r="X41" s="121">
        <f>IF(C41&lt;&gt;"",SUMIF(Resultados!$E$521:$E$546,'Temporada 2026'!C41,Resultados!$F$521:$F$546),"")</f>
        <v>0</v>
      </c>
      <c r="Y41" s="121">
        <f>IF(C41&lt;&gt;"",SUMIF(Resultados!$E$549:$E$574,'Temporada 2026'!C41,Resultados!$F$549:$F$574),"")</f>
        <v>0</v>
      </c>
      <c r="Z41" s="121">
        <f>IF(C41&lt;&gt;"",SUMIF(Resultados!$E$577:$E$602,'Temporada 2026'!C41,Resultados!$F$577:$F$602),"")</f>
        <v>0</v>
      </c>
      <c r="AA41" s="121">
        <f>IF(C41&lt;&gt;"",SUMIF(Resultados!$E$606:$E$655,'Temporada 2026'!C41,Resultados!$F$606:$F$655),"")</f>
        <v>0</v>
      </c>
      <c r="AB41" s="121">
        <f>IF(C41&lt;&gt;"",SUMIF(Resultados!$E$658:$E$683,'Temporada 2026'!C41,Resultados!$F$658:$F$683),"")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IF(C41&lt;&gt;"",SUMIF(Resultados!$E$714:$E$739,'Temporada 2026'!C41,Resultados!$F$714:$F$739),"")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IF(C41&lt;&gt;"",SUMIF(Resultados!$E$770:$E$795,'Temporada 2026'!C41,Resultados!$F$770:$F$795),"")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128</v>
      </c>
      <c r="H42" s="123">
        <f t="shared" si="1"/>
        <v>-205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25</v>
      </c>
      <c r="Q42" s="121">
        <f>IF(C42&lt;&gt;"",SUMIF(Resultados!$E$275:$E$300,'Temporada 2026'!C42,Resultados!$F$275:$F$300),"")</f>
        <v>12</v>
      </c>
      <c r="R42" s="121">
        <f>IF(C42&lt;&gt;"",SUMIF(Resultados!$E$303:$E$328,'Temporada 2026'!C42,Resultados!$F$303:$F$328),"")</f>
        <v>20</v>
      </c>
      <c r="S42" s="121">
        <f>IF(C42&lt;&gt;"",SUMIF(Resultados!$E$331:$E$356,'Temporada 2026'!C42,Resultados!$F$331:$F$356),"")</f>
        <v>26</v>
      </c>
      <c r="T42" s="121">
        <f>IF(C42&lt;&gt;"",SUMIF(Resultados!$E$360:$E$409,'Temporada 2026'!C42,Resultados!$F$360:$F$409),"")</f>
        <v>13</v>
      </c>
      <c r="U42" s="121">
        <f>IF(C42&lt;&gt;"",SUMIF(Resultados!$E$412:$E$437,'Temporada 2026'!C42,Resultados!$F$412:$F$437),"")</f>
        <v>0</v>
      </c>
      <c r="V42" s="121">
        <f>IF(C42&lt;&gt;"",SUMIF(Resultados!$E$440:$E$465,'Temporada 2026'!C42,Resultados!$F$440:$F$465),"")</f>
        <v>0</v>
      </c>
      <c r="W42" s="121">
        <f>IF(C42&lt;&gt;"",SUMIF(Resultados!$E$469:$E$518,'Temporada 2026'!C42,Resultados!$F$469:$F$518),"")</f>
        <v>0</v>
      </c>
      <c r="X42" s="121">
        <f>IF(C42&lt;&gt;"",SUMIF(Resultados!$E$521:$E$546,'Temporada 2026'!C42,Resultados!$F$521:$F$546),"")</f>
        <v>0</v>
      </c>
      <c r="Y42" s="121">
        <f>IF(C42&lt;&gt;"",SUMIF(Resultados!$E$549:$E$574,'Temporada 2026'!C42,Resultados!$F$549:$F$574),"")</f>
        <v>0</v>
      </c>
      <c r="Z42" s="121">
        <f>IF(C42&lt;&gt;"",SUMIF(Resultados!$E$577:$E$602,'Temporada 2026'!C42,Resultados!$F$577:$F$602),"")</f>
        <v>0</v>
      </c>
      <c r="AA42" s="121">
        <f>IF(C42&lt;&gt;"",SUMIF(Resultados!$E$606:$E$655,'Temporada 2026'!C42,Resultados!$F$606:$F$655),"")</f>
        <v>0</v>
      </c>
      <c r="AB42" s="121">
        <f>IF(C42&lt;&gt;"",SUMIF(Resultados!$E$658:$E$683,'Temporada 2026'!C42,Resultados!$F$658:$F$683),"")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IF(C42&lt;&gt;"",SUMIF(Resultados!$E$714:$E$739,'Temporada 2026'!C42,Resultados!$F$714:$F$739),"")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IF(C42&lt;&gt;"",SUMIF(Resultados!$E$770:$E$795,'Temporada 2026'!C42,Resultados!$F$770:$F$795),"")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Alpine</v>
      </c>
      <c r="D43" s="123" t="str">
        <f>VLOOKUP(B43,'Dummy Table'!$A$34:$C$47,3,FALSE)</f>
        <v>França</v>
      </c>
      <c r="E43" s="123" t="str">
        <f>VLOOKUP(B43,'Dummy Table'!$A$34:$D$47,4,FALSE)</f>
        <v>Renault</v>
      </c>
      <c r="F43" s="124" t="str">
        <f>IF(C43&lt;&gt;"",IF(G43+Resultados!$K$30&gt;$G$39,"J","L"),"")</f>
        <v>J</v>
      </c>
      <c r="G43" s="125">
        <f>VLOOKUP(B43,'Dummy Table'!$A$34:$E$47,5,FALSE)</f>
        <v>60</v>
      </c>
      <c r="H43" s="123">
        <f t="shared" si="1"/>
        <v>-273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1</v>
      </c>
      <c r="K43" s="121">
        <f>IF(C43&lt;&gt;"",SUMIF(Resultados!$E$33:$E$82,'Temporada 2026'!C43,Resultados!$F$33:$F$82),"")</f>
        <v>9</v>
      </c>
      <c r="L43" s="121">
        <f>IF(C43&lt;&gt;"",SUMIF(Resultados!$E$85:$E$110,'Temporada 2026'!C43,Resultados!$F$85:$F$110),"")</f>
        <v>6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7</v>
      </c>
      <c r="P43" s="121">
        <f>IF(C43&lt;&gt;"",SUMIF(Resultados!$E$247:$E$272,'Temporada 2026'!C43,Resultados!$F$247:$F$272),"")</f>
        <v>12</v>
      </c>
      <c r="Q43" s="121">
        <f>IF(C43&lt;&gt;"",SUMIF(Resultados!$E$275:$E$300,'Temporada 2026'!C43,Resultados!$F$275:$F$300),"")</f>
        <v>15</v>
      </c>
      <c r="R43" s="121">
        <f>IF(C43&lt;&gt;"",SUMIF(Resultados!$E$303:$E$328,'Temporada 2026'!C43,Resultados!$F$303:$F$328),"")</f>
        <v>7</v>
      </c>
      <c r="S43" s="121">
        <f>IF(C43&lt;&gt;"",SUMIF(Resultados!$E$331:$E$356,'Temporada 2026'!C43,Resultados!$F$331:$F$356),"")</f>
        <v>0</v>
      </c>
      <c r="T43" s="121">
        <f>IF(C43&lt;&gt;"",SUMIF(Resultados!$E$360:$E$409,'Temporada 2026'!C43,Resultados!$F$360:$F$409),"")</f>
        <v>3</v>
      </c>
      <c r="U43" s="121">
        <f>IF(C43&lt;&gt;"",SUMIF(Resultados!$E$412:$E$437,'Temporada 2026'!C43,Resultados!$F$412:$F$437),"")</f>
        <v>0</v>
      </c>
      <c r="V43" s="121">
        <f>IF(C43&lt;&gt;"",SUMIF(Resultados!$E$440:$E$465,'Temporada 2026'!C43,Resultados!$F$440:$F$465),"")</f>
        <v>0</v>
      </c>
      <c r="W43" s="121">
        <f>IF(C43&lt;&gt;"",SUMIF(Resultados!$E$469:$E$518,'Temporada 2026'!C43,Resultados!$F$469:$F$518),"")</f>
        <v>0</v>
      </c>
      <c r="X43" s="121">
        <f>IF(C43&lt;&gt;"",SUMIF(Resultados!$E$521:$E$546,'Temporada 2026'!C43,Resultados!$F$521:$F$546),"")</f>
        <v>0</v>
      </c>
      <c r="Y43" s="121">
        <f>IF(C43&lt;&gt;"",SUMIF(Resultados!$E$549:$E$574,'Temporada 2026'!C43,Resultados!$F$549:$F$574),"")</f>
        <v>0</v>
      </c>
      <c r="Z43" s="121">
        <f>IF(C43&lt;&gt;"",SUMIF(Resultados!$E$577:$E$602,'Temporada 2026'!C43,Resultados!$F$577:$F$602),"")</f>
        <v>0</v>
      </c>
      <c r="AA43" s="121">
        <f>IF(C43&lt;&gt;"",SUMIF(Resultados!$E$606:$E$655,'Temporada 2026'!C43,Resultados!$F$606:$F$655),"")</f>
        <v>0</v>
      </c>
      <c r="AB43" s="121">
        <f>IF(C43&lt;&gt;"",SUMIF(Resultados!$E$658:$E$683,'Temporada 2026'!C43,Resultados!$F$658:$F$683),"")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IF(C43&lt;&gt;"",SUMIF(Resultados!$E$714:$E$739,'Temporada 2026'!C43,Resultados!$F$714:$F$739),"")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IF(C43&lt;&gt;"",SUMIF(Resultados!$E$770:$E$795,'Temporada 2026'!C43,Resultados!$F$770:$F$795),"")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Racing Bulls</v>
      </c>
      <c r="D44" s="123" t="str">
        <f>VLOOKUP(B44,'Dummy Table'!$A$34:$C$47,3,FALSE)</f>
        <v>Itália</v>
      </c>
      <c r="E44" s="123" t="str">
        <f>VLOOKUP(B44,'Dummy Table'!$A$34:$D$47,4,FALSE)</f>
        <v>RB Ford</v>
      </c>
      <c r="F44" s="124" t="str">
        <f>IF(C44&lt;&gt;"",IF(G44+Resultados!$K$30&gt;$G$39,"J","L"),"")</f>
        <v>J</v>
      </c>
      <c r="G44" s="125">
        <f>VLOOKUP(B44,'Dummy Table'!$A$34:$E$47,5,FALSE)</f>
        <v>59</v>
      </c>
      <c r="H44" s="123">
        <f t="shared" si="1"/>
        <v>-274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4</v>
      </c>
      <c r="K44" s="121">
        <f>IF(C44&lt;&gt;"",SUMIF(Resultados!$E$33:$E$82,'Temporada 2026'!C44,Resultados!$F$33:$F$82),"")</f>
        <v>8</v>
      </c>
      <c r="L44" s="121">
        <f>IF(C44&lt;&gt;"",SUMIF(Resultados!$E$85:$E$110,'Temporada 2026'!C44,Resultados!$F$85:$F$110),"")</f>
        <v>2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0</v>
      </c>
      <c r="P44" s="121">
        <f>IF(C44&lt;&gt;"",SUMIF(Resultados!$E$247:$E$272,'Temporada 2026'!C44,Resultados!$F$247:$F$272),"")</f>
        <v>6</v>
      </c>
      <c r="Q44" s="121">
        <f>IF(C44&lt;&gt;"",SUMIF(Resultados!$E$275:$E$300,'Temporada 2026'!C44,Resultados!$F$275:$F$300),"")</f>
        <v>14</v>
      </c>
      <c r="R44" s="121">
        <f>IF(C44&lt;&gt;"",SUMIF(Resultados!$E$303:$E$328,'Temporada 2026'!C44,Resultados!$F$303:$F$328),"")</f>
        <v>6</v>
      </c>
      <c r="S44" s="121">
        <f>IF(C44&lt;&gt;"",SUMIF(Resultados!$E$331:$E$356,'Temporada 2026'!C44,Resultados!$F$331:$F$356),"")</f>
        <v>3</v>
      </c>
      <c r="T44" s="121">
        <f>IF(C44&lt;&gt;"",SUMIF(Resultados!$E$360:$E$409,'Temporada 2026'!C44,Resultados!$F$360:$F$409),"")</f>
        <v>15</v>
      </c>
      <c r="U44" s="121">
        <f>IF(C44&lt;&gt;"",SUMIF(Resultados!$E$412:$E$437,'Temporada 2026'!C44,Resultados!$F$412:$F$437),"")</f>
        <v>0</v>
      </c>
      <c r="V44" s="121">
        <f>IF(C44&lt;&gt;"",SUMIF(Resultados!$E$440:$E$465,'Temporada 2026'!C44,Resultados!$F$440:$F$465),"")</f>
        <v>0</v>
      </c>
      <c r="W44" s="121">
        <f>IF(C44&lt;&gt;"",SUMIF(Resultados!$E$469:$E$518,'Temporada 2026'!C44,Resultados!$F$469:$F$518),"")</f>
        <v>0</v>
      </c>
      <c r="X44" s="121">
        <f>IF(C44&lt;&gt;"",SUMIF(Resultados!$E$521:$E$546,'Temporada 2026'!C44,Resultados!$F$521:$F$546),"")</f>
        <v>0</v>
      </c>
      <c r="Y44" s="121">
        <f>IF(C44&lt;&gt;"",SUMIF(Resultados!$E$549:$E$574,'Temporada 2026'!C44,Resultados!$F$549:$F$574),"")</f>
        <v>0</v>
      </c>
      <c r="Z44" s="121">
        <f>IF(C44&lt;&gt;"",SUMIF(Resultados!$E$577:$E$602,'Temporada 2026'!C44,Resultados!$F$577:$F$602),"")</f>
        <v>0</v>
      </c>
      <c r="AA44" s="121">
        <f>IF(C44&lt;&gt;"",SUMIF(Resultados!$E$606:$E$655,'Temporada 2026'!C44,Resultados!$F$606:$F$655),"")</f>
        <v>0</v>
      </c>
      <c r="AB44" s="121">
        <f>IF(C44&lt;&gt;"",SUMIF(Resultados!$E$658:$E$683,'Temporada 2026'!C44,Resultados!$F$658:$F$683),"")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IF(C44&lt;&gt;"",SUMIF(Resultados!$E$714:$E$739,'Temporada 2026'!C44,Resultados!$F$714:$F$739),"")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IF(C44&lt;&gt;"",SUMIF(Resultados!$E$770:$E$795,'Temporada 2026'!C44,Resultados!$F$770:$F$795),"")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J</v>
      </c>
      <c r="G45" s="125">
        <f>VLOOKUP(B45,'Dummy Table'!$A$34:$E$47,5,FALSE)</f>
        <v>21</v>
      </c>
      <c r="H45" s="123">
        <f t="shared" si="1"/>
        <v>-312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6</v>
      </c>
      <c r="K45" s="121">
        <f>IF(C45&lt;&gt;"",SUMIF(Resultados!$E$33:$E$82,'Temporada 2026'!C45,Resultados!$F$33:$F$82),"")</f>
        <v>11</v>
      </c>
      <c r="L45" s="121">
        <f>IF(C45&lt;&gt;"",SUMIF(Resultados!$E$85:$E$110,'Temporada 2026'!C45,Resultados!$F$85:$F$110),"")</f>
        <v>1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1</v>
      </c>
      <c r="Q45" s="121">
        <f>IF(C45&lt;&gt;"",SUMIF(Resultados!$E$275:$E$300,'Temporada 2026'!C45,Resultados!$F$275:$F$300),"")</f>
        <v>2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IF(C45&lt;&gt;"",SUMIF(Resultados!$E$360:$E$409,'Temporada 2026'!C45,Resultados!$F$360:$F$409),"")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IF(C45&lt;&gt;"",SUMIF(Resultados!$E$440:$E$465,'Temporada 2026'!C45,Resultados!$F$440:$F$465),"")</f>
        <v>0</v>
      </c>
      <c r="W45" s="121">
        <f>IF(C45&lt;&gt;"",SUMIF(Resultados!$E$469:$E$518,'Temporada 2026'!C45,Resultados!$F$469:$F$518),"")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0</v>
      </c>
      <c r="AA45" s="121">
        <f>IF(C45&lt;&gt;"",SUMIF(Resultados!$E$606:$E$655,'Temporada 2026'!C45,Resultados!$F$606:$F$655),"")</f>
        <v>0</v>
      </c>
      <c r="AB45" s="121">
        <f>IF(C45&lt;&gt;"",SUMIF(Resultados!$E$658:$E$683,'Temporada 2026'!C45,Resultados!$F$658:$F$683),"")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IF(C45&lt;&gt;"",SUMIF(Resultados!$E$714:$E$739,'Temporada 2026'!C45,Resultados!$F$714:$F$739),"")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IF(C45&lt;&gt;"",SUMIF(Resultados!$E$770:$E$795,'Temporada 2026'!C45,Resultados!$F$770:$F$795),"")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Williams</v>
      </c>
      <c r="D46" s="123" t="str">
        <f>VLOOKUP(B46,'Dummy Table'!$A$34:$C$47,3,FALSE)</f>
        <v>Inglaterra</v>
      </c>
      <c r="E46" s="123" t="str">
        <f>VLOOKUP(B46,'Dummy Table'!$A$34:$D$47,4,FALSE)</f>
        <v>Mercedes</v>
      </c>
      <c r="F46" s="124" t="str">
        <f>IF(C46&lt;&gt;"",IF(G46+Resultados!$K$30&gt;$G$39,"J","L"),"")</f>
        <v>J</v>
      </c>
      <c r="G46" s="125">
        <f>VLOOKUP(B46,'Dummy Table'!$A$34:$E$47,5,FALSE)</f>
        <v>11</v>
      </c>
      <c r="H46" s="123">
        <f t="shared" si="1"/>
        <v>-322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0</v>
      </c>
      <c r="K46" s="121">
        <f>IF(C46&lt;&gt;"",SUMIF(Resultados!$E$33:$E$82,'Temporada 2026'!C46,Resultados!$F$33:$F$82),"")</f>
        <v>2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3</v>
      </c>
      <c r="P46" s="121">
        <f>IF(C46&lt;&gt;"",SUMIF(Resultados!$E$247:$E$272,'Temporada 2026'!C46,Resultados!$F$247:$F$272),"")</f>
        <v>2</v>
      </c>
      <c r="Q46" s="121">
        <f>IF(C46&lt;&gt;"",SUMIF(Resultados!$E$275:$E$300,'Temporada 2026'!C46,Resultados!$F$275:$F$300),"")</f>
        <v>4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IF(C46&lt;&gt;"",SUMIF(Resultados!$E$360:$E$409,'Temporada 2026'!C46,Resultados!$F$360:$F$409),"")</f>
        <v>0</v>
      </c>
      <c r="U46" s="121">
        <f>IF(C46&lt;&gt;"",SUMIF(Resultados!$E$412:$E$437,'Temporada 2026'!C46,Resultados!$F$412:$F$437),"")</f>
        <v>0</v>
      </c>
      <c r="V46" s="121">
        <f>IF(C46&lt;&gt;"",SUMIF(Resultados!$E$440:$E$465,'Temporada 2026'!C46,Resultados!$F$440:$F$465),"")</f>
        <v>0</v>
      </c>
      <c r="W46" s="121">
        <f>IF(C46&lt;&gt;"",SUMIF(Resultados!$E$469:$E$518,'Temporada 2026'!C46,Resultados!$F$469:$F$518),"")</f>
        <v>0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0</v>
      </c>
      <c r="Z46" s="121">
        <f>IF(C46&lt;&gt;"",SUMIF(Resultados!$E$577:$E$602,'Temporada 2026'!C46,Resultados!$F$577:$F$602),"")</f>
        <v>0</v>
      </c>
      <c r="AA46" s="121">
        <f>IF(C46&lt;&gt;"",SUMIF(Resultados!$E$606:$E$655,'Temporada 2026'!C46,Resultados!$F$606:$F$655),"")</f>
        <v>0</v>
      </c>
      <c r="AB46" s="121">
        <f>IF(C46&lt;&gt;"",SUMIF(Resultados!$E$658:$E$683,'Temporada 2026'!C46,Resultados!$F$658:$F$683),"")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IF(C46&lt;&gt;"",SUMIF(Resultados!$E$714:$E$739,'Temporada 2026'!C46,Resultados!$F$714:$F$739),"")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IF(C46&lt;&gt;"",SUMIF(Resultados!$E$770:$E$795,'Temporada 2026'!C46,Resultados!$F$770:$F$795),"")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Audi</v>
      </c>
      <c r="D47" s="123" t="str">
        <f>VLOOKUP(B47,'Dummy Table'!$A$34:$C$47,3,FALSE)</f>
        <v>Alemanha</v>
      </c>
      <c r="E47" s="123" t="str">
        <f>VLOOKUP(B47,'Dummy Table'!$A$34:$D$47,4,FALSE)</f>
        <v>Audi</v>
      </c>
      <c r="F47" s="124" t="str">
        <f>IF(C47&lt;&gt;"",IF(G47+Resultados!$K$30&gt;$G$39,"J","L"),"")</f>
        <v>J</v>
      </c>
      <c r="G47" s="125">
        <f>VLOOKUP(B47,'Dummy Table'!$A$34:$E$47,5,FALSE)</f>
        <v>6</v>
      </c>
      <c r="H47" s="123">
        <f t="shared" si="1"/>
        <v>-327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2</v>
      </c>
      <c r="K47" s="121">
        <f>IF(C47&lt;&gt;"",SUMIF(Resultados!$E$33:$E$82,'Temporada 2026'!C47,Resultados!$F$33:$F$82),"")</f>
        <v>0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0</v>
      </c>
      <c r="P47" s="121">
        <f>IF(C47&lt;&gt;"",SUMIF(Resultados!$E$247:$E$272,'Temporada 2026'!C47,Resultados!$F$247:$F$272),"")</f>
        <v>0</v>
      </c>
      <c r="Q47" s="121">
        <f>IF(C47&lt;&gt;"",SUMIF(Resultados!$E$275:$E$300,'Temporada 2026'!C47,Resultados!$F$275:$F$300),"")</f>
        <v>0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IF(C47&lt;&gt;"",SUMIF(Resultados!$E$360:$E$409,'Temporada 2026'!C47,Resultados!$F$360:$F$409),"")</f>
        <v>4</v>
      </c>
      <c r="U47" s="121">
        <f>IF(C47&lt;&gt;"",SUMIF(Resultados!$E$412:$E$437,'Temporada 2026'!C47,Resultados!$F$412:$F$437),"")</f>
        <v>0</v>
      </c>
      <c r="V47" s="121">
        <f>IF(C47&lt;&gt;"",SUMIF(Resultados!$E$440:$E$465,'Temporada 2026'!C47,Resultados!$F$440:$F$465),"")</f>
        <v>0</v>
      </c>
      <c r="W47" s="121">
        <f>IF(C47&lt;&gt;"",SUMIF(Resultados!$E$469:$E$518,'Temporada 2026'!C47,Resultados!$F$469:$F$518),"")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0</v>
      </c>
      <c r="AA47" s="121">
        <f>IF(C47&lt;&gt;"",SUMIF(Resultados!$E$606:$E$655,'Temporada 2026'!C47,Resultados!$F$606:$F$655),"")</f>
        <v>0</v>
      </c>
      <c r="AB47" s="121">
        <f>IF(C47&lt;&gt;"",SUMIF(Resultados!$E$658:$E$683,'Temporada 2026'!C47,Resultados!$F$658:$F$683),"")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IF(C47&lt;&gt;"",SUMIF(Resultados!$E$714:$E$739,'Temporada 2026'!C47,Resultados!$F$714:$F$739),"")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IF(C47&lt;&gt;"",SUMIF(Resultados!$E$770:$E$795,'Temporada 2026'!C47,Resultados!$F$770:$F$795),"")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Aston Martin</v>
      </c>
      <c r="D48" s="123" t="str">
        <f>VLOOKUP(B48,'Dummy Table'!$A$34:$C$47,3,FALSE)</f>
        <v>Inglaterra</v>
      </c>
      <c r="E48" s="123" t="str">
        <f>VLOOKUP(B48,'Dummy Table'!$A$34:$D$47,4,FALSE)</f>
        <v>Honda</v>
      </c>
      <c r="F48" s="124" t="str">
        <f>IF(C48&lt;&gt;"",IF(G48+Resultados!$K$30&gt;$G$39,"J","L"),"")</f>
        <v>J</v>
      </c>
      <c r="G48" s="125">
        <f>VLOOKUP(B48,'Dummy Table'!$A$34:$E$47,5,FALSE)</f>
        <v>1</v>
      </c>
      <c r="H48" s="123">
        <f t="shared" si="1"/>
        <v>-332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1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IF(C48&lt;&gt;"",SUMIF(Resultados!$E$360:$E$409,'Temporada 2026'!C48,Resultados!$F$360:$F$409),"")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IF(C48&lt;&gt;"",SUMIF(Resultados!$E$440:$E$465,'Temporada 2026'!C48,Resultados!$F$440:$F$465),"")</f>
        <v>0</v>
      </c>
      <c r="W48" s="121">
        <f>IF(C48&lt;&gt;"",SUMIF(Resultados!$E$469:$E$518,'Temporada 2026'!C48,Resultados!$F$469:$F$518),"")</f>
        <v>0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IF(C48&lt;&gt;"",SUMIF(Resultados!$E$606:$E$655,'Temporada 2026'!C48,Resultados!$F$606:$F$655),"")</f>
        <v>0</v>
      </c>
      <c r="AB48" s="121">
        <f>IF(C48&lt;&gt;"",SUMIF(Resultados!$E$658:$E$683,'Temporada 2026'!C48,Resultados!$F$658:$F$683),"")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IF(C48&lt;&gt;"",SUMIF(Resultados!$E$714:$E$739,'Temporada 2026'!C48,Resultados!$F$714:$F$739),"")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IF(C48&lt;&gt;"",SUMIF(Resultados!$E$770:$E$795,'Temporada 2026'!C48,Resultados!$F$770:$F$795),"")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Cadillac</v>
      </c>
      <c r="D49" s="123" t="str">
        <f>VLOOKUP(B49,'Dummy Table'!$A$34:$C$47,3,FALSE)</f>
        <v>EUA</v>
      </c>
      <c r="E49" s="123" t="str">
        <f>VLOOKUP(B49,'Dummy Table'!$A$34:$D$47,4,FALSE)</f>
        <v>Ferrari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-333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IF(C49&lt;&gt;"",SUMIF(Resultados!$E$360:$E$409,'Temporada 2026'!C49,Resultados!$F$360:$F$409),"")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IF(C49&lt;&gt;"",SUMIF(Resultados!$E$440:$E$465,'Temporada 2026'!C49,Resultados!$F$440:$F$465),"")</f>
        <v>0</v>
      </c>
      <c r="W49" s="121">
        <f>IF(C49&lt;&gt;"",SUMIF(Resultados!$E$469:$E$518,'Temporada 2026'!C49,Resultados!$F$469:$F$518),"")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IF(C49&lt;&gt;"",SUMIF(Resultados!$E$606:$E$655,'Temporada 2026'!C49,Resultados!$F$606:$F$655),"")</f>
        <v>0</v>
      </c>
      <c r="AB49" s="121">
        <f>IF(C49&lt;&gt;"",SUMIF(Resultados!$E$658:$E$683,'Temporada 2026'!C49,Resultados!$F$658:$F$683),"")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IF(C49&lt;&gt;"",SUMIF(Resultados!$E$714:$E$739,'Temporada 2026'!C49,Resultados!$F$714:$F$739),"")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IF(C49&lt;&gt;"",SUMIF(Resultados!$E$770:$E$795,'Temporada 2026'!C49,Resultados!$F$770:$F$795),"")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IF(C50&lt;&gt;"",SUMIF(Resultados!$E$360:$E$409,'Temporada 2026'!C50,Resultados!$F$360:$F$409),"")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IF(C50&lt;&gt;"",SUMIF(Resultados!$E$440:$E$465,'Temporada 2026'!C50,Resultados!$F$440:$F$465),"")</f>
        <v/>
      </c>
      <c r="W50" s="121" t="str">
        <f>IF(C50&lt;&gt;"",SUMIF(Resultados!$E$469:$E$518,'Temporada 2026'!C50,Resultados!$F$469:$F$518),"")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IF(C50&lt;&gt;"",SUMIF(Resultados!$E$606:$E$655,'Temporada 2026'!C50,Resultados!$F$606:$F$655),"")</f>
        <v/>
      </c>
      <c r="AB50" s="121" t="str">
        <f>IF(C50&lt;&gt;"",SUMIF(Resultados!$E$658:$E$683,'Temporada 2026'!C50,Resultados!$F$658:$F$683),"")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IF(C50&lt;&gt;"",SUMIF(Resultados!$E$714:$E$739,'Temporada 2026'!C50,Resultados!$F$714:$F$739),"")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IF(C50&lt;&gt;"",SUMIF(Resultados!$E$770:$E$795,'Temporada 2026'!C50,Resultados!$F$770:$F$795),"")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8" t="s">
        <v>249</v>
      </c>
      <c r="C54" s="158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358</v>
      </c>
      <c r="C58" s="129" t="s">
        <v>359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gyqUktt9Yu/WvSJodWrVIjAgJLwsPSqgM3tD9Wl+cgrsbD4JLEi+Dfo512NY+eq07FTHvVTVhbsT7dG4sOIDtA==" saltValue="B251aS6R8++D1MRap8R++g==" spinCount="100000" sheet="1" selectLockedCells="1"/>
  <mergeCells count="21"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  <mergeCell ref="B36:E36"/>
    <mergeCell ref="H6:H7"/>
    <mergeCell ref="G6:G7"/>
    <mergeCell ref="F6:F7"/>
    <mergeCell ref="J6:AG6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59" t="s">
        <v>28</v>
      </c>
      <c r="C2" s="159"/>
      <c r="D2" s="159"/>
      <c r="E2" s="159"/>
      <c r="F2" s="159"/>
      <c r="G2" s="159"/>
      <c r="H2" s="159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69" t="s">
        <v>27</v>
      </c>
      <c r="H4" s="169"/>
    </row>
    <row r="5" spans="2:8" x14ac:dyDescent="0.2">
      <c r="B5" s="167">
        <v>1</v>
      </c>
      <c r="C5" s="166">
        <f>'Calendário atual'!B2</f>
        <v>46089</v>
      </c>
      <c r="D5" s="163" t="str">
        <f>'Calendário atual'!C2</f>
        <v>Australia</v>
      </c>
      <c r="E5" s="160" t="str">
        <f>'Calendário atual'!D2</f>
        <v>FORMULA 1 QATAR AIRWAYS AUSTRALIAN GRAND PRIX 2026</v>
      </c>
      <c r="F5" s="163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67"/>
      <c r="C6" s="166"/>
      <c r="D6" s="164"/>
      <c r="E6" s="161"/>
      <c r="F6" s="164"/>
      <c r="G6" s="105">
        <v>2</v>
      </c>
      <c r="H6" s="103" t="str">
        <f>IF(Resultados!C5&lt;&gt;"",Resultados!C5,"")</f>
        <v>Kimi Antonelli</v>
      </c>
    </row>
    <row r="7" spans="2:8" x14ac:dyDescent="0.2">
      <c r="B7" s="167"/>
      <c r="C7" s="166"/>
      <c r="D7" s="165"/>
      <c r="E7" s="162"/>
      <c r="F7" s="165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0">
        <v>2</v>
      </c>
      <c r="C8" s="166">
        <f>'Calendário atual'!B3</f>
        <v>46096</v>
      </c>
      <c r="D8" s="165" t="str">
        <f>'Calendário atual'!C3</f>
        <v>China</v>
      </c>
      <c r="E8" s="160" t="str">
        <f>'Calendário atual'!D3</f>
        <v>FORMULA 1 HEINEKEN CHINESE GRAND PRIX 2026</v>
      </c>
      <c r="F8" s="163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67"/>
      <c r="C9" s="166"/>
      <c r="D9" s="168"/>
      <c r="E9" s="161"/>
      <c r="F9" s="164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67"/>
      <c r="C10" s="166"/>
      <c r="D10" s="168"/>
      <c r="E10" s="162"/>
      <c r="F10" s="165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67">
        <v>3</v>
      </c>
      <c r="C11" s="166">
        <f>'Calendário atual'!B4</f>
        <v>46110</v>
      </c>
      <c r="D11" s="168" t="str">
        <f>'Calendário atual'!C4</f>
        <v>Japão</v>
      </c>
      <c r="E11" s="160" t="str">
        <f>'Calendário atual'!D4</f>
        <v>FORMULA 1 ARAMCO JAPANESE GRAND PRIX 2026</v>
      </c>
      <c r="F11" s="163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67"/>
      <c r="C12" s="166"/>
      <c r="D12" s="168"/>
      <c r="E12" s="161"/>
      <c r="F12" s="164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67"/>
      <c r="C13" s="166"/>
      <c r="D13" s="168"/>
      <c r="E13" s="162"/>
      <c r="F13" s="165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67">
        <v>4</v>
      </c>
      <c r="C14" s="166">
        <f>'Calendário atual'!B5</f>
        <v>46124</v>
      </c>
      <c r="D14" s="168" t="str">
        <f>'Calendário atual'!C5</f>
        <v>Bahrein</v>
      </c>
      <c r="E14" s="160" t="str">
        <f>'Calendário atual'!D5</f>
        <v>SUSPENSA - FORMULA 1 GULF AIR BAHRAIN GRAND PRIX 2026 - SUSPENSA</v>
      </c>
      <c r="F14" s="163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67"/>
      <c r="C15" s="166"/>
      <c r="D15" s="168"/>
      <c r="E15" s="161"/>
      <c r="F15" s="164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67"/>
      <c r="C16" s="166"/>
      <c r="D16" s="168"/>
      <c r="E16" s="162"/>
      <c r="F16" s="165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67">
        <v>5</v>
      </c>
      <c r="C17" s="166">
        <f>'Calendário atual'!B6</f>
        <v>46131</v>
      </c>
      <c r="D17" s="168" t="str">
        <f>'Calendário atual'!C6</f>
        <v>Arabia Saudita</v>
      </c>
      <c r="E17" s="160" t="str">
        <f>'Calendário atual'!D6</f>
        <v>SUSPENSA - FORMULA 1 STC SAUDI ARABIAN GRAND PRIX 2026 - SUSPENSA</v>
      </c>
      <c r="F17" s="163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67"/>
      <c r="C18" s="166"/>
      <c r="D18" s="168"/>
      <c r="E18" s="161"/>
      <c r="F18" s="164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67"/>
      <c r="C19" s="166"/>
      <c r="D19" s="168"/>
      <c r="E19" s="162"/>
      <c r="F19" s="165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67">
        <v>6</v>
      </c>
      <c r="C20" s="166">
        <f>'Calendário atual'!B7</f>
        <v>46145</v>
      </c>
      <c r="D20" s="168" t="str">
        <f>'Calendário atual'!C7</f>
        <v>USA</v>
      </c>
      <c r="E20" s="160" t="str">
        <f>'Calendário atual'!D7</f>
        <v>FORMULA 1 CRYPTO.COM MIAMI GRAND PRIX 2026</v>
      </c>
      <c r="F20" s="168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67"/>
      <c r="C21" s="166"/>
      <c r="D21" s="168"/>
      <c r="E21" s="161"/>
      <c r="F21" s="168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67"/>
      <c r="C22" s="166"/>
      <c r="D22" s="168"/>
      <c r="E22" s="162"/>
      <c r="F22" s="168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67">
        <v>7</v>
      </c>
      <c r="C23" s="166">
        <f>'Calendário atual'!B8</f>
        <v>46166</v>
      </c>
      <c r="D23" s="168" t="str">
        <f>'Calendário atual'!C8</f>
        <v>Canadá</v>
      </c>
      <c r="E23" s="160" t="str">
        <f>'Calendário atual'!D8</f>
        <v>FORMULA 1 LENOVO GRAND PRIX DU CANADA 2026</v>
      </c>
      <c r="F23" s="168" t="str">
        <f>'Calendário atual'!E8</f>
        <v>Circuit Gilles Villeneuve</v>
      </c>
      <c r="G23" s="101">
        <v>1</v>
      </c>
      <c r="H23" s="102" t="str">
        <f>IF(Resultados!C247&lt;&gt;"",Resultados!C247,"")</f>
        <v>Kimi Antonelli</v>
      </c>
    </row>
    <row r="24" spans="2:8" ht="12.75" customHeight="1" x14ac:dyDescent="0.2">
      <c r="B24" s="167"/>
      <c r="C24" s="166"/>
      <c r="D24" s="168"/>
      <c r="E24" s="161"/>
      <c r="F24" s="168"/>
      <c r="G24" s="105">
        <v>2</v>
      </c>
      <c r="H24" s="103" t="str">
        <f>IF(Resultados!C248&lt;&gt;"",Resultados!C248,"")</f>
        <v>Lewis Hamilton</v>
      </c>
    </row>
    <row r="25" spans="2:8" ht="12.75" customHeight="1" x14ac:dyDescent="0.2">
      <c r="B25" s="167"/>
      <c r="C25" s="166"/>
      <c r="D25" s="168"/>
      <c r="E25" s="162"/>
      <c r="F25" s="168"/>
      <c r="G25" s="106">
        <v>3</v>
      </c>
      <c r="H25" s="104" t="str">
        <f>IF(Resultados!C249&lt;&gt;"",Resultados!C249,"")</f>
        <v>Max Verstappen</v>
      </c>
    </row>
    <row r="26" spans="2:8" ht="12.75" customHeight="1" x14ac:dyDescent="0.2">
      <c r="B26" s="167">
        <v>8</v>
      </c>
      <c r="C26" s="166">
        <f>'Calendário atual'!B9</f>
        <v>46180</v>
      </c>
      <c r="D26" s="168" t="str">
        <f>'Calendário atual'!C9</f>
        <v>Mônaco</v>
      </c>
      <c r="E26" s="160" t="str">
        <f>'Calendário atual'!D9</f>
        <v>FORMULA 1 LOUIS VUITTON GRAND PRIX DE MONACO 2026</v>
      </c>
      <c r="F26" s="168" t="str">
        <f>'Calendário atual'!E9</f>
        <v>Monaco</v>
      </c>
      <c r="G26" s="101">
        <v>1</v>
      </c>
      <c r="H26" s="102" t="str">
        <f>IF(Resultados!C275&lt;&gt;"",Resultados!C275,"")</f>
        <v>Kimi Antonelli</v>
      </c>
    </row>
    <row r="27" spans="2:8" ht="12.75" customHeight="1" x14ac:dyDescent="0.2">
      <c r="B27" s="167"/>
      <c r="C27" s="166"/>
      <c r="D27" s="168"/>
      <c r="E27" s="161"/>
      <c r="F27" s="168"/>
      <c r="G27" s="105">
        <v>2</v>
      </c>
      <c r="H27" s="103" t="str">
        <f>IF(Resultados!C276&lt;&gt;"",Resultados!C276,"")</f>
        <v>Lewis Hamilton</v>
      </c>
    </row>
    <row r="28" spans="2:8" ht="12.75" customHeight="1" x14ac:dyDescent="0.2">
      <c r="B28" s="167"/>
      <c r="C28" s="166"/>
      <c r="D28" s="168"/>
      <c r="E28" s="162"/>
      <c r="F28" s="168"/>
      <c r="G28" s="106">
        <v>3</v>
      </c>
      <c r="H28" s="104" t="str">
        <f>IF(Resultados!C277&lt;&gt;"",Resultados!C277,"")</f>
        <v>Pierre Gasly</v>
      </c>
    </row>
    <row r="29" spans="2:8" ht="12.75" customHeight="1" x14ac:dyDescent="0.2">
      <c r="B29" s="167">
        <v>9</v>
      </c>
      <c r="C29" s="166">
        <f>'Calendário atual'!B10</f>
        <v>46187</v>
      </c>
      <c r="D29" s="168" t="str">
        <f>'Calendário atual'!C10</f>
        <v>Espanha</v>
      </c>
      <c r="E29" s="160" t="str">
        <f>'Calendário atual'!D10</f>
        <v>FORMULA 1 MSC CRUISES GRAN PREMIO DE BARCELONA-CATALUNYA 2026</v>
      </c>
      <c r="F29" s="168" t="str">
        <f>'Calendário atual'!E10</f>
        <v>Circuit de Catalunya</v>
      </c>
      <c r="G29" s="101">
        <v>1</v>
      </c>
      <c r="H29" s="102" t="str">
        <f>IF(Resultados!C303&lt;&gt;"",Resultados!C303,"")</f>
        <v>Lewis Hamilton</v>
      </c>
    </row>
    <row r="30" spans="2:8" ht="12.75" customHeight="1" x14ac:dyDescent="0.2">
      <c r="B30" s="167"/>
      <c r="C30" s="166"/>
      <c r="D30" s="168"/>
      <c r="E30" s="161"/>
      <c r="F30" s="168"/>
      <c r="G30" s="105">
        <v>2</v>
      </c>
      <c r="H30" s="103" t="str">
        <f>IF(Resultados!C304&lt;&gt;"",Resultados!C304,"")</f>
        <v>George Russell</v>
      </c>
    </row>
    <row r="31" spans="2:8" ht="12.75" customHeight="1" x14ac:dyDescent="0.2">
      <c r="B31" s="167"/>
      <c r="C31" s="166"/>
      <c r="D31" s="168"/>
      <c r="E31" s="162"/>
      <c r="F31" s="168"/>
      <c r="G31" s="106">
        <v>3</v>
      </c>
      <c r="H31" s="104" t="str">
        <f>IF(Resultados!C305&lt;&gt;"",Resultados!C305,"")</f>
        <v>Lando Norris</v>
      </c>
    </row>
    <row r="32" spans="2:8" ht="12.75" customHeight="1" x14ac:dyDescent="0.2">
      <c r="B32" s="167">
        <v>10</v>
      </c>
      <c r="C32" s="166">
        <f>'Calendário atual'!B11</f>
        <v>46201</v>
      </c>
      <c r="D32" s="163" t="str">
        <f>'Calendário atual'!C11</f>
        <v>Austria</v>
      </c>
      <c r="E32" s="160" t="str">
        <f>'Calendário atual'!D11</f>
        <v>FORMULA 1 LENOVO AUSTRIAN GRAND PRIX 2026</v>
      </c>
      <c r="F32" s="163" t="str">
        <f>'Calendário atual'!E11</f>
        <v>Red Bull Ring</v>
      </c>
      <c r="G32" s="101">
        <v>1</v>
      </c>
      <c r="H32" s="102" t="str">
        <f>IF(Resultados!C331&lt;&gt;"",Resultados!C331,"")</f>
        <v>George Russell</v>
      </c>
    </row>
    <row r="33" spans="2:8" ht="12.75" customHeight="1" x14ac:dyDescent="0.2">
      <c r="B33" s="167"/>
      <c r="C33" s="166"/>
      <c r="D33" s="164"/>
      <c r="E33" s="161"/>
      <c r="F33" s="164"/>
      <c r="G33" s="105">
        <v>2</v>
      </c>
      <c r="H33" s="103" t="str">
        <f>IF(Resultados!C332&lt;&gt;"",Resultados!C332,"")</f>
        <v>Max Verstappen</v>
      </c>
    </row>
    <row r="34" spans="2:8" ht="12.75" customHeight="1" x14ac:dyDescent="0.2">
      <c r="B34" s="167"/>
      <c r="C34" s="166"/>
      <c r="D34" s="165"/>
      <c r="E34" s="162"/>
      <c r="F34" s="165"/>
      <c r="G34" s="106">
        <v>3</v>
      </c>
      <c r="H34" s="104" t="str">
        <f>IF(Resultados!C333&lt;&gt;"",Resultados!C333,"")</f>
        <v>Kimi Antonelli</v>
      </c>
    </row>
    <row r="35" spans="2:8" ht="12.75" customHeight="1" x14ac:dyDescent="0.2">
      <c r="B35" s="167">
        <v>11</v>
      </c>
      <c r="C35" s="166">
        <f>'Calendário atual'!B12</f>
        <v>46208</v>
      </c>
      <c r="D35" s="168" t="str">
        <f>'Calendário atual'!C12</f>
        <v>Inglaterra</v>
      </c>
      <c r="E35" s="160" t="str">
        <f>'Calendário atual'!D12</f>
        <v>FORMULA 1 PIRELLI BRITISH GRAND PRIX 2026</v>
      </c>
      <c r="F35" s="168" t="str">
        <f>'Calendário atual'!E12</f>
        <v>Silverstone</v>
      </c>
      <c r="G35" s="101">
        <v>1</v>
      </c>
      <c r="H35" s="102" t="str">
        <f>IF(Resultados!C384&lt;&gt;"",Resultados!C384,"")</f>
        <v>Charles Leclerc</v>
      </c>
    </row>
    <row r="36" spans="2:8" ht="12.75" customHeight="1" x14ac:dyDescent="0.2">
      <c r="B36" s="167"/>
      <c r="C36" s="166"/>
      <c r="D36" s="168"/>
      <c r="E36" s="161"/>
      <c r="F36" s="168"/>
      <c r="G36" s="105">
        <v>2</v>
      </c>
      <c r="H36" s="103" t="str">
        <f>IF(Resultados!C385&lt;&gt;"",Resultados!C385,"")</f>
        <v>George Russell</v>
      </c>
    </row>
    <row r="37" spans="2:8" ht="12.75" customHeight="1" x14ac:dyDescent="0.2">
      <c r="B37" s="167"/>
      <c r="C37" s="166"/>
      <c r="D37" s="168"/>
      <c r="E37" s="162"/>
      <c r="F37" s="168"/>
      <c r="G37" s="106">
        <v>3</v>
      </c>
      <c r="H37" s="104" t="str">
        <f>IF(Resultados!C386&lt;&gt;"",Resultados!C386,"")</f>
        <v>Lewis Hamilton</v>
      </c>
    </row>
    <row r="38" spans="2:8" ht="12.75" customHeight="1" x14ac:dyDescent="0.2">
      <c r="B38" s="167">
        <v>12</v>
      </c>
      <c r="C38" s="166">
        <f>'Calendário atual'!B13</f>
        <v>46222</v>
      </c>
      <c r="D38" s="168" t="str">
        <f>'Calendário atual'!C13</f>
        <v>Bélgica</v>
      </c>
      <c r="E38" s="160" t="str">
        <f>'Calendário atual'!D13</f>
        <v>FORMULA 1 MOËT &amp; CHANDON BELGIAN GRAND PRIX 2026</v>
      </c>
      <c r="F38" s="168" t="str">
        <f>'Calendário atual'!E13</f>
        <v>Spa-Francorchamps</v>
      </c>
      <c r="G38" s="101">
        <v>1</v>
      </c>
      <c r="H38" s="102" t="str">
        <f>IF(Resultados!C412&lt;&gt;"",Resultados!C412,"")</f>
        <v/>
      </c>
    </row>
    <row r="39" spans="2:8" ht="12.75" customHeight="1" x14ac:dyDescent="0.2">
      <c r="B39" s="167"/>
      <c r="C39" s="166"/>
      <c r="D39" s="168"/>
      <c r="E39" s="161"/>
      <c r="F39" s="168"/>
      <c r="G39" s="105">
        <v>2</v>
      </c>
      <c r="H39" s="103" t="str">
        <f>IF(Resultados!C413&lt;&gt;"",Resultados!C413,"")</f>
        <v/>
      </c>
    </row>
    <row r="40" spans="2:8" ht="12.75" customHeight="1" x14ac:dyDescent="0.2">
      <c r="B40" s="167"/>
      <c r="C40" s="166"/>
      <c r="D40" s="168"/>
      <c r="E40" s="162"/>
      <c r="F40" s="168"/>
      <c r="G40" s="106">
        <v>3</v>
      </c>
      <c r="H40" s="104" t="str">
        <f>IF(Resultados!C414&lt;&gt;"",Resultados!C414,"")</f>
        <v/>
      </c>
    </row>
    <row r="41" spans="2:8" ht="12.75" customHeight="1" x14ac:dyDescent="0.2">
      <c r="B41" s="167">
        <v>13</v>
      </c>
      <c r="C41" s="166">
        <f>'Calendário atual'!B14</f>
        <v>46229</v>
      </c>
      <c r="D41" s="168" t="str">
        <f>'Calendário atual'!C14</f>
        <v>Hungria</v>
      </c>
      <c r="E41" s="160" t="str">
        <f>'Calendário atual'!D14</f>
        <v>FORMULA 1 AWS HUNGARIAN GRAND PRIX 2026</v>
      </c>
      <c r="F41" s="168" t="str">
        <f>'Calendário atual'!E14</f>
        <v>Hungaroring</v>
      </c>
      <c r="G41" s="101">
        <v>1</v>
      </c>
      <c r="H41" s="102" t="str">
        <f>IF(Resultados!C440&lt;&gt;"",Resultados!C440,"")</f>
        <v/>
      </c>
    </row>
    <row r="42" spans="2:8" ht="12.75" customHeight="1" x14ac:dyDescent="0.2">
      <c r="B42" s="167"/>
      <c r="C42" s="166"/>
      <c r="D42" s="168"/>
      <c r="E42" s="161"/>
      <c r="F42" s="168"/>
      <c r="G42" s="105">
        <v>2</v>
      </c>
      <c r="H42" s="103" t="str">
        <f>IF(Resultados!C441&lt;&gt;"",Resultados!C441,"")</f>
        <v/>
      </c>
    </row>
    <row r="43" spans="2:8" ht="12.75" customHeight="1" x14ac:dyDescent="0.2">
      <c r="B43" s="167"/>
      <c r="C43" s="166"/>
      <c r="D43" s="168"/>
      <c r="E43" s="162"/>
      <c r="F43" s="168"/>
      <c r="G43" s="106">
        <v>3</v>
      </c>
      <c r="H43" s="104" t="str">
        <f>IF(Resultados!C442&lt;&gt;"",Resultados!C442,"")</f>
        <v/>
      </c>
    </row>
    <row r="44" spans="2:8" ht="12.75" customHeight="1" x14ac:dyDescent="0.2">
      <c r="B44" s="167">
        <v>14</v>
      </c>
      <c r="C44" s="166">
        <f>'Calendário atual'!B15</f>
        <v>46257</v>
      </c>
      <c r="D44" s="168" t="str">
        <f>'Calendário atual'!C15</f>
        <v>Holanda</v>
      </c>
      <c r="E44" s="160" t="str">
        <f>'Calendário atual'!D15</f>
        <v>FORMULA 1 HEINEKEN DUTCH GRAND PRIX 2026</v>
      </c>
      <c r="F44" s="168" t="str">
        <f>'Calendário atual'!E15</f>
        <v>Zandvoort</v>
      </c>
      <c r="G44" s="101">
        <v>1</v>
      </c>
      <c r="H44" s="102" t="str">
        <f>IF(Resultados!C493&lt;&gt;"",Resultados!C493,"")</f>
        <v/>
      </c>
    </row>
    <row r="45" spans="2:8" ht="12.75" customHeight="1" x14ac:dyDescent="0.2">
      <c r="B45" s="167"/>
      <c r="C45" s="166"/>
      <c r="D45" s="168"/>
      <c r="E45" s="161"/>
      <c r="F45" s="168"/>
      <c r="G45" s="105">
        <v>2</v>
      </c>
      <c r="H45" s="103" t="str">
        <f>IF(Resultados!C494&lt;&gt;"",Resultados!C494,"")</f>
        <v/>
      </c>
    </row>
    <row r="46" spans="2:8" ht="12.75" customHeight="1" x14ac:dyDescent="0.2">
      <c r="B46" s="167"/>
      <c r="C46" s="166"/>
      <c r="D46" s="168"/>
      <c r="E46" s="162"/>
      <c r="F46" s="168"/>
      <c r="G46" s="106">
        <v>3</v>
      </c>
      <c r="H46" s="104" t="str">
        <f>IF(Resultados!C495&lt;&gt;"",Resultados!C495,"")</f>
        <v/>
      </c>
    </row>
    <row r="47" spans="2:8" ht="12.75" customHeight="1" x14ac:dyDescent="0.2">
      <c r="B47" s="167">
        <v>15</v>
      </c>
      <c r="C47" s="166">
        <f>'Calendário atual'!B16</f>
        <v>46271</v>
      </c>
      <c r="D47" s="168" t="str">
        <f>'Calendário atual'!C16</f>
        <v>Itália</v>
      </c>
      <c r="E47" s="160" t="str">
        <f>'Calendário atual'!D16</f>
        <v>FORMULA 1 PIRELLI GRAN PREMIO D’ITALIA 2026</v>
      </c>
      <c r="F47" s="168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67"/>
      <c r="C48" s="166"/>
      <c r="D48" s="168"/>
      <c r="E48" s="161"/>
      <c r="F48" s="168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67"/>
      <c r="C49" s="166"/>
      <c r="D49" s="168"/>
      <c r="E49" s="162"/>
      <c r="F49" s="168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67">
        <v>16</v>
      </c>
      <c r="C50" s="166">
        <f>'Calendário atual'!B17</f>
        <v>46278</v>
      </c>
      <c r="D50" s="168" t="str">
        <f>'Calendário atual'!C17</f>
        <v>Espanha</v>
      </c>
      <c r="E50" s="160" t="str">
        <f>'Calendário atual'!D17</f>
        <v>FORMULA 1 TAG HEUER GRAN PREMIO DE ESPAÑA 2026</v>
      </c>
      <c r="F50" s="168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67"/>
      <c r="C51" s="166"/>
      <c r="D51" s="168"/>
      <c r="E51" s="161"/>
      <c r="F51" s="168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67"/>
      <c r="C52" s="166"/>
      <c r="D52" s="168"/>
      <c r="E52" s="162"/>
      <c r="F52" s="168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67">
        <v>17</v>
      </c>
      <c r="C53" s="166">
        <f>'Calendário atual'!B18</f>
        <v>46292</v>
      </c>
      <c r="D53" s="168" t="str">
        <f>'Calendário atual'!C18</f>
        <v>Azerbaijão</v>
      </c>
      <c r="E53" s="160" t="str">
        <f>'Calendário atual'!D18</f>
        <v>FORMULA 1 QATAR AIRWAYS AZERBAIJAN GRAND PRIX 2026</v>
      </c>
      <c r="F53" s="168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67"/>
      <c r="C54" s="166"/>
      <c r="D54" s="168"/>
      <c r="E54" s="161"/>
      <c r="F54" s="168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67"/>
      <c r="C55" s="166"/>
      <c r="D55" s="168"/>
      <c r="E55" s="162"/>
      <c r="F55" s="168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67">
        <v>18</v>
      </c>
      <c r="C56" s="166">
        <f>'Calendário atual'!B19</f>
        <v>46306</v>
      </c>
      <c r="D56" s="168" t="str">
        <f>'Calendário atual'!C19</f>
        <v>Singapura</v>
      </c>
      <c r="E56" s="160" t="str">
        <f>'Calendário atual'!D19</f>
        <v>FORMULA 1 SINGAPORE AIRLINES SINGAPORE GRAND PRIX 2026</v>
      </c>
      <c r="F56" s="168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67"/>
      <c r="C57" s="166"/>
      <c r="D57" s="168"/>
      <c r="E57" s="161"/>
      <c r="F57" s="168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67"/>
      <c r="C58" s="166"/>
      <c r="D58" s="168"/>
      <c r="E58" s="162"/>
      <c r="F58" s="168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67">
        <v>19</v>
      </c>
      <c r="C59" s="166">
        <f>'Calendário atual'!B20</f>
        <v>46320</v>
      </c>
      <c r="D59" s="168" t="str">
        <f>'Calendário atual'!C20</f>
        <v>USA</v>
      </c>
      <c r="E59" s="160" t="str">
        <f>'Calendário atual'!D20</f>
        <v>FORMULA 1 MSC CRUISES UNITED STATES GRAND PRIX 2026</v>
      </c>
      <c r="F59" s="168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67"/>
      <c r="C60" s="166"/>
      <c r="D60" s="168"/>
      <c r="E60" s="161"/>
      <c r="F60" s="168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67"/>
      <c r="C61" s="166"/>
      <c r="D61" s="168"/>
      <c r="E61" s="162"/>
      <c r="F61" s="168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67">
        <v>20</v>
      </c>
      <c r="C62" s="166">
        <f>'Calendário atual'!B21</f>
        <v>46327</v>
      </c>
      <c r="D62" s="168" t="str">
        <f>'Calendário atual'!C21</f>
        <v>México</v>
      </c>
      <c r="E62" s="160" t="str">
        <f>'Calendário atual'!D21</f>
        <v>FORMULA 1 GRAN PREMIO DE LA CIUDAD DE MÉXICO 2026</v>
      </c>
      <c r="F62" s="168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67"/>
      <c r="C63" s="166"/>
      <c r="D63" s="168"/>
      <c r="E63" s="161"/>
      <c r="F63" s="168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67"/>
      <c r="C64" s="166"/>
      <c r="D64" s="168"/>
      <c r="E64" s="162"/>
      <c r="F64" s="168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67">
        <v>21</v>
      </c>
      <c r="C65" s="166">
        <f>'Calendário atual'!B22</f>
        <v>46334</v>
      </c>
      <c r="D65" s="168" t="str">
        <f>'Calendário atual'!C22</f>
        <v>Brasil</v>
      </c>
      <c r="E65" s="160" t="str">
        <f>'Calendário atual'!D22</f>
        <v>FORMULA 1 MSC CRUISES GRANDE PRÊMIO DE SÃO PAULO 2026</v>
      </c>
      <c r="F65" s="168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67"/>
      <c r="C66" s="166"/>
      <c r="D66" s="168"/>
      <c r="E66" s="161"/>
      <c r="F66" s="168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67"/>
      <c r="C67" s="166"/>
      <c r="D67" s="168"/>
      <c r="E67" s="162"/>
      <c r="F67" s="168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67">
        <v>22</v>
      </c>
      <c r="C68" s="166">
        <f>'Calendário atual'!B23</f>
        <v>46347</v>
      </c>
      <c r="D68" s="168" t="str">
        <f>'Calendário atual'!C23</f>
        <v>USA</v>
      </c>
      <c r="E68" s="160" t="str">
        <f>'Calendário atual'!D23</f>
        <v>FORMULA 1 HEINEKEN LAS VEGAS GRAND PRIX 2026</v>
      </c>
      <c r="F68" s="168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67"/>
      <c r="C69" s="166"/>
      <c r="D69" s="168"/>
      <c r="E69" s="161"/>
      <c r="F69" s="168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67"/>
      <c r="C70" s="166"/>
      <c r="D70" s="168"/>
      <c r="E70" s="162"/>
      <c r="F70" s="168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67">
        <v>23</v>
      </c>
      <c r="C71" s="166">
        <f>'Calendário atual'!B24</f>
        <v>46355</v>
      </c>
      <c r="D71" s="168" t="str">
        <f>'Calendário atual'!C24</f>
        <v>Qatar</v>
      </c>
      <c r="E71" s="160" t="str">
        <f>'Calendário atual'!D24</f>
        <v>FORMULA 1 QATAR AIRWAYS QATAR GRAND PRIX 2026</v>
      </c>
      <c r="F71" s="168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67"/>
      <c r="C72" s="166"/>
      <c r="D72" s="168"/>
      <c r="E72" s="161"/>
      <c r="F72" s="168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67"/>
      <c r="C73" s="166"/>
      <c r="D73" s="168"/>
      <c r="E73" s="162"/>
      <c r="F73" s="168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67">
        <v>24</v>
      </c>
      <c r="C74" s="166">
        <f>'Calendário atual'!B25</f>
        <v>46362</v>
      </c>
      <c r="D74" s="168" t="str">
        <f>'Calendário atual'!C25</f>
        <v>Abu Dhabi</v>
      </c>
      <c r="E74" s="160" t="str">
        <f>'Calendário atual'!D25</f>
        <v>FORMULA 1 ETIHAD AIRWAYS ABU DHABI GRAND PRIX 2026</v>
      </c>
      <c r="F74" s="168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67"/>
      <c r="C75" s="166"/>
      <c r="D75" s="168"/>
      <c r="E75" s="161"/>
      <c r="F75" s="168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67"/>
      <c r="C76" s="166"/>
      <c r="D76" s="168"/>
      <c r="E76" s="162"/>
      <c r="F76" s="168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410" workbookViewId="0">
      <selection activeCell="C412" sqref="C412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1" t="str">
        <f>VLOOKUP($A2,'Calendário atual'!$A$2:$E$30,4,FALSE)</f>
        <v>FORMULA 1 QATAR AIRWAYS AUSTRALIAN GRAND PRIX 2026</v>
      </c>
      <c r="D2" s="171"/>
      <c r="E2" s="171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3" t="s">
        <v>229</v>
      </c>
      <c r="N2" s="173"/>
      <c r="O2" s="173"/>
      <c r="P2" s="173" t="s">
        <v>230</v>
      </c>
      <c r="Q2" s="173"/>
      <c r="R2" s="173"/>
      <c r="S2" s="172" t="s">
        <v>263</v>
      </c>
      <c r="T2" s="172"/>
      <c r="U2" s="172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354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 t="str">
        <f>C247</f>
        <v>Kimi Antonelli</v>
      </c>
      <c r="N9" s="77" t="str">
        <f>E247</f>
        <v>Mercedes</v>
      </c>
      <c r="O9" s="77">
        <v>1</v>
      </c>
      <c r="P9" s="77" t="str">
        <f>C271</f>
        <v>George Russell</v>
      </c>
      <c r="Q9" s="77" t="str">
        <f>D271</f>
        <v>Inglaterra</v>
      </c>
      <c r="R9" s="77">
        <v>1</v>
      </c>
      <c r="S9" s="77" t="str">
        <f>C272</f>
        <v>Kimi Antonelli</v>
      </c>
      <c r="T9" s="77" t="str">
        <f>E272</f>
        <v>Mercedes</v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 t="str">
        <f>C275</f>
        <v>Kimi Antonelli</v>
      </c>
      <c r="N10" s="77" t="str">
        <f>E275</f>
        <v>Mercedes</v>
      </c>
      <c r="O10" s="77">
        <v>1</v>
      </c>
      <c r="P10" s="77" t="str">
        <f>C299</f>
        <v>Kimi Antonelli</v>
      </c>
      <c r="Q10" s="77" t="str">
        <f>E299</f>
        <v>Mercedes</v>
      </c>
      <c r="R10" s="77">
        <v>1</v>
      </c>
      <c r="S10" s="77" t="str">
        <f>C300</f>
        <v>Kimi Antonelli</v>
      </c>
      <c r="T10" s="77" t="str">
        <f>E300</f>
        <v>Mercedes</v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408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 t="str">
        <f>C303</f>
        <v>Lewis Hamilton</v>
      </c>
      <c r="N11" s="77" t="str">
        <f>E303</f>
        <v>Ferrari</v>
      </c>
      <c r="O11" s="77">
        <v>1</v>
      </c>
      <c r="P11" s="77" t="str">
        <f>C327</f>
        <v>George Russell</v>
      </c>
      <c r="Q11" s="77" t="str">
        <f>E327</f>
        <v>Mercedes</v>
      </c>
      <c r="R11" s="77">
        <v>1</v>
      </c>
      <c r="S11" s="77" t="str">
        <f>C328</f>
        <v>Lewis Hamilton</v>
      </c>
      <c r="T11" s="77" t="str">
        <f>E328</f>
        <v>Ferrari</v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 t="str">
        <f>C331</f>
        <v>George Russell</v>
      </c>
      <c r="N12" s="77" t="str">
        <f>E331</f>
        <v>Mercedes</v>
      </c>
      <c r="O12" s="77">
        <v>1</v>
      </c>
      <c r="P12" s="77" t="str">
        <f>C355</f>
        <v>George Russell</v>
      </c>
      <c r="Q12" s="77" t="str">
        <f>E355</f>
        <v>Mercedes</v>
      </c>
      <c r="R12" s="77">
        <v>1</v>
      </c>
      <c r="S12" s="77" t="str">
        <f>C356</f>
        <v>Kimi Antonelli</v>
      </c>
      <c r="T12" s="77" t="str">
        <f>E356</f>
        <v>Mercedes</v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 t="str">
        <f>C384</f>
        <v>Charles Leclerc</v>
      </c>
      <c r="N13" s="77" t="str">
        <f>E384</f>
        <v>Ferrari</v>
      </c>
      <c r="O13" s="77">
        <v>1</v>
      </c>
      <c r="P13" s="77" t="str">
        <f>C408</f>
        <v>Kimi Antonelli</v>
      </c>
      <c r="Q13" s="77" t="str">
        <f>E408</f>
        <v>Mercedes</v>
      </c>
      <c r="R13" s="77">
        <v>1</v>
      </c>
      <c r="S13" s="77" t="str">
        <f>C409</f>
        <v>Kimi Antonelli</v>
      </c>
      <c r="T13" s="77" t="str">
        <f>E409</f>
        <v>Mercedes</v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>
        <f>C412</f>
        <v>0</v>
      </c>
      <c r="N14" s="77" t="str">
        <f>E412</f>
        <v/>
      </c>
      <c r="O14" s="77">
        <v>1</v>
      </c>
      <c r="P14" s="77">
        <f>C436</f>
        <v>0</v>
      </c>
      <c r="Q14" s="77" t="str">
        <f>E436</f>
        <v/>
      </c>
      <c r="R14" s="77">
        <v>1</v>
      </c>
      <c r="S14" s="77">
        <f>C437</f>
        <v>0</v>
      </c>
      <c r="T14" s="77" t="str">
        <f>E437</f>
        <v/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>
        <f>C440</f>
        <v>0</v>
      </c>
      <c r="N15" s="77" t="str">
        <f>E440</f>
        <v/>
      </c>
      <c r="O15" s="77">
        <v>1</v>
      </c>
      <c r="P15" s="77">
        <f>C464</f>
        <v>0</v>
      </c>
      <c r="Q15" s="77" t="str">
        <f>E464</f>
        <v/>
      </c>
      <c r="R15" s="77">
        <v>1</v>
      </c>
      <c r="S15" s="77">
        <f>C465</f>
        <v>0</v>
      </c>
      <c r="T15" s="77" t="str">
        <f>E465</f>
        <v/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409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>
        <f>C493</f>
        <v>0</v>
      </c>
      <c r="N16" s="77" t="str">
        <f>E493</f>
        <v/>
      </c>
      <c r="O16" s="77">
        <v>1</v>
      </c>
      <c r="P16" s="77">
        <f>C517</f>
        <v>0</v>
      </c>
      <c r="Q16" s="77" t="str">
        <f>E517</f>
        <v/>
      </c>
      <c r="R16" s="77">
        <v>1</v>
      </c>
      <c r="S16" s="77">
        <f>C518</f>
        <v>0</v>
      </c>
      <c r="T16" s="77" t="str">
        <f>E518</f>
        <v/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413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397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428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428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398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428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407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428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429</v>
      </c>
      <c r="G24" s="75"/>
      <c r="H24" s="75"/>
      <c r="I24" s="75"/>
      <c r="J24" s="76" t="str">
        <f t="shared" si="0"/>
        <v/>
      </c>
      <c r="K24" s="74" t="str">
        <f>IF('Equipes e Pilotos'!C25&lt;&gt;"",'Equipes e Pilotos'!C25,"")</f>
        <v/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429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 t="str">
        <f>$J$24</f>
        <v/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354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1" t="str">
        <f>VLOOKUP($A30,'Calendário atual'!$A$2:$E$30,4,FALSE)</f>
        <v>FORMULA 1 HEINEKEN CHINESE GRAND PRIX 2026</v>
      </c>
      <c r="D30" s="171"/>
      <c r="E30" s="171"/>
      <c r="F30" s="133" t="str">
        <f>VLOOKUP($A30,'Calendário atual'!$A$2:$E$30,3,FALSE)</f>
        <v>China</v>
      </c>
      <c r="G30" s="75"/>
      <c r="H30" s="75"/>
      <c r="I30" s="75"/>
      <c r="K30" s="81">
        <f>SUM(H:H)</f>
        <v>675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355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354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391</v>
      </c>
      <c r="L35" s="77">
        <f>SUM(H:H)</f>
        <v>675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409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413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407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397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428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398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428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408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428</v>
      </c>
      <c r="G54" s="75"/>
      <c r="H54" s="75"/>
      <c r="I54" s="75"/>
      <c r="K54" s="74"/>
    </row>
    <row r="55" spans="2:24" x14ac:dyDescent="0.2">
      <c r="B55" s="147"/>
      <c r="C55" s="93" t="s">
        <v>356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354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409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407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413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408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398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397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428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428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428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429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429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429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429</v>
      </c>
      <c r="G78" s="75"/>
      <c r="H78" s="75"/>
      <c r="I78" s="75"/>
      <c r="K78" s="74"/>
    </row>
    <row r="79" spans="1:26" s="80" customFormat="1" hidden="1" x14ac:dyDescent="0.2">
      <c r="A79" s="91"/>
      <c r="B79" s="149" t="str">
        <f>IF(F79="",$J$24,"Ret")</f>
        <v/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1" t="str">
        <f>VLOOKUP(A83,'Calendário atual'!$A$2:$E$30,4,FALSE)</f>
        <v>FORMULA 1 ARAMCO JAPANESE GRAND PRIX 2026</v>
      </c>
      <c r="D83" s="171"/>
      <c r="E83" s="171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325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324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308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354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311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307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300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409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314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407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330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408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329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413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397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398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310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306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428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326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428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 t="str">
        <f>IF(F107="",$J$24,"Ret")</f>
        <v/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325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325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1" t="str">
        <f>VLOOKUP($A111,'Calendário atual'!$A$2:$E$30,4,FALSE)</f>
        <v>SUSPENSA - FORMULA 1 GULF AIR BAHRAIN GRAND PRIX 2026 - SUSPENSA</v>
      </c>
      <c r="D111" s="171"/>
      <c r="E111" s="171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 t="str">
        <f>IF(F135="",$J$24,"Ret")</f>
        <v/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1" t="str">
        <f>VLOOKUP(A139,'Calendário atual'!$A$2:$E$30,4,FALSE)</f>
        <v>SUSPENSA - FORMULA 1 STC SAUDI ARABIAN GRAND PRIX 2026 - SUSPENSA</v>
      </c>
      <c r="D139" s="171"/>
      <c r="E139" s="171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 t="str">
        <f>IF(F163="",$J$24,"Ret")</f>
        <v/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1" t="str">
        <f>VLOOKUP($A167,'Calendário atual'!$A$2:$E$30,4,FALSE)</f>
        <v>FORMULA 1 CRYPTO.COM MIAMI GRAND PRIX 2026</v>
      </c>
      <c r="D167" s="171"/>
      <c r="E167" s="171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355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311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324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308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354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300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325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307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407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413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314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326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329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409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397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306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310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398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429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408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429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330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432</v>
      </c>
      <c r="G191" s="75"/>
      <c r="H191" s="75"/>
      <c r="I191" s="75"/>
      <c r="K191" s="74"/>
    </row>
    <row r="192" spans="1:26" x14ac:dyDescent="0.2">
      <c r="B192" s="147"/>
      <c r="C192" s="93" t="s">
        <v>356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325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311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324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354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300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413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308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329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310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326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330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314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408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397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306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398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428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409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428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307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428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407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428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 t="str">
        <f>IF(F216="",$J$24,"Ret")</f>
        <v/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325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311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1" t="str">
        <f>VLOOKUP($A220,'Calendário atual'!$A$2:$E$30,4,FALSE)</f>
        <v>FORMULA 1 LENOVO GRAND PRIX DU CANADA 2026</v>
      </c>
      <c r="D220" s="171"/>
      <c r="E220" s="171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355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 t="s">
        <v>354</v>
      </c>
      <c r="D223" s="87" t="str">
        <f>IF(C223&lt;&gt;"",VLOOKUP(C223,'Dummy Table'!$B$3:$C$30,2,FALSE),"")</f>
        <v>Inglaterra</v>
      </c>
      <c r="E223" s="87" t="str">
        <f>IF(C223&lt;&gt;"",VLOOKUP(C223,'Dummy Table'!$B$3:$D$30,3,FALSE),"")</f>
        <v>Mercedes</v>
      </c>
      <c r="F223" s="137">
        <v>8</v>
      </c>
      <c r="G223" s="69">
        <f>IF(C223="",F223,0)</f>
        <v>0</v>
      </c>
      <c r="H223" s="69">
        <f>IF(C223="",F223,0)</f>
        <v>0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 t="s">
        <v>311</v>
      </c>
      <c r="D224" s="87" t="str">
        <f>IF(C224&lt;&gt;"",VLOOKUP(C224,'Dummy Table'!$B$3:$C$30,2,FALSE),"")</f>
        <v>Inglaterra</v>
      </c>
      <c r="E224" s="87" t="str">
        <f>IF(C224&lt;&gt;"",VLOOKUP(C224,'Dummy Table'!$B$3:$D$30,3,FALSE),"")</f>
        <v>McLaren</v>
      </c>
      <c r="F224" s="137">
        <v>7</v>
      </c>
      <c r="H224" s="69">
        <f>IF(C224="",F224,0)</f>
        <v>0</v>
      </c>
      <c r="K224" s="74"/>
    </row>
    <row r="225" spans="1:26" x14ac:dyDescent="0.2">
      <c r="B225" s="138">
        <f>$J$4</f>
        <v>3</v>
      </c>
      <c r="C225" s="86" t="s">
        <v>325</v>
      </c>
      <c r="D225" s="87" t="str">
        <f>IF(C225&lt;&gt;"",VLOOKUP(C225,'Dummy Table'!$B$3:$C$30,2,FALSE),"")</f>
        <v>Itália</v>
      </c>
      <c r="E225" s="87" t="str">
        <f>IF(C225&lt;&gt;"",VLOOKUP(C225,'Dummy Table'!$B$3:$D$30,3,FALSE),"")</f>
        <v>Mercedes</v>
      </c>
      <c r="F225" s="137">
        <v>6</v>
      </c>
    </row>
    <row r="226" spans="1:26" x14ac:dyDescent="0.2">
      <c r="B226" s="138">
        <f>$J$5</f>
        <v>4</v>
      </c>
      <c r="C226" s="86" t="s">
        <v>324</v>
      </c>
      <c r="D226" s="87" t="str">
        <f>IF(C226&lt;&gt;"",VLOOKUP(C226,'Dummy Table'!$B$3:$C$30,2,FALSE),"")</f>
        <v>Austrália</v>
      </c>
      <c r="E226" s="87" t="str">
        <f>IF(C226&lt;&gt;"",VLOOKUP(C226,'Dummy Table'!$B$3:$D$30,3,FALSE),"")</f>
        <v>McLaren</v>
      </c>
      <c r="F226" s="137">
        <v>5</v>
      </c>
      <c r="K226" s="79"/>
    </row>
    <row r="227" spans="1:26" x14ac:dyDescent="0.2">
      <c r="B227" s="138">
        <f>$J$6</f>
        <v>5</v>
      </c>
      <c r="C227" s="86" t="s">
        <v>308</v>
      </c>
      <c r="D227" s="87" t="str">
        <f>IF(C227&lt;&gt;"",VLOOKUP(C227,'Dummy Table'!$B$3:$C$30,2,FALSE),"")</f>
        <v>Mônaco</v>
      </c>
      <c r="E227" s="87" t="str">
        <f>IF(C227&lt;&gt;"",VLOOKUP(C227,'Dummy Table'!$B$3:$D$30,3,FALSE),"")</f>
        <v>Ferrari</v>
      </c>
      <c r="F227" s="137">
        <v>4</v>
      </c>
    </row>
    <row r="228" spans="1:26" x14ac:dyDescent="0.2">
      <c r="B228" s="138">
        <f>$J$7</f>
        <v>6</v>
      </c>
      <c r="C228" s="86" t="s">
        <v>1</v>
      </c>
      <c r="D228" s="87" t="str">
        <f>IF(C228&lt;&gt;"",VLOOKUP(C228,'Dummy Table'!$B$3:$C$30,2,FALSE),"")</f>
        <v>Inglaterra</v>
      </c>
      <c r="E228" s="87" t="str">
        <f>IF(C228&lt;&gt;"",VLOOKUP(C228,'Dummy Table'!$B$3:$D$30,3,FALSE),"")</f>
        <v>Ferrari</v>
      </c>
      <c r="F228" s="137">
        <v>3</v>
      </c>
      <c r="K228" s="74"/>
    </row>
    <row r="229" spans="1:26" x14ac:dyDescent="0.2">
      <c r="B229" s="138">
        <f>$J$8</f>
        <v>7</v>
      </c>
      <c r="C229" s="86" t="s">
        <v>300</v>
      </c>
      <c r="D229" s="87" t="str">
        <f>IF(C229&lt;&gt;"",VLOOKUP(C229,'Dummy Table'!$B$3:$C$30,2,FALSE),"")</f>
        <v>Holanda</v>
      </c>
      <c r="E229" s="87" t="str">
        <f>IF(C229&lt;&gt;"",VLOOKUP(C229,'Dummy Table'!$B$3:$D$30,3,FALSE),"")</f>
        <v>Red Bull</v>
      </c>
      <c r="F229" s="137">
        <v>2</v>
      </c>
      <c r="K229" s="74"/>
    </row>
    <row r="230" spans="1:26" x14ac:dyDescent="0.2">
      <c r="B230" s="138">
        <f>$J$9</f>
        <v>8</v>
      </c>
      <c r="C230" s="86" t="s">
        <v>408</v>
      </c>
      <c r="D230" s="87" t="str">
        <f>IF(C230&lt;&gt;"",VLOOKUP(C230,'Dummy Table'!$B$3:$C$30,2,FALSE),"")</f>
        <v>Inglaterra</v>
      </c>
      <c r="E230" s="87" t="str">
        <f>IF(C230&lt;&gt;"",VLOOKUP(C230,'Dummy Table'!$B$3:$D$30,3,FALSE),"")</f>
        <v>Racing Bulls</v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 t="s">
        <v>413</v>
      </c>
      <c r="D231" s="87" t="str">
        <f>IF(C231&lt;&gt;"",VLOOKUP(C231,'Dummy Table'!$B$3:$C$30,2,FALSE),"")</f>
        <v>Argentina</v>
      </c>
      <c r="E231" s="87" t="str">
        <f>IF(C231&lt;&gt;"",VLOOKUP(C231,'Dummy Table'!$B$3:$D$30,3,FALSE),"")</f>
        <v>Alpine</v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 t="s">
        <v>329</v>
      </c>
      <c r="D232" s="87" t="str">
        <f>IF(C232&lt;&gt;"",VLOOKUP(C232,'Dummy Table'!$B$3:$C$30,2,FALSE),"")</f>
        <v>Espanha</v>
      </c>
      <c r="E232" s="87" t="str">
        <f>IF(C232&lt;&gt;"",VLOOKUP(C232,'Dummy Table'!$B$3:$D$30,3,FALSE),"")</f>
        <v>Williams</v>
      </c>
      <c r="F232" s="137"/>
      <c r="K232" s="74"/>
    </row>
    <row r="233" spans="1:26" x14ac:dyDescent="0.2">
      <c r="B233" s="138">
        <f>$J$12</f>
        <v>11</v>
      </c>
      <c r="C233" s="86" t="s">
        <v>409</v>
      </c>
      <c r="D233" s="87" t="str">
        <f>IF(C233&lt;&gt;"",VLOOKUP(C233,'Dummy Table'!$B$3:$C$30,2,FALSE),"")</f>
        <v>Austrália</v>
      </c>
      <c r="E233" s="87" t="str">
        <f>IF(C233&lt;&gt;"",VLOOKUP(C233,'Dummy Table'!$B$3:$D$30,3,FALSE),"")</f>
        <v>Racing Bulls</v>
      </c>
      <c r="F233" s="139"/>
      <c r="K233" s="74"/>
    </row>
    <row r="234" spans="1:26" x14ac:dyDescent="0.2">
      <c r="B234" s="138">
        <f>$J$13</f>
        <v>12</v>
      </c>
      <c r="C234" s="86" t="s">
        <v>330</v>
      </c>
      <c r="D234" s="87" t="str">
        <f>IF(C234&lt;&gt;"",VLOOKUP(C234,'Dummy Table'!$B$3:$C$30,2,FALSE),"")</f>
        <v>Brasil</v>
      </c>
      <c r="E234" s="87" t="str">
        <f>IF(C234&lt;&gt;"",VLOOKUP(C234,'Dummy Table'!$B$3:$D$30,3,FALSE),"")</f>
        <v>Audi</v>
      </c>
      <c r="F234" s="139"/>
      <c r="K234" s="74"/>
    </row>
    <row r="235" spans="1:26" x14ac:dyDescent="0.2">
      <c r="B235" s="138">
        <f>$J$14</f>
        <v>13</v>
      </c>
      <c r="C235" s="86" t="s">
        <v>314</v>
      </c>
      <c r="D235" s="87" t="str">
        <f>IF(C235&lt;&gt;"",VLOOKUP(C235,'Dummy Table'!$B$3:$C$30,2,FALSE),"")</f>
        <v>França</v>
      </c>
      <c r="E235" s="87" t="str">
        <f>IF(C235&lt;&gt;"",VLOOKUP(C235,'Dummy Table'!$B$3:$D$30,3,FALSE),"")</f>
        <v>Haas</v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 t="s">
        <v>397</v>
      </c>
      <c r="D236" s="87" t="str">
        <f>IF(C236&lt;&gt;"",VLOOKUP(C236,'Dummy Table'!$B$3:$C$30,2,FALSE),"")</f>
        <v>México</v>
      </c>
      <c r="E236" s="87" t="str">
        <f>IF(C236&lt;&gt;"",VLOOKUP(C236,'Dummy Table'!$B$3:$D$30,3,FALSE),"")</f>
        <v>Cadillac</v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 t="s">
        <v>252</v>
      </c>
      <c r="D237" s="87" t="str">
        <f>IF(C237&lt;&gt;"",VLOOKUP(C237,'Dummy Table'!$B$3:$C$30,2,FALSE),"")</f>
        <v>Alemanha</v>
      </c>
      <c r="E237" s="87" t="str">
        <f>IF(C237&lt;&gt;"",VLOOKUP(C237,'Dummy Table'!$B$3:$D$30,3,FALSE),"")</f>
        <v>Audi</v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 t="s">
        <v>306</v>
      </c>
      <c r="D238" s="87" t="str">
        <f>IF(C238&lt;&gt;"",VLOOKUP(C238,'Dummy Table'!$B$3:$C$30,2,FALSE),"")</f>
        <v>Canadá</v>
      </c>
      <c r="E238" s="87" t="str">
        <f>IF(C238&lt;&gt;"",VLOOKUP(C238,'Dummy Table'!$B$3:$D$30,3,FALSE),"")</f>
        <v>Aston Martin</v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 t="s">
        <v>398</v>
      </c>
      <c r="D239" s="87" t="str">
        <f>IF(C239&lt;&gt;"",VLOOKUP(C239,'Dummy Table'!$B$3:$C$30,2,FALSE),"")</f>
        <v>Finlândia</v>
      </c>
      <c r="E239" s="87" t="str">
        <f>IF(C239&lt;&gt;"",VLOOKUP(C239,'Dummy Table'!$B$3:$D$30,3,FALSE),"")</f>
        <v>Cadillac</v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 t="s">
        <v>326</v>
      </c>
      <c r="D240" s="87" t="str">
        <f>IF(C240&lt;&gt;"",VLOOKUP(C240,'Dummy Table'!$B$3:$C$30,2,FALSE),"")</f>
        <v>Inglaterra</v>
      </c>
      <c r="E240" s="87" t="str">
        <f>IF(C240&lt;&gt;"",VLOOKUP(C240,'Dummy Table'!$B$3:$D$30,3,FALSE),"")</f>
        <v>Haas</v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 t="s">
        <v>310</v>
      </c>
      <c r="D241" s="87" t="str">
        <f>IF(C241&lt;&gt;"",VLOOKUP(C241,'Dummy Table'!$B$3:$C$30,2,FALSE),"")</f>
        <v>Tailandia</v>
      </c>
      <c r="E241" s="87" t="str">
        <f>IF(C241&lt;&gt;"",VLOOKUP(C241,'Dummy Table'!$B$3:$D$30,3,FALSE),"")</f>
        <v>Williams</v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 t="s">
        <v>307</v>
      </c>
      <c r="D242" s="87" t="str">
        <f>IF(C242&lt;&gt;"",VLOOKUP(C242,'Dummy Table'!$B$3:$C$30,2,FALSE),"")</f>
        <v>França</v>
      </c>
      <c r="E242" s="87" t="str">
        <f>IF(C242&lt;&gt;"",VLOOKUP(C242,'Dummy Table'!$B$3:$D$30,3,FALSE),"")</f>
        <v>Alpine</v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 t="s">
        <v>407</v>
      </c>
      <c r="D243" s="87" t="str">
        <f>IF(C243&lt;&gt;"",VLOOKUP(C243,'Dummy Table'!$B$3:$C$30,2,FALSE),"")</f>
        <v>França</v>
      </c>
      <c r="E243" s="87" t="str">
        <f>IF(C243&lt;&gt;"",VLOOKUP(C243,'Dummy Table'!$B$3:$D$30,3,FALSE),"")</f>
        <v>Red Bull</v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 t="s">
        <v>30</v>
      </c>
      <c r="D244" s="87" t="str">
        <f>IF(C244&lt;&gt;"",VLOOKUP(C244,'Dummy Table'!$B$3:$C$30,2,FALSE),"")</f>
        <v>Espanha</v>
      </c>
      <c r="E244" s="87" t="str">
        <f>IF(C244&lt;&gt;"",VLOOKUP(C244,'Dummy Table'!$B$3:$D$30,3,FALSE),"")</f>
        <v>Aston Martin</v>
      </c>
      <c r="F244" s="139" t="s">
        <v>428</v>
      </c>
      <c r="G244" s="75"/>
      <c r="H244" s="75"/>
      <c r="I244" s="75"/>
      <c r="K244" s="74"/>
    </row>
    <row r="245" spans="1:26" x14ac:dyDescent="0.2">
      <c r="B245" s="147"/>
      <c r="C245" s="93" t="s">
        <v>356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 t="s">
        <v>325</v>
      </c>
      <c r="D247" s="87" t="str">
        <f>IF(C247&lt;&gt;"",VLOOKUP(C247,'Dummy Table'!$B$3:$C$30,2,FALSE),"")</f>
        <v>Itália</v>
      </c>
      <c r="E247" s="87" t="str">
        <f>IF(C247&lt;&gt;"",VLOOKUP(C247,'Dummy Table'!$B$3:$D$30,3,FALSE),"")</f>
        <v>Mercedes</v>
      </c>
      <c r="F247" s="137">
        <v>25</v>
      </c>
      <c r="G247" s="69">
        <f>IF(C247="",F247,0)</f>
        <v>0</v>
      </c>
      <c r="H247" s="69">
        <f>IF(C247="",F247,0)</f>
        <v>0</v>
      </c>
      <c r="I247" s="69">
        <f>IF(C247="",1,0)</f>
        <v>0</v>
      </c>
      <c r="K247" s="74"/>
    </row>
    <row r="248" spans="1:26" x14ac:dyDescent="0.2">
      <c r="B248" s="138">
        <f>$J$3</f>
        <v>2</v>
      </c>
      <c r="C248" s="86" t="s">
        <v>1</v>
      </c>
      <c r="D248" s="87" t="str">
        <f>IF(C248&lt;&gt;"",VLOOKUP(C248,'Dummy Table'!$B$3:$C$30,2,FALSE),"")</f>
        <v>Inglaterra</v>
      </c>
      <c r="E248" s="87" t="str">
        <f>IF(C248&lt;&gt;"",VLOOKUP(C248,'Dummy Table'!$B$3:$D$30,3,FALSE),"")</f>
        <v>Ferrari</v>
      </c>
      <c r="F248" s="137">
        <v>18</v>
      </c>
      <c r="H248" s="69">
        <f>IF(C248="",F248,0)</f>
        <v>0</v>
      </c>
      <c r="K248" s="74"/>
    </row>
    <row r="249" spans="1:26" x14ac:dyDescent="0.2">
      <c r="B249" s="138">
        <f>$J$4</f>
        <v>3</v>
      </c>
      <c r="C249" s="86" t="s">
        <v>300</v>
      </c>
      <c r="D249" s="87" t="str">
        <f>IF(C249&lt;&gt;"",VLOOKUP(C249,'Dummy Table'!$B$3:$C$30,2,FALSE),"")</f>
        <v>Holanda</v>
      </c>
      <c r="E249" s="87" t="str">
        <f>IF(C249&lt;&gt;"",VLOOKUP(C249,'Dummy Table'!$B$3:$D$30,3,FALSE),"")</f>
        <v>Red Bull</v>
      </c>
      <c r="F249" s="137">
        <v>15</v>
      </c>
    </row>
    <row r="250" spans="1:26" x14ac:dyDescent="0.2">
      <c r="B250" s="138">
        <f>$J$5</f>
        <v>4</v>
      </c>
      <c r="C250" s="86" t="s">
        <v>308</v>
      </c>
      <c r="D250" s="87" t="str">
        <f>IF(C250&lt;&gt;"",VLOOKUP(C250,'Dummy Table'!$B$3:$C$30,2,FALSE),"")</f>
        <v>Mônaco</v>
      </c>
      <c r="E250" s="87" t="str">
        <f>IF(C250&lt;&gt;"",VLOOKUP(C250,'Dummy Table'!$B$3:$D$30,3,FALSE),"")</f>
        <v>Ferrari</v>
      </c>
      <c r="F250" s="137">
        <v>12</v>
      </c>
      <c r="K250" s="79"/>
    </row>
    <row r="251" spans="1:26" x14ac:dyDescent="0.2">
      <c r="B251" s="138">
        <f>$J$6</f>
        <v>5</v>
      </c>
      <c r="C251" s="86" t="s">
        <v>407</v>
      </c>
      <c r="D251" s="87" t="str">
        <f>IF(C251&lt;&gt;"",VLOOKUP(C251,'Dummy Table'!$B$3:$C$30,2,FALSE),"")</f>
        <v>França</v>
      </c>
      <c r="E251" s="87" t="str">
        <f>IF(C251&lt;&gt;"",VLOOKUP(C251,'Dummy Table'!$B$3:$D$30,3,FALSE),"")</f>
        <v>Red Bull</v>
      </c>
      <c r="F251" s="137">
        <v>10</v>
      </c>
    </row>
    <row r="252" spans="1:26" x14ac:dyDescent="0.2">
      <c r="B252" s="138">
        <f>$J$7</f>
        <v>6</v>
      </c>
      <c r="C252" s="86" t="s">
        <v>413</v>
      </c>
      <c r="D252" s="87" t="str">
        <f>IF(C252&lt;&gt;"",VLOOKUP(C252,'Dummy Table'!$B$3:$C$30,2,FALSE),"")</f>
        <v>Argentina</v>
      </c>
      <c r="E252" s="87" t="str">
        <f>IF(C252&lt;&gt;"",VLOOKUP(C252,'Dummy Table'!$B$3:$D$30,3,FALSE),"")</f>
        <v>Alpine</v>
      </c>
      <c r="F252" s="137">
        <v>8</v>
      </c>
      <c r="K252" s="74"/>
    </row>
    <row r="253" spans="1:26" x14ac:dyDescent="0.2">
      <c r="B253" s="138">
        <f>$J$8</f>
        <v>7</v>
      </c>
      <c r="C253" s="86" t="s">
        <v>409</v>
      </c>
      <c r="D253" s="87" t="str">
        <f>IF(C253&lt;&gt;"",VLOOKUP(C253,'Dummy Table'!$B$3:$C$30,2,FALSE),"")</f>
        <v>Austrália</v>
      </c>
      <c r="E253" s="87" t="str">
        <f>IF(C253&lt;&gt;"",VLOOKUP(C253,'Dummy Table'!$B$3:$D$30,3,FALSE),"")</f>
        <v>Racing Bulls</v>
      </c>
      <c r="F253" s="137">
        <v>6</v>
      </c>
      <c r="K253" s="74"/>
    </row>
    <row r="254" spans="1:26" x14ac:dyDescent="0.2">
      <c r="B254" s="138">
        <f>$J$9</f>
        <v>8</v>
      </c>
      <c r="C254" s="86" t="s">
        <v>307</v>
      </c>
      <c r="D254" s="87" t="str">
        <f>IF(C254&lt;&gt;"",VLOOKUP(C254,'Dummy Table'!$B$3:$C$30,2,FALSE),"")</f>
        <v>França</v>
      </c>
      <c r="E254" s="87" t="str">
        <f>IF(C254&lt;&gt;"",VLOOKUP(C254,'Dummy Table'!$B$3:$D$30,3,FALSE),"")</f>
        <v>Alpine</v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 t="s">
        <v>329</v>
      </c>
      <c r="D255" s="87" t="str">
        <f>IF(C255&lt;&gt;"",VLOOKUP(C255,'Dummy Table'!$B$3:$C$30,2,FALSE),"")</f>
        <v>Espanha</v>
      </c>
      <c r="E255" s="87" t="str">
        <f>IF(C255&lt;&gt;"",VLOOKUP(C255,'Dummy Table'!$B$3:$D$30,3,FALSE),"")</f>
        <v>Williams</v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 t="s">
        <v>326</v>
      </c>
      <c r="D256" s="87" t="str">
        <f>IF(C256&lt;&gt;"",VLOOKUP(C256,'Dummy Table'!$B$3:$C$30,2,FALSE),"")</f>
        <v>Inglaterra</v>
      </c>
      <c r="E256" s="87" t="str">
        <f>IF(C256&lt;&gt;"",VLOOKUP(C256,'Dummy Table'!$B$3:$D$30,3,FALSE),"")</f>
        <v>Haas</v>
      </c>
      <c r="F256" s="137">
        <v>1</v>
      </c>
      <c r="K256" s="74"/>
    </row>
    <row r="257" spans="1:26" x14ac:dyDescent="0.2">
      <c r="B257" s="138">
        <f>$J$12</f>
        <v>11</v>
      </c>
      <c r="C257" s="86" t="s">
        <v>324</v>
      </c>
      <c r="D257" s="87" t="str">
        <f>IF(C257&lt;&gt;"",VLOOKUP(C257,'Dummy Table'!$B$3:$C$30,2,FALSE),"")</f>
        <v>Austrália</v>
      </c>
      <c r="E257" s="87" t="str">
        <f>IF(C257&lt;&gt;"",VLOOKUP(C257,'Dummy Table'!$B$3:$D$30,3,FALSE),"")</f>
        <v>McLaren</v>
      </c>
      <c r="F257" s="139"/>
      <c r="K257" s="74"/>
    </row>
    <row r="258" spans="1:26" x14ac:dyDescent="0.2">
      <c r="B258" s="138">
        <f>$J$13</f>
        <v>12</v>
      </c>
      <c r="C258" s="86" t="s">
        <v>252</v>
      </c>
      <c r="D258" s="87" t="str">
        <f>IF(C258&lt;&gt;"",VLOOKUP(C258,'Dummy Table'!$B$3:$C$30,2,FALSE),"")</f>
        <v>Alemanha</v>
      </c>
      <c r="E258" s="87" t="str">
        <f>IF(C258&lt;&gt;"",VLOOKUP(C258,'Dummy Table'!$B$3:$D$30,3,FALSE),"")</f>
        <v>Audi</v>
      </c>
      <c r="F258" s="139"/>
      <c r="K258" s="74"/>
    </row>
    <row r="259" spans="1:26" x14ac:dyDescent="0.2">
      <c r="B259" s="138">
        <f>$J$14</f>
        <v>13</v>
      </c>
      <c r="C259" s="86" t="s">
        <v>330</v>
      </c>
      <c r="D259" s="87" t="str">
        <f>IF(C259&lt;&gt;"",VLOOKUP(C259,'Dummy Table'!$B$3:$C$30,2,FALSE),"")</f>
        <v>Brasil</v>
      </c>
      <c r="E259" s="87" t="str">
        <f>IF(C259&lt;&gt;"",VLOOKUP(C259,'Dummy Table'!$B$3:$D$30,3,FALSE),"")</f>
        <v>Audi</v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 t="s">
        <v>314</v>
      </c>
      <c r="D260" s="87" t="str">
        <f>IF(C260&lt;&gt;"",VLOOKUP(C260,'Dummy Table'!$B$3:$C$30,2,FALSE),"")</f>
        <v>França</v>
      </c>
      <c r="E260" s="87" t="str">
        <f>IF(C260&lt;&gt;"",VLOOKUP(C260,'Dummy Table'!$B$3:$D$30,3,FALSE),"")</f>
        <v>Haas</v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 t="s">
        <v>306</v>
      </c>
      <c r="D261" s="87" t="str">
        <f>IF(C261&lt;&gt;"",VLOOKUP(C261,'Dummy Table'!$B$3:$C$30,2,FALSE),"")</f>
        <v>Canadá</v>
      </c>
      <c r="E261" s="87" t="str">
        <f>IF(C261&lt;&gt;"",VLOOKUP(C261,'Dummy Table'!$B$3:$D$30,3,FALSE),"")</f>
        <v>Aston Martin</v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 t="s">
        <v>398</v>
      </c>
      <c r="D262" s="87" t="str">
        <f>IF(C262&lt;&gt;"",VLOOKUP(C262,'Dummy Table'!$B$3:$C$30,2,FALSE),"")</f>
        <v>Finlândia</v>
      </c>
      <c r="E262" s="87" t="str">
        <f>IF(C262&lt;&gt;"",VLOOKUP(C262,'Dummy Table'!$B$3:$D$30,3,FALSE),"")</f>
        <v>Cadillac</v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 t="s">
        <v>397</v>
      </c>
      <c r="D263" s="87" t="str">
        <f>IF(C263&lt;&gt;"",VLOOKUP(C263,'Dummy Table'!$B$3:$C$30,2,FALSE),"")</f>
        <v>México</v>
      </c>
      <c r="E263" s="87" t="str">
        <f>IF(C263&lt;&gt;"",VLOOKUP(C263,'Dummy Table'!$B$3:$D$30,3,FALSE),"")</f>
        <v>Cadillac</v>
      </c>
      <c r="F263" s="139" t="s">
        <v>428</v>
      </c>
      <c r="G263" s="75"/>
      <c r="H263" s="75"/>
      <c r="I263" s="75"/>
    </row>
    <row r="264" spans="1:26" x14ac:dyDescent="0.2">
      <c r="B264" s="138">
        <f>$J$19</f>
        <v>18</v>
      </c>
      <c r="C264" s="86" t="s">
        <v>311</v>
      </c>
      <c r="D264" s="87" t="str">
        <f>IF(C264&lt;&gt;"",VLOOKUP(C264,'Dummy Table'!$B$3:$C$30,2,FALSE),"")</f>
        <v>Inglaterra</v>
      </c>
      <c r="E264" s="87" t="str">
        <f>IF(C264&lt;&gt;"",VLOOKUP(C264,'Dummy Table'!$B$3:$D$30,3,FALSE),"")</f>
        <v>McLaren</v>
      </c>
      <c r="F264" s="139" t="s">
        <v>428</v>
      </c>
      <c r="G264" s="75"/>
      <c r="H264" s="75"/>
      <c r="I264" s="75"/>
      <c r="K264" s="79"/>
    </row>
    <row r="265" spans="1:26" x14ac:dyDescent="0.2">
      <c r="B265" s="138">
        <f>$J$20</f>
        <v>19</v>
      </c>
      <c r="C265" s="86" t="s">
        <v>354</v>
      </c>
      <c r="D265" s="87" t="str">
        <f>IF(C265&lt;&gt;"",VLOOKUP(C265,'Dummy Table'!$B$3:$C$30,2,FALSE),"")</f>
        <v>Inglaterra</v>
      </c>
      <c r="E265" s="87" t="str">
        <f>IF(C265&lt;&gt;"",VLOOKUP(C265,'Dummy Table'!$B$3:$D$30,3,FALSE),"")</f>
        <v>Mercedes</v>
      </c>
      <c r="F265" s="139" t="s">
        <v>428</v>
      </c>
      <c r="G265" s="75"/>
      <c r="H265" s="75"/>
      <c r="I265" s="75"/>
    </row>
    <row r="266" spans="1:26" x14ac:dyDescent="0.2">
      <c r="B266" s="138">
        <f>$J$21</f>
        <v>20</v>
      </c>
      <c r="C266" s="86" t="s">
        <v>30</v>
      </c>
      <c r="D266" s="87" t="str">
        <f>IF(C266&lt;&gt;"",VLOOKUP(C266,'Dummy Table'!$B$3:$C$30,2,FALSE),"")</f>
        <v>Espanha</v>
      </c>
      <c r="E266" s="87" t="str">
        <f>IF(C266&lt;&gt;"",VLOOKUP(C266,'Dummy Table'!$B$3:$D$30,3,FALSE),"")</f>
        <v>Aston Martin</v>
      </c>
      <c r="F266" s="139" t="s">
        <v>428</v>
      </c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 t="s">
        <v>310</v>
      </c>
      <c r="D267" s="87" t="str">
        <f>IF(C267&lt;&gt;"",VLOOKUP(C267,'Dummy Table'!$B$3:$C$30,2,FALSE),"")</f>
        <v>Tailandia</v>
      </c>
      <c r="E267" s="87" t="str">
        <f>IF(C267&lt;&gt;"",VLOOKUP(C267,'Dummy Table'!$B$3:$D$30,3,FALSE),"")</f>
        <v>Williams</v>
      </c>
      <c r="F267" s="139" t="s">
        <v>428</v>
      </c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 t="s">
        <v>408</v>
      </c>
      <c r="D268" s="87" t="str">
        <f>IF(C268&lt;&gt;"",VLOOKUP(C268,'Dummy Table'!$B$3:$C$30,2,FALSE),"")</f>
        <v>Inglaterra</v>
      </c>
      <c r="E268" s="87" t="str">
        <f>IF(C268&lt;&gt;"",VLOOKUP(C268,'Dummy Table'!$B$3:$D$30,3,FALSE),"")</f>
        <v>Racing Bulls</v>
      </c>
      <c r="F268" s="139" t="s">
        <v>429</v>
      </c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 t="str">
        <f>IF(F269="",$J$24,"Ret")</f>
        <v/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 t="s">
        <v>354</v>
      </c>
      <c r="D271" s="89" t="str">
        <f>IF(C271&lt;&gt;"",VLOOKUP(C271,'Dummy Table'!$B$3:$C$30,2,FALSE),"")</f>
        <v>Inglaterra</v>
      </c>
      <c r="E271" s="89" t="str">
        <f>IF(C271&lt;&gt;"",VLOOKUP(C271,'Dummy Table'!$B$3:$D$30,3,FALSE),"")</f>
        <v>Mercedes</v>
      </c>
      <c r="F271" s="142"/>
      <c r="H271" s="75"/>
      <c r="K271" s="74"/>
    </row>
    <row r="272" spans="1:26" ht="13.5" thickBot="1" x14ac:dyDescent="0.25">
      <c r="B272" s="143" t="s">
        <v>234</v>
      </c>
      <c r="C272" s="144" t="s">
        <v>325</v>
      </c>
      <c r="D272" s="145" t="str">
        <f>IF(C272&lt;&gt;"",VLOOKUP(C272,'Dummy Table'!$B$3:$C$30,2,FALSE),"")</f>
        <v>Itália</v>
      </c>
      <c r="E272" s="145" t="str">
        <f>IF(C272&lt;&gt;"",VLOOKUP(C272,'Dummy Table'!$B$3:$D$30,3,FALSE),"")</f>
        <v>Mercedes</v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1" t="str">
        <f>VLOOKUP($A273,'Calendário atual'!$A$2:$E$30,4,FALSE)</f>
        <v>FORMULA 1 LOUIS VUITTON GRAND PRIX DE MONACO 2026</v>
      </c>
      <c r="D273" s="171"/>
      <c r="E273" s="171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 t="s">
        <v>325</v>
      </c>
      <c r="D275" s="87" t="str">
        <f>IF(C275&lt;&gt;"",VLOOKUP(C275,'Dummy Table'!$B$3:$C$30,2,FALSE),"")</f>
        <v>Itália</v>
      </c>
      <c r="E275" s="87" t="str">
        <f>IF(C275&lt;&gt;"",VLOOKUP(C275,'Dummy Table'!$B$3:$D$30,3,FALSE),"")</f>
        <v>Mercedes</v>
      </c>
      <c r="F275" s="137">
        <v>25</v>
      </c>
      <c r="G275" s="69">
        <f>IF(C275="",F275,0)</f>
        <v>0</v>
      </c>
      <c r="H275" s="69">
        <f>IF(C275="",F275,0)</f>
        <v>0</v>
      </c>
      <c r="I275" s="69">
        <f>IF(C275="",1,0)</f>
        <v>0</v>
      </c>
      <c r="K275" s="74"/>
    </row>
    <row r="276" spans="1:26" x14ac:dyDescent="0.2">
      <c r="B276" s="138">
        <f>$J$3</f>
        <v>2</v>
      </c>
      <c r="C276" s="86" t="s">
        <v>1</v>
      </c>
      <c r="D276" s="87" t="str">
        <f>IF(C276&lt;&gt;"",VLOOKUP(C276,'Dummy Table'!$B$3:$C$30,2,FALSE),"")</f>
        <v>Inglaterra</v>
      </c>
      <c r="E276" s="87" t="str">
        <f>IF(C276&lt;&gt;"",VLOOKUP(C276,'Dummy Table'!$B$3:$D$30,3,FALSE),"")</f>
        <v>Ferrari</v>
      </c>
      <c r="F276" s="137">
        <v>18</v>
      </c>
      <c r="H276" s="69">
        <f>IF(C276="",F276,0)</f>
        <v>0</v>
      </c>
      <c r="K276" s="74"/>
    </row>
    <row r="277" spans="1:26" x14ac:dyDescent="0.2">
      <c r="B277" s="138">
        <f>$J$4</f>
        <v>3</v>
      </c>
      <c r="C277" s="86" t="s">
        <v>307</v>
      </c>
      <c r="D277" s="87" t="str">
        <f>IF(C277&lt;&gt;"",VLOOKUP(C277,'Dummy Table'!$B$3:$C$30,2,FALSE),"")</f>
        <v>França</v>
      </c>
      <c r="E277" s="87" t="str">
        <f>IF(C277&lt;&gt;"",VLOOKUP(C277,'Dummy Table'!$B$3:$D$30,3,FALSE),"")</f>
        <v>Alpine</v>
      </c>
      <c r="F277" s="137">
        <v>15</v>
      </c>
    </row>
    <row r="278" spans="1:26" x14ac:dyDescent="0.2">
      <c r="B278" s="138">
        <f>$J$5</f>
        <v>4</v>
      </c>
      <c r="C278" s="86" t="s">
        <v>407</v>
      </c>
      <c r="D278" s="87" t="str">
        <f>IF(C278&lt;&gt;"",VLOOKUP(C278,'Dummy Table'!$B$3:$C$30,2,FALSE),"")</f>
        <v>França</v>
      </c>
      <c r="E278" s="87" t="str">
        <f>IF(C278&lt;&gt;"",VLOOKUP(C278,'Dummy Table'!$B$3:$D$30,3,FALSE),"")</f>
        <v>Red Bull</v>
      </c>
      <c r="F278" s="137">
        <v>12</v>
      </c>
      <c r="K278" s="79"/>
    </row>
    <row r="279" spans="1:26" x14ac:dyDescent="0.2">
      <c r="B279" s="138">
        <f>$J$6</f>
        <v>5</v>
      </c>
      <c r="C279" s="86" t="s">
        <v>324</v>
      </c>
      <c r="D279" s="87" t="str">
        <f>IF(C279&lt;&gt;"",VLOOKUP(C279,'Dummy Table'!$B$3:$C$30,2,FALSE),"")</f>
        <v>Austrália</v>
      </c>
      <c r="E279" s="87" t="str">
        <f>IF(C279&lt;&gt;"",VLOOKUP(C279,'Dummy Table'!$B$3:$D$30,3,FALSE),"")</f>
        <v>McLaren</v>
      </c>
      <c r="F279" s="137">
        <v>10</v>
      </c>
    </row>
    <row r="280" spans="1:26" x14ac:dyDescent="0.2">
      <c r="B280" s="138">
        <f>$J$7</f>
        <v>6</v>
      </c>
      <c r="C280" s="86" t="s">
        <v>409</v>
      </c>
      <c r="D280" s="87" t="str">
        <f>IF(C280&lt;&gt;"",VLOOKUP(C280,'Dummy Table'!$B$3:$C$30,2,FALSE),"")</f>
        <v>Austrália</v>
      </c>
      <c r="E280" s="87" t="str">
        <f>IF(C280&lt;&gt;"",VLOOKUP(C280,'Dummy Table'!$B$3:$D$30,3,FALSE),"")</f>
        <v>Racing Bulls</v>
      </c>
      <c r="F280" s="137">
        <v>8</v>
      </c>
      <c r="K280" s="74"/>
    </row>
    <row r="281" spans="1:26" x14ac:dyDescent="0.2">
      <c r="B281" s="138">
        <f>$J$8</f>
        <v>7</v>
      </c>
      <c r="C281" s="86" t="s">
        <v>408</v>
      </c>
      <c r="D281" s="87" t="str">
        <f>IF(C281&lt;&gt;"",VLOOKUP(C281,'Dummy Table'!$B$3:$C$30,2,FALSE),"")</f>
        <v>Inglaterra</v>
      </c>
      <c r="E281" s="87" t="str">
        <f>IF(C281&lt;&gt;"",VLOOKUP(C281,'Dummy Table'!$B$3:$D$30,3,FALSE),"")</f>
        <v>Racing Bulls</v>
      </c>
      <c r="F281" s="137">
        <v>6</v>
      </c>
      <c r="K281" s="74"/>
    </row>
    <row r="282" spans="1:26" x14ac:dyDescent="0.2">
      <c r="B282" s="138">
        <f>$J$9</f>
        <v>8</v>
      </c>
      <c r="C282" s="86" t="s">
        <v>310</v>
      </c>
      <c r="D282" s="87" t="str">
        <f>IF(C282&lt;&gt;"",VLOOKUP(C282,'Dummy Table'!$B$3:$C$30,2,FALSE),"")</f>
        <v>Tailandia</v>
      </c>
      <c r="E282" s="87" t="str">
        <f>IF(C282&lt;&gt;"",VLOOKUP(C282,'Dummy Table'!$B$3:$D$30,3,FALSE),"")</f>
        <v>Williams</v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 t="s">
        <v>314</v>
      </c>
      <c r="D283" s="87" t="str">
        <f>IF(C283&lt;&gt;"",VLOOKUP(C283,'Dummy Table'!$B$3:$C$30,2,FALSE),"")</f>
        <v>França</v>
      </c>
      <c r="E283" s="87" t="str">
        <f>IF(C283&lt;&gt;"",VLOOKUP(C283,'Dummy Table'!$B$3:$D$30,3,FALSE),"")</f>
        <v>Haas</v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 t="s">
        <v>30</v>
      </c>
      <c r="D284" s="87" t="str">
        <f>IF(C284&lt;&gt;"",VLOOKUP(C284,'Dummy Table'!$B$3:$C$30,2,FALSE),"")</f>
        <v>Espanha</v>
      </c>
      <c r="E284" s="87" t="str">
        <f>IF(C284&lt;&gt;"",VLOOKUP(C284,'Dummy Table'!$B$3:$D$30,3,FALSE),"")</f>
        <v>Aston Martin</v>
      </c>
      <c r="F284" s="137">
        <v>1</v>
      </c>
      <c r="K284" s="74"/>
    </row>
    <row r="285" spans="1:26" x14ac:dyDescent="0.2">
      <c r="B285" s="138">
        <f>$J$12</f>
        <v>11</v>
      </c>
      <c r="C285" s="86" t="s">
        <v>330</v>
      </c>
      <c r="D285" s="87" t="str">
        <f>IF(C285&lt;&gt;"",VLOOKUP(C285,'Dummy Table'!$B$3:$C$30,2,FALSE),"")</f>
        <v>Brasil</v>
      </c>
      <c r="E285" s="87" t="str">
        <f>IF(C285&lt;&gt;"",VLOOKUP(C285,'Dummy Table'!$B$3:$D$30,3,FALSE),"")</f>
        <v>Audi</v>
      </c>
      <c r="F285" s="139"/>
      <c r="K285" s="74"/>
    </row>
    <row r="286" spans="1:26" x14ac:dyDescent="0.2">
      <c r="B286" s="138">
        <f>$J$13</f>
        <v>12</v>
      </c>
      <c r="C286" s="86" t="s">
        <v>354</v>
      </c>
      <c r="D286" s="87" t="str">
        <f>IF(C286&lt;&gt;"",VLOOKUP(C286,'Dummy Table'!$B$3:$C$30,2,FALSE),"")</f>
        <v>Inglaterra</v>
      </c>
      <c r="E286" s="87" t="str">
        <f>IF(C286&lt;&gt;"",VLOOKUP(C286,'Dummy Table'!$B$3:$D$30,3,FALSE),"")</f>
        <v>Mercedes</v>
      </c>
      <c r="F286" s="139"/>
      <c r="K286" s="74"/>
    </row>
    <row r="287" spans="1:26" x14ac:dyDescent="0.2">
      <c r="B287" s="138">
        <f>$J$14</f>
        <v>13</v>
      </c>
      <c r="C287" s="86" t="s">
        <v>252</v>
      </c>
      <c r="D287" s="87" t="str">
        <f>IF(C287&lt;&gt;"",VLOOKUP(C287,'Dummy Table'!$B$3:$C$30,2,FALSE),"")</f>
        <v>Alemanha</v>
      </c>
      <c r="E287" s="87" t="str">
        <f>IF(C287&lt;&gt;"",VLOOKUP(C287,'Dummy Table'!$B$3:$D$30,3,FALSE),"")</f>
        <v>Audi</v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 t="s">
        <v>413</v>
      </c>
      <c r="D288" s="87" t="str">
        <f>IF(C288&lt;&gt;"",VLOOKUP(C288,'Dummy Table'!$B$3:$C$30,2,FALSE),"")</f>
        <v>Argentina</v>
      </c>
      <c r="E288" s="87" t="str">
        <f>IF(C288&lt;&gt;"",VLOOKUP(C288,'Dummy Table'!$B$3:$D$30,3,FALSE),"")</f>
        <v>Alpine</v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 t="s">
        <v>397</v>
      </c>
      <c r="D289" s="87" t="str">
        <f>IF(C289&lt;&gt;"",VLOOKUP(C289,'Dummy Table'!$B$3:$C$30,2,FALSE),"")</f>
        <v>México</v>
      </c>
      <c r="E289" s="87" t="str">
        <f>IF(C289&lt;&gt;"",VLOOKUP(C289,'Dummy Table'!$B$3:$D$30,3,FALSE),"")</f>
        <v>Cadillac</v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 t="s">
        <v>329</v>
      </c>
      <c r="D290" s="87" t="str">
        <f>IF(C290&lt;&gt;"",VLOOKUP(C290,'Dummy Table'!$B$3:$C$30,2,FALSE),"")</f>
        <v>Espanha</v>
      </c>
      <c r="E290" s="87" t="str">
        <f>IF(C290&lt;&gt;"",VLOOKUP(C290,'Dummy Table'!$B$3:$D$30,3,FALSE),"")</f>
        <v>Williams</v>
      </c>
      <c r="F290" s="139" t="s">
        <v>428</v>
      </c>
      <c r="G290" s="75"/>
      <c r="H290" s="75"/>
      <c r="I290" s="75"/>
      <c r="K290" s="74"/>
    </row>
    <row r="291" spans="1:26" x14ac:dyDescent="0.2">
      <c r="B291" s="138">
        <f>$J$18</f>
        <v>17</v>
      </c>
      <c r="C291" s="86" t="s">
        <v>308</v>
      </c>
      <c r="D291" s="87" t="str">
        <f>IF(C291&lt;&gt;"",VLOOKUP(C291,'Dummy Table'!$B$3:$C$30,2,FALSE),"")</f>
        <v>Mônaco</v>
      </c>
      <c r="E291" s="87" t="str">
        <f>IF(C291&lt;&gt;"",VLOOKUP(C291,'Dummy Table'!$B$3:$D$30,3,FALSE),"")</f>
        <v>Ferrari</v>
      </c>
      <c r="F291" s="139" t="s">
        <v>428</v>
      </c>
      <c r="G291" s="75"/>
      <c r="H291" s="75"/>
      <c r="I291" s="75"/>
    </row>
    <row r="292" spans="1:26" x14ac:dyDescent="0.2">
      <c r="B292" s="138">
        <f>$J$19</f>
        <v>18</v>
      </c>
      <c r="C292" s="86" t="s">
        <v>306</v>
      </c>
      <c r="D292" s="87" t="str">
        <f>IF(C292&lt;&gt;"",VLOOKUP(C292,'Dummy Table'!$B$3:$C$30,2,FALSE),"")</f>
        <v>Canadá</v>
      </c>
      <c r="E292" s="87" t="str">
        <f>IF(C292&lt;&gt;"",VLOOKUP(C292,'Dummy Table'!$B$3:$D$30,3,FALSE),"")</f>
        <v>Aston Martin</v>
      </c>
      <c r="F292" s="139" t="s">
        <v>428</v>
      </c>
      <c r="G292" s="75"/>
      <c r="H292" s="75"/>
      <c r="I292" s="75"/>
      <c r="K292" s="79"/>
    </row>
    <row r="293" spans="1:26" x14ac:dyDescent="0.2">
      <c r="B293" s="138">
        <f>$J$20</f>
        <v>19</v>
      </c>
      <c r="C293" s="86" t="s">
        <v>311</v>
      </c>
      <c r="D293" s="87" t="str">
        <f>IF(C293&lt;&gt;"",VLOOKUP(C293,'Dummy Table'!$B$3:$C$30,2,FALSE),"")</f>
        <v>Inglaterra</v>
      </c>
      <c r="E293" s="87" t="str">
        <f>IF(C293&lt;&gt;"",VLOOKUP(C293,'Dummy Table'!$B$3:$D$30,3,FALSE),"")</f>
        <v>McLaren</v>
      </c>
      <c r="F293" s="139" t="s">
        <v>428</v>
      </c>
      <c r="G293" s="75"/>
      <c r="H293" s="75"/>
      <c r="I293" s="75"/>
    </row>
    <row r="294" spans="1:26" x14ac:dyDescent="0.2">
      <c r="B294" s="138">
        <f>$J$21</f>
        <v>20</v>
      </c>
      <c r="C294" s="86" t="s">
        <v>326</v>
      </c>
      <c r="D294" s="87" t="str">
        <f>IF(C294&lt;&gt;"",VLOOKUP(C294,'Dummy Table'!$B$3:$C$30,2,FALSE),"")</f>
        <v>Inglaterra</v>
      </c>
      <c r="E294" s="87" t="str">
        <f>IF(C294&lt;&gt;"",VLOOKUP(C294,'Dummy Table'!$B$3:$D$30,3,FALSE),"")</f>
        <v>Haas</v>
      </c>
      <c r="F294" s="139" t="s">
        <v>428</v>
      </c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 t="s">
        <v>398</v>
      </c>
      <c r="D295" s="87" t="str">
        <f>IF(C295&lt;&gt;"",VLOOKUP(C295,'Dummy Table'!$B$3:$C$30,2,FALSE),"")</f>
        <v>Finlândia</v>
      </c>
      <c r="E295" s="87" t="str">
        <f>IF(C295&lt;&gt;"",VLOOKUP(C295,'Dummy Table'!$B$3:$D$30,3,FALSE),"")</f>
        <v>Cadillac</v>
      </c>
      <c r="F295" s="139" t="s">
        <v>428</v>
      </c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 t="s">
        <v>300</v>
      </c>
      <c r="D296" s="87" t="str">
        <f>IF(C296&lt;&gt;"",VLOOKUP(C296,'Dummy Table'!$B$3:$C$30,2,FALSE),"")</f>
        <v>Holanda</v>
      </c>
      <c r="E296" s="87" t="str">
        <f>IF(C296&lt;&gt;"",VLOOKUP(C296,'Dummy Table'!$B$3:$D$30,3,FALSE),"")</f>
        <v>Red Bull</v>
      </c>
      <c r="F296" s="139" t="s">
        <v>428</v>
      </c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 t="str">
        <f>IF(F297="",$J$24,"Ret")</f>
        <v/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 t="s">
        <v>325</v>
      </c>
      <c r="D299" s="89" t="str">
        <f>IF(C299&lt;&gt;"",VLOOKUP(C299,'Dummy Table'!$B$3:$C$30,2,FALSE),"")</f>
        <v>Itália</v>
      </c>
      <c r="E299" s="89" t="str">
        <f>IF(C299&lt;&gt;"",VLOOKUP(C299,'Dummy Table'!$B$3:$D$30,3,FALSE),"")</f>
        <v>Mercedes</v>
      </c>
      <c r="F299" s="142"/>
      <c r="H299" s="75"/>
      <c r="K299" s="74"/>
    </row>
    <row r="300" spans="1:26" ht="13.5" thickBot="1" x14ac:dyDescent="0.25">
      <c r="B300" s="143" t="s">
        <v>234</v>
      </c>
      <c r="C300" s="144" t="s">
        <v>325</v>
      </c>
      <c r="D300" s="145" t="str">
        <f>IF(C300&lt;&gt;"",VLOOKUP(C300,'Dummy Table'!$B$3:$C$30,2,FALSE),"")</f>
        <v>Itália</v>
      </c>
      <c r="E300" s="145" t="str">
        <f>IF(C300&lt;&gt;"",VLOOKUP(C300,'Dummy Table'!$B$3:$D$30,3,FALSE),"")</f>
        <v>Mercedes</v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1" t="str">
        <f>VLOOKUP($A301,'Calendário atual'!$A$2:$E$30,4,FALSE)</f>
        <v>FORMULA 1 MSC CRUISES GRAN PREMIO DE BARCELONA-CATALUNYA 2026</v>
      </c>
      <c r="D301" s="171"/>
      <c r="E301" s="171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 t="s">
        <v>1</v>
      </c>
      <c r="D303" s="87" t="str">
        <f>IF(C303&lt;&gt;"",VLOOKUP(C303,'Dummy Table'!$B$3:$C$30,2,FALSE),"")</f>
        <v>Inglaterra</v>
      </c>
      <c r="E303" s="87" t="str">
        <f>IF(C303&lt;&gt;"",VLOOKUP(C303,'Dummy Table'!$B$3:$D$30,3,FALSE),"")</f>
        <v>Ferrari</v>
      </c>
      <c r="F303" s="137">
        <v>25</v>
      </c>
      <c r="G303" s="69">
        <f>IF(C303="",F303,0)</f>
        <v>0</v>
      </c>
      <c r="H303" s="69">
        <f>IF(C303="",F303,0)</f>
        <v>0</v>
      </c>
      <c r="I303" s="69">
        <f>IF(C303="",1,0)</f>
        <v>0</v>
      </c>
      <c r="K303" s="74"/>
    </row>
    <row r="304" spans="1:26" x14ac:dyDescent="0.2">
      <c r="B304" s="138">
        <f>$J$3</f>
        <v>2</v>
      </c>
      <c r="C304" s="86" t="s">
        <v>354</v>
      </c>
      <c r="D304" s="87" t="str">
        <f>IF(C304&lt;&gt;"",VLOOKUP(C304,'Dummy Table'!$B$3:$C$30,2,FALSE),"")</f>
        <v>Inglaterra</v>
      </c>
      <c r="E304" s="87" t="str">
        <f>IF(C304&lt;&gt;"",VLOOKUP(C304,'Dummy Table'!$B$3:$D$30,3,FALSE),"")</f>
        <v>Mercedes</v>
      </c>
      <c r="F304" s="137">
        <v>18</v>
      </c>
      <c r="H304" s="69">
        <f>IF(C304="",F304,0)</f>
        <v>0</v>
      </c>
      <c r="K304" s="74"/>
    </row>
    <row r="305" spans="1:26" x14ac:dyDescent="0.2">
      <c r="B305" s="138">
        <f>$J$4</f>
        <v>3</v>
      </c>
      <c r="C305" s="86" t="s">
        <v>311</v>
      </c>
      <c r="D305" s="87" t="str">
        <f>IF(C305&lt;&gt;"",VLOOKUP(C305,'Dummy Table'!$B$3:$C$30,2,FALSE),"")</f>
        <v>Inglaterra</v>
      </c>
      <c r="E305" s="87" t="str">
        <f>IF(C305&lt;&gt;"",VLOOKUP(C305,'Dummy Table'!$B$3:$D$30,3,FALSE),"")</f>
        <v>McLaren</v>
      </c>
      <c r="F305" s="137">
        <v>15</v>
      </c>
    </row>
    <row r="306" spans="1:26" x14ac:dyDescent="0.2">
      <c r="B306" s="138">
        <f>$J$5</f>
        <v>4</v>
      </c>
      <c r="C306" s="86" t="s">
        <v>300</v>
      </c>
      <c r="D306" s="87" t="str">
        <f>IF(C306&lt;&gt;"",VLOOKUP(C306,'Dummy Table'!$B$3:$C$30,2,FALSE),"")</f>
        <v>Holanda</v>
      </c>
      <c r="E306" s="87" t="str">
        <f>IF(C306&lt;&gt;"",VLOOKUP(C306,'Dummy Table'!$B$3:$D$30,3,FALSE),"")</f>
        <v>Red Bull</v>
      </c>
      <c r="F306" s="137">
        <v>12</v>
      </c>
      <c r="K306" s="79"/>
    </row>
    <row r="307" spans="1:26" x14ac:dyDescent="0.2">
      <c r="B307" s="138">
        <f>$J$6</f>
        <v>5</v>
      </c>
      <c r="C307" s="86" t="s">
        <v>324</v>
      </c>
      <c r="D307" s="87" t="str">
        <f>IF(C307&lt;&gt;"",VLOOKUP(C307,'Dummy Table'!$B$3:$C$30,2,FALSE),"")</f>
        <v>Austrália</v>
      </c>
      <c r="E307" s="87" t="str">
        <f>IF(C307&lt;&gt;"",VLOOKUP(C307,'Dummy Table'!$B$3:$D$30,3,FALSE),"")</f>
        <v>McLaren</v>
      </c>
      <c r="F307" s="137">
        <v>10</v>
      </c>
    </row>
    <row r="308" spans="1:26" x14ac:dyDescent="0.2">
      <c r="B308" s="138">
        <f>$J$7</f>
        <v>6</v>
      </c>
      <c r="C308" s="86" t="s">
        <v>407</v>
      </c>
      <c r="D308" s="87" t="str">
        <f>IF(C308&lt;&gt;"",VLOOKUP(C308,'Dummy Table'!$B$3:$C$30,2,FALSE),"")</f>
        <v>França</v>
      </c>
      <c r="E308" s="87" t="str">
        <f>IF(C308&lt;&gt;"",VLOOKUP(C308,'Dummy Table'!$B$3:$D$30,3,FALSE),"")</f>
        <v>Red Bull</v>
      </c>
      <c r="F308" s="137">
        <v>8</v>
      </c>
      <c r="K308" s="74"/>
    </row>
    <row r="309" spans="1:26" x14ac:dyDescent="0.2">
      <c r="B309" s="138">
        <f>$J$8</f>
        <v>7</v>
      </c>
      <c r="C309" s="86" t="s">
        <v>307</v>
      </c>
      <c r="D309" s="87" t="str">
        <f>IF(C309&lt;&gt;"",VLOOKUP(C309,'Dummy Table'!$B$3:$C$30,2,FALSE),"")</f>
        <v>França</v>
      </c>
      <c r="E309" s="87" t="str">
        <f>IF(C309&lt;&gt;"",VLOOKUP(C309,'Dummy Table'!$B$3:$D$30,3,FALSE),"")</f>
        <v>Alpine</v>
      </c>
      <c r="F309" s="137">
        <v>6</v>
      </c>
      <c r="K309" s="74"/>
    </row>
    <row r="310" spans="1:26" x14ac:dyDescent="0.2">
      <c r="B310" s="138">
        <f>$J$9</f>
        <v>8</v>
      </c>
      <c r="C310" s="86" t="s">
        <v>409</v>
      </c>
      <c r="D310" s="87" t="str">
        <f>IF(C310&lt;&gt;"",VLOOKUP(C310,'Dummy Table'!$B$3:$C$30,2,FALSE),"")</f>
        <v>Austrália</v>
      </c>
      <c r="E310" s="87" t="str">
        <f>IF(C310&lt;&gt;"",VLOOKUP(C310,'Dummy Table'!$B$3:$D$30,3,FALSE),"")</f>
        <v>Racing Bulls</v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 t="s">
        <v>408</v>
      </c>
      <c r="D311" s="87" t="str">
        <f>IF(C311&lt;&gt;"",VLOOKUP(C311,'Dummy Table'!$B$3:$C$30,2,FALSE),"")</f>
        <v>Inglaterra</v>
      </c>
      <c r="E311" s="87" t="str">
        <f>IF(C311&lt;&gt;"",VLOOKUP(C311,'Dummy Table'!$B$3:$D$30,3,FALSE),"")</f>
        <v>Racing Bulls</v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 t="s">
        <v>413</v>
      </c>
      <c r="D312" s="87" t="str">
        <f>IF(C312&lt;&gt;"",VLOOKUP(C312,'Dummy Table'!$B$3:$C$30,2,FALSE),"")</f>
        <v>Argentina</v>
      </c>
      <c r="E312" s="87" t="str">
        <f>IF(C312&lt;&gt;"",VLOOKUP(C312,'Dummy Table'!$B$3:$D$30,3,FALSE),"")</f>
        <v>Alpine</v>
      </c>
      <c r="F312" s="137">
        <v>1</v>
      </c>
      <c r="K312" s="74"/>
    </row>
    <row r="313" spans="1:26" x14ac:dyDescent="0.2">
      <c r="B313" s="138">
        <f>$J$12</f>
        <v>11</v>
      </c>
      <c r="C313" s="86" t="s">
        <v>330</v>
      </c>
      <c r="D313" s="87" t="str">
        <f>IF(C313&lt;&gt;"",VLOOKUP(C313,'Dummy Table'!$B$3:$C$30,2,FALSE),"")</f>
        <v>Brasil</v>
      </c>
      <c r="E313" s="87" t="str">
        <f>IF(C313&lt;&gt;"",VLOOKUP(C313,'Dummy Table'!$B$3:$D$30,3,FALSE),"")</f>
        <v>Audi</v>
      </c>
      <c r="F313" s="139"/>
      <c r="K313" s="74"/>
    </row>
    <row r="314" spans="1:26" x14ac:dyDescent="0.2">
      <c r="B314" s="138">
        <f>$J$13</f>
        <v>12</v>
      </c>
      <c r="C314" s="86" t="s">
        <v>329</v>
      </c>
      <c r="D314" s="87" t="str">
        <f>IF(C314&lt;&gt;"",VLOOKUP(C314,'Dummy Table'!$B$3:$C$30,2,FALSE),"")</f>
        <v>Espanha</v>
      </c>
      <c r="E314" s="87" t="str">
        <f>IF(C314&lt;&gt;"",VLOOKUP(C314,'Dummy Table'!$B$3:$D$30,3,FALSE),"")</f>
        <v>Williams</v>
      </c>
      <c r="F314" s="139"/>
      <c r="K314" s="74"/>
    </row>
    <row r="315" spans="1:26" x14ac:dyDescent="0.2">
      <c r="B315" s="138">
        <f>$J$14</f>
        <v>13</v>
      </c>
      <c r="C315" s="86" t="s">
        <v>314</v>
      </c>
      <c r="D315" s="87" t="str">
        <f>IF(C315&lt;&gt;"",VLOOKUP(C315,'Dummy Table'!$B$3:$C$30,2,FALSE),"")</f>
        <v>França</v>
      </c>
      <c r="E315" s="87" t="str">
        <f>IF(C315&lt;&gt;"",VLOOKUP(C315,'Dummy Table'!$B$3:$D$30,3,FALSE),"")</f>
        <v>Haas</v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 t="s">
        <v>397</v>
      </c>
      <c r="D316" s="87" t="str">
        <f>IF(C316&lt;&gt;"",VLOOKUP(C316,'Dummy Table'!$B$3:$C$30,2,FALSE),"")</f>
        <v>México</v>
      </c>
      <c r="E316" s="87" t="str">
        <f>IF(C316&lt;&gt;"",VLOOKUP(C316,'Dummy Table'!$B$3:$D$30,3,FALSE),"")</f>
        <v>Cadillac</v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 t="s">
        <v>308</v>
      </c>
      <c r="D317" s="87" t="str">
        <f>IF(C317&lt;&gt;"",VLOOKUP(C317,'Dummy Table'!$B$3:$C$30,2,FALSE),"")</f>
        <v>Mônaco</v>
      </c>
      <c r="E317" s="87" t="str">
        <f>IF(C317&lt;&gt;"",VLOOKUP(C317,'Dummy Table'!$B$3:$D$30,3,FALSE),"")</f>
        <v>Ferrari</v>
      </c>
      <c r="F317" s="139" t="s">
        <v>428</v>
      </c>
      <c r="G317" s="75"/>
      <c r="H317" s="75"/>
      <c r="I317" s="75"/>
      <c r="K317" s="74"/>
    </row>
    <row r="318" spans="1:26" x14ac:dyDescent="0.2">
      <c r="B318" s="138">
        <f>$J$17</f>
        <v>16</v>
      </c>
      <c r="C318" s="86" t="s">
        <v>325</v>
      </c>
      <c r="D318" s="87" t="str">
        <f>IF(C318&lt;&gt;"",VLOOKUP(C318,'Dummy Table'!$B$3:$C$30,2,FALSE),"")</f>
        <v>Itália</v>
      </c>
      <c r="E318" s="87" t="str">
        <f>IF(C318&lt;&gt;"",VLOOKUP(C318,'Dummy Table'!$B$3:$D$30,3,FALSE),"")</f>
        <v>Mercedes</v>
      </c>
      <c r="F318" s="139" t="s">
        <v>428</v>
      </c>
      <c r="G318" s="75"/>
      <c r="H318" s="75"/>
      <c r="I318" s="75"/>
      <c r="K318" s="74"/>
    </row>
    <row r="319" spans="1:26" x14ac:dyDescent="0.2">
      <c r="B319" s="138">
        <f>$J$18</f>
        <v>17</v>
      </c>
      <c r="C319" s="86" t="s">
        <v>326</v>
      </c>
      <c r="D319" s="87" t="str">
        <f>IF(C319&lt;&gt;"",VLOOKUP(C319,'Dummy Table'!$B$3:$C$30,2,FALSE),"")</f>
        <v>Inglaterra</v>
      </c>
      <c r="E319" s="87" t="str">
        <f>IF(C319&lt;&gt;"",VLOOKUP(C319,'Dummy Table'!$B$3:$D$30,3,FALSE),"")</f>
        <v>Haas</v>
      </c>
      <c r="F319" s="139" t="s">
        <v>428</v>
      </c>
      <c r="G319" s="75"/>
      <c r="H319" s="75"/>
      <c r="I319" s="75"/>
    </row>
    <row r="320" spans="1:26" x14ac:dyDescent="0.2">
      <c r="B320" s="138">
        <f>$J$19</f>
        <v>18</v>
      </c>
      <c r="C320" s="86" t="s">
        <v>310</v>
      </c>
      <c r="D320" s="87" t="str">
        <f>IF(C320&lt;&gt;"",VLOOKUP(C320,'Dummy Table'!$B$3:$C$30,2,FALSE),"")</f>
        <v>Tailandia</v>
      </c>
      <c r="E320" s="87" t="str">
        <f>IF(C320&lt;&gt;"",VLOOKUP(C320,'Dummy Table'!$B$3:$D$30,3,FALSE),"")</f>
        <v>Williams</v>
      </c>
      <c r="F320" s="139" t="s">
        <v>428</v>
      </c>
      <c r="G320" s="75"/>
      <c r="H320" s="75"/>
      <c r="I320" s="75"/>
      <c r="K320" s="79"/>
    </row>
    <row r="321" spans="1:26" x14ac:dyDescent="0.2">
      <c r="B321" s="138">
        <f>$J$20</f>
        <v>19</v>
      </c>
      <c r="C321" s="86" t="s">
        <v>30</v>
      </c>
      <c r="D321" s="87" t="str">
        <f>IF(C321&lt;&gt;"",VLOOKUP(C321,'Dummy Table'!$B$3:$C$30,2,FALSE),"")</f>
        <v>Espanha</v>
      </c>
      <c r="E321" s="87" t="str">
        <f>IF(C321&lt;&gt;"",VLOOKUP(C321,'Dummy Table'!$B$3:$D$30,3,FALSE),"")</f>
        <v>Aston Martin</v>
      </c>
      <c r="F321" s="139" t="s">
        <v>428</v>
      </c>
      <c r="G321" s="75"/>
      <c r="H321" s="75"/>
      <c r="I321" s="75"/>
    </row>
    <row r="322" spans="1:26" x14ac:dyDescent="0.2">
      <c r="B322" s="138">
        <f>$J$21</f>
        <v>20</v>
      </c>
      <c r="C322" s="86" t="s">
        <v>252</v>
      </c>
      <c r="D322" s="87" t="str">
        <f>IF(C322&lt;&gt;"",VLOOKUP(C322,'Dummy Table'!$B$3:$C$30,2,FALSE),"")</f>
        <v>Alemanha</v>
      </c>
      <c r="E322" s="87" t="str">
        <f>IF(C322&lt;&gt;"",VLOOKUP(C322,'Dummy Table'!$B$3:$D$30,3,FALSE),"")</f>
        <v>Audi</v>
      </c>
      <c r="F322" s="139" t="s">
        <v>428</v>
      </c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 t="s">
        <v>398</v>
      </c>
      <c r="D323" s="87" t="str">
        <f>IF(C323&lt;&gt;"",VLOOKUP(C323,'Dummy Table'!$B$3:$C$30,2,FALSE),"")</f>
        <v>Finlândia</v>
      </c>
      <c r="E323" s="87" t="str">
        <f>IF(C323&lt;&gt;"",VLOOKUP(C323,'Dummy Table'!$B$3:$D$30,3,FALSE),"")</f>
        <v>Cadillac</v>
      </c>
      <c r="F323" s="139" t="s">
        <v>428</v>
      </c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 t="s">
        <v>306</v>
      </c>
      <c r="D324" s="87" t="str">
        <f>IF(C324&lt;&gt;"",VLOOKUP(C324,'Dummy Table'!$B$3:$C$30,2,FALSE),"")</f>
        <v>Canadá</v>
      </c>
      <c r="E324" s="87" t="str">
        <f>IF(C324&lt;&gt;"",VLOOKUP(C324,'Dummy Table'!$B$3:$D$30,3,FALSE),"")</f>
        <v>Aston Martin</v>
      </c>
      <c r="F324" s="139" t="s">
        <v>428</v>
      </c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 t="str">
        <f>IF(F325="",$J$24,"Ret")</f>
        <v/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 t="s">
        <v>354</v>
      </c>
      <c r="D327" s="89" t="str">
        <f>IF(C327&lt;&gt;"",VLOOKUP(C327,'Dummy Table'!$B$3:$C$30,2,FALSE),"")</f>
        <v>Inglaterra</v>
      </c>
      <c r="E327" s="89" t="str">
        <f>IF(C327&lt;&gt;"",VLOOKUP(C327,'Dummy Table'!$B$3:$D$30,3,FALSE),"")</f>
        <v>Mercedes</v>
      </c>
      <c r="F327" s="142"/>
      <c r="H327" s="75"/>
      <c r="K327" s="74"/>
    </row>
    <row r="328" spans="1:26" ht="13.5" thickBot="1" x14ac:dyDescent="0.25">
      <c r="B328" s="143" t="s">
        <v>234</v>
      </c>
      <c r="C328" s="144" t="s">
        <v>1</v>
      </c>
      <c r="D328" s="145" t="str">
        <f>IF(C328&lt;&gt;"",VLOOKUP(C328,'Dummy Table'!$B$3:$C$30,2,FALSE),"")</f>
        <v>Inglaterra</v>
      </c>
      <c r="E328" s="145" t="str">
        <f>IF(C328&lt;&gt;"",VLOOKUP(C328,'Dummy Table'!$B$3:$D$30,3,FALSE),"")</f>
        <v>Ferrari</v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1" t="str">
        <f>VLOOKUP($A329,'Calendário atual'!$A$2:$E$30,4,FALSE)</f>
        <v>FORMULA 1 LENOVO AUSTRIAN GRAND PRIX 2026</v>
      </c>
      <c r="D329" s="171"/>
      <c r="E329" s="171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 t="s">
        <v>354</v>
      </c>
      <c r="D331" s="87" t="str">
        <f>IF(C331&lt;&gt;"",VLOOKUP(C331,'Dummy Table'!$B$3:$C$30,2,FALSE),"")</f>
        <v>Inglaterra</v>
      </c>
      <c r="E331" s="87" t="str">
        <f>IF(C331&lt;&gt;"",VLOOKUP(C331,'Dummy Table'!$B$3:$D$30,3,FALSE),"")</f>
        <v>Mercedes</v>
      </c>
      <c r="F331" s="137">
        <v>25</v>
      </c>
      <c r="G331" s="69">
        <f>IF(C331="",F331,0)</f>
        <v>0</v>
      </c>
      <c r="H331" s="69">
        <f>IF(C331="",F331,0)</f>
        <v>0</v>
      </c>
      <c r="I331" s="69">
        <f>IF(C331="",1,0)</f>
        <v>0</v>
      </c>
      <c r="K331" s="74"/>
    </row>
    <row r="332" spans="1:26" x14ac:dyDescent="0.2">
      <c r="B332" s="138">
        <f>$J$3</f>
        <v>2</v>
      </c>
      <c r="C332" s="86" t="s">
        <v>300</v>
      </c>
      <c r="D332" s="87" t="str">
        <f>IF(C332&lt;&gt;"",VLOOKUP(C332,'Dummy Table'!$B$3:$C$30,2,FALSE),"")</f>
        <v>Holanda</v>
      </c>
      <c r="E332" s="87" t="str">
        <f>IF(C332&lt;&gt;"",VLOOKUP(C332,'Dummy Table'!$B$3:$D$30,3,FALSE),"")</f>
        <v>Red Bull</v>
      </c>
      <c r="F332" s="137">
        <v>18</v>
      </c>
      <c r="H332" s="69">
        <f>IF(C332="",F332,0)</f>
        <v>0</v>
      </c>
      <c r="K332" s="74"/>
    </row>
    <row r="333" spans="1:26" x14ac:dyDescent="0.2">
      <c r="B333" s="138">
        <f>$J$4</f>
        <v>3</v>
      </c>
      <c r="C333" s="86" t="s">
        <v>325</v>
      </c>
      <c r="D333" s="87" t="str">
        <f>IF(C333&lt;&gt;"",VLOOKUP(C333,'Dummy Table'!$B$3:$C$30,2,FALSE),"")</f>
        <v>Itália</v>
      </c>
      <c r="E333" s="87" t="str">
        <f>IF(C333&lt;&gt;"",VLOOKUP(C333,'Dummy Table'!$B$3:$D$30,3,FALSE),"")</f>
        <v>Mercedes</v>
      </c>
      <c r="F333" s="137">
        <v>15</v>
      </c>
    </row>
    <row r="334" spans="1:26" x14ac:dyDescent="0.2">
      <c r="B334" s="138">
        <f>$J$5</f>
        <v>4</v>
      </c>
      <c r="C334" s="86" t="s">
        <v>324</v>
      </c>
      <c r="D334" s="87" t="str">
        <f>IF(C334&lt;&gt;"",VLOOKUP(C334,'Dummy Table'!$B$3:$C$30,2,FALSE),"")</f>
        <v>Austrália</v>
      </c>
      <c r="E334" s="87" t="str">
        <f>IF(C334&lt;&gt;"",VLOOKUP(C334,'Dummy Table'!$B$3:$D$30,3,FALSE),"")</f>
        <v>McLaren</v>
      </c>
      <c r="F334" s="137">
        <v>12</v>
      </c>
      <c r="K334" s="79"/>
    </row>
    <row r="335" spans="1:26" x14ac:dyDescent="0.2">
      <c r="B335" s="138">
        <f>$J$6</f>
        <v>5</v>
      </c>
      <c r="C335" s="86" t="s">
        <v>1</v>
      </c>
      <c r="D335" s="87" t="str">
        <f>IF(C335&lt;&gt;"",VLOOKUP(C335,'Dummy Table'!$B$3:$C$30,2,FALSE),"")</f>
        <v>Inglaterra</v>
      </c>
      <c r="E335" s="87" t="str">
        <f>IF(C335&lt;&gt;"",VLOOKUP(C335,'Dummy Table'!$B$3:$D$30,3,FALSE),"")</f>
        <v>Ferrari</v>
      </c>
      <c r="F335" s="137">
        <v>10</v>
      </c>
    </row>
    <row r="336" spans="1:26" x14ac:dyDescent="0.2">
      <c r="B336" s="138">
        <f>$J$7</f>
        <v>6</v>
      </c>
      <c r="C336" s="86" t="s">
        <v>407</v>
      </c>
      <c r="D336" s="87" t="str">
        <f>IF(C336&lt;&gt;"",VLOOKUP(C336,'Dummy Table'!$B$3:$C$30,2,FALSE),"")</f>
        <v>França</v>
      </c>
      <c r="E336" s="87" t="str">
        <f>IF(C336&lt;&gt;"",VLOOKUP(C336,'Dummy Table'!$B$3:$D$30,3,FALSE),"")</f>
        <v>Red Bull</v>
      </c>
      <c r="F336" s="137">
        <v>8</v>
      </c>
      <c r="K336" s="74"/>
    </row>
    <row r="337" spans="1:26" x14ac:dyDescent="0.2">
      <c r="B337" s="138">
        <f>$J$8</f>
        <v>7</v>
      </c>
      <c r="C337" s="86" t="s">
        <v>311</v>
      </c>
      <c r="D337" s="87" t="str">
        <f>IF(C337&lt;&gt;"",VLOOKUP(C337,'Dummy Table'!$B$3:$C$30,2,FALSE),"")</f>
        <v>Inglaterra</v>
      </c>
      <c r="E337" s="87" t="str">
        <f>IF(C337&lt;&gt;"",VLOOKUP(C337,'Dummy Table'!$B$3:$D$30,3,FALSE),"")</f>
        <v>McLaren</v>
      </c>
      <c r="F337" s="137">
        <v>6</v>
      </c>
      <c r="K337" s="74"/>
    </row>
    <row r="338" spans="1:26" x14ac:dyDescent="0.2">
      <c r="B338" s="138">
        <f>$J$9</f>
        <v>8</v>
      </c>
      <c r="C338" s="86" t="s">
        <v>308</v>
      </c>
      <c r="D338" s="87" t="str">
        <f>IF(C338&lt;&gt;"",VLOOKUP(C338,'Dummy Table'!$B$3:$C$30,2,FALSE),"")</f>
        <v>Mônaco</v>
      </c>
      <c r="E338" s="87" t="str">
        <f>IF(C338&lt;&gt;"",VLOOKUP(C338,'Dummy Table'!$B$3:$D$30,3,FALSE),"")</f>
        <v>Ferrari</v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 t="s">
        <v>409</v>
      </c>
      <c r="D339" s="87" t="str">
        <f>IF(C339&lt;&gt;"",VLOOKUP(C339,'Dummy Table'!$B$3:$C$30,2,FALSE),"")</f>
        <v>Austrália</v>
      </c>
      <c r="E339" s="87" t="str">
        <f>IF(C339&lt;&gt;"",VLOOKUP(C339,'Dummy Table'!$B$3:$D$30,3,FALSE),"")</f>
        <v>Racing Bulls</v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 t="s">
        <v>408</v>
      </c>
      <c r="D340" s="87" t="str">
        <f>IF(C340&lt;&gt;"",VLOOKUP(C340,'Dummy Table'!$B$3:$C$30,2,FALSE),"")</f>
        <v>Inglaterra</v>
      </c>
      <c r="E340" s="87" t="str">
        <f>IF(C340&lt;&gt;"",VLOOKUP(C340,'Dummy Table'!$B$3:$D$30,3,FALSE),"")</f>
        <v>Racing Bulls</v>
      </c>
      <c r="F340" s="137">
        <v>1</v>
      </c>
      <c r="K340" s="74"/>
    </row>
    <row r="341" spans="1:26" x14ac:dyDescent="0.2">
      <c r="B341" s="138">
        <f>$J$12</f>
        <v>11</v>
      </c>
      <c r="C341" s="86" t="s">
        <v>330</v>
      </c>
      <c r="D341" s="87" t="str">
        <f>IF(C341&lt;&gt;"",VLOOKUP(C341,'Dummy Table'!$B$3:$C$30,2,FALSE),"")</f>
        <v>Brasil</v>
      </c>
      <c r="E341" s="87" t="str">
        <f>IF(C341&lt;&gt;"",VLOOKUP(C341,'Dummy Table'!$B$3:$D$30,3,FALSE),"")</f>
        <v>Audi</v>
      </c>
      <c r="F341" s="139"/>
      <c r="K341" s="74"/>
    </row>
    <row r="342" spans="1:26" x14ac:dyDescent="0.2">
      <c r="B342" s="138">
        <f>$J$13</f>
        <v>12</v>
      </c>
      <c r="C342" s="86" t="s">
        <v>252</v>
      </c>
      <c r="D342" s="87" t="str">
        <f>IF(C342&lt;&gt;"",VLOOKUP(C342,'Dummy Table'!$B$3:$C$30,2,FALSE),"")</f>
        <v>Alemanha</v>
      </c>
      <c r="E342" s="87" t="str">
        <f>IF(C342&lt;&gt;"",VLOOKUP(C342,'Dummy Table'!$B$3:$D$30,3,FALSE),"")</f>
        <v>Audi</v>
      </c>
      <c r="F342" s="139"/>
      <c r="K342" s="74"/>
    </row>
    <row r="343" spans="1:26" x14ac:dyDescent="0.2">
      <c r="B343" s="138">
        <f>$J$14</f>
        <v>13</v>
      </c>
      <c r="C343" s="86" t="s">
        <v>307</v>
      </c>
      <c r="D343" s="87" t="str">
        <f>IF(C343&lt;&gt;"",VLOOKUP(C343,'Dummy Table'!$B$3:$C$30,2,FALSE),"")</f>
        <v>França</v>
      </c>
      <c r="E343" s="87" t="str">
        <f>IF(C343&lt;&gt;"",VLOOKUP(C343,'Dummy Table'!$B$3:$D$30,3,FALSE),"")</f>
        <v>Alpine</v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 t="s">
        <v>326</v>
      </c>
      <c r="D344" s="87" t="str">
        <f>IF(C344&lt;&gt;"",VLOOKUP(C344,'Dummy Table'!$B$3:$C$30,2,FALSE),"")</f>
        <v>Inglaterra</v>
      </c>
      <c r="E344" s="87" t="str">
        <f>IF(C344&lt;&gt;"",VLOOKUP(C344,'Dummy Table'!$B$3:$D$30,3,FALSE),"")</f>
        <v>Haas</v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 t="s">
        <v>413</v>
      </c>
      <c r="D345" s="87" t="str">
        <f>IF(C345&lt;&gt;"",VLOOKUP(C345,'Dummy Table'!$B$3:$C$30,2,FALSE),"")</f>
        <v>Argentina</v>
      </c>
      <c r="E345" s="87" t="str">
        <f>IF(C345&lt;&gt;"",VLOOKUP(C345,'Dummy Table'!$B$3:$D$30,3,FALSE),"")</f>
        <v>Alpine</v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 t="s">
        <v>314</v>
      </c>
      <c r="D346" s="87" t="str">
        <f>IF(C346&lt;&gt;"",VLOOKUP(C346,'Dummy Table'!$B$3:$C$30,2,FALSE),"")</f>
        <v>França</v>
      </c>
      <c r="E346" s="87" t="str">
        <f>IF(C346&lt;&gt;"",VLOOKUP(C346,'Dummy Table'!$B$3:$D$30,3,FALSE),"")</f>
        <v>Haas</v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 t="s">
        <v>310</v>
      </c>
      <c r="D347" s="87" t="str">
        <f>IF(C347&lt;&gt;"",VLOOKUP(C347,'Dummy Table'!$B$3:$C$30,2,FALSE),"")</f>
        <v>Tailandia</v>
      </c>
      <c r="E347" s="87" t="str">
        <f>IF(C347&lt;&gt;"",VLOOKUP(C347,'Dummy Table'!$B$3:$D$30,3,FALSE),"")</f>
        <v>Williams</v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 t="s">
        <v>30</v>
      </c>
      <c r="D348" s="87" t="str">
        <f>IF(C348&lt;&gt;"",VLOOKUP(C348,'Dummy Table'!$B$3:$C$30,2,FALSE),"")</f>
        <v>Espanha</v>
      </c>
      <c r="E348" s="87" t="str">
        <f>IF(C348&lt;&gt;"",VLOOKUP(C348,'Dummy Table'!$B$3:$D$30,3,FALSE),"")</f>
        <v>Aston Martin</v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 t="s">
        <v>306</v>
      </c>
      <c r="D349" s="87" t="str">
        <f>IF(C349&lt;&gt;"",VLOOKUP(C349,'Dummy Table'!$B$3:$C$30,2,FALSE),"")</f>
        <v>Canadá</v>
      </c>
      <c r="E349" s="87" t="str">
        <f>IF(C349&lt;&gt;"",VLOOKUP(C349,'Dummy Table'!$B$3:$D$30,3,FALSE),"")</f>
        <v>Aston Martin</v>
      </c>
      <c r="F349" s="139" t="s">
        <v>428</v>
      </c>
      <c r="G349" s="75"/>
      <c r="H349" s="75"/>
      <c r="I349" s="75"/>
    </row>
    <row r="350" spans="1:26" x14ac:dyDescent="0.2">
      <c r="B350" s="138">
        <f>$J$21</f>
        <v>20</v>
      </c>
      <c r="C350" s="86" t="s">
        <v>329</v>
      </c>
      <c r="D350" s="87" t="str">
        <f>IF(C350&lt;&gt;"",VLOOKUP(C350,'Dummy Table'!$B$3:$C$30,2,FALSE),"")</f>
        <v>Espanha</v>
      </c>
      <c r="E350" s="87" t="str">
        <f>IF(C350&lt;&gt;"",VLOOKUP(C350,'Dummy Table'!$B$3:$D$30,3,FALSE),"")</f>
        <v>Williams</v>
      </c>
      <c r="F350" s="139" t="s">
        <v>428</v>
      </c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 t="s">
        <v>397</v>
      </c>
      <c r="D351" s="87" t="str">
        <f>IF(C351&lt;&gt;"",VLOOKUP(C351,'Dummy Table'!$B$3:$C$30,2,FALSE),"")</f>
        <v>México</v>
      </c>
      <c r="E351" s="87" t="str">
        <f>IF(C351&lt;&gt;"",VLOOKUP(C351,'Dummy Table'!$B$3:$D$30,3,FALSE),"")</f>
        <v>Cadillac</v>
      </c>
      <c r="F351" s="139" t="s">
        <v>428</v>
      </c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 t="s">
        <v>398</v>
      </c>
      <c r="D352" s="87" t="str">
        <f>IF(C352&lt;&gt;"",VLOOKUP(C352,'Dummy Table'!$B$3:$C$30,2,FALSE),"")</f>
        <v>Finlândia</v>
      </c>
      <c r="E352" s="87" t="str">
        <f>IF(C352&lt;&gt;"",VLOOKUP(C352,'Dummy Table'!$B$3:$D$30,3,FALSE),"")</f>
        <v>Cadillac</v>
      </c>
      <c r="F352" s="139" t="s">
        <v>428</v>
      </c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 t="str">
        <f>IF(F353="",$J$24,"Ret")</f>
        <v/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 t="s">
        <v>354</v>
      </c>
      <c r="D355" s="89" t="str">
        <f>IF(C355&lt;&gt;"",VLOOKUP(C355,'Dummy Table'!$B$3:$C$30,2,FALSE),"")</f>
        <v>Inglaterra</v>
      </c>
      <c r="E355" s="89" t="str">
        <f>IF(C355&lt;&gt;"",VLOOKUP(C355,'Dummy Table'!$B$3:$D$30,3,FALSE),"")</f>
        <v>Mercedes</v>
      </c>
      <c r="F355" s="142"/>
      <c r="H355" s="75"/>
      <c r="K355" s="74"/>
    </row>
    <row r="356" spans="1:26" ht="13.5" thickBot="1" x14ac:dyDescent="0.25">
      <c r="B356" s="143" t="s">
        <v>234</v>
      </c>
      <c r="C356" s="144" t="s">
        <v>325</v>
      </c>
      <c r="D356" s="145" t="str">
        <f>IF(C356&lt;&gt;"",VLOOKUP(C356,'Dummy Table'!$B$3:$C$30,2,FALSE),"")</f>
        <v>Itália</v>
      </c>
      <c r="E356" s="145" t="str">
        <f>IF(C356&lt;&gt;"",VLOOKUP(C356,'Dummy Table'!$B$3:$D$30,3,FALSE),"")</f>
        <v>Mercedes</v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1" t="str">
        <f>VLOOKUP($A357,'Calendário atual'!$A$2:$E$30,4,FALSE)</f>
        <v>FORMULA 1 PIRELLI BRITISH GRAND PRIX 2026</v>
      </c>
      <c r="D357" s="171"/>
      <c r="E357" s="171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355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 t="s">
        <v>325</v>
      </c>
      <c r="D360" s="87" t="str">
        <f>IF(C360&lt;&gt;"",VLOOKUP(C360,'Dummy Table'!$B$3:$C$30,2,FALSE),"")</f>
        <v>Itália</v>
      </c>
      <c r="E360" s="87" t="str">
        <f>IF(C360&lt;&gt;"",VLOOKUP(C360,'Dummy Table'!$B$3:$D$30,3,FALSE),"")</f>
        <v>Mercedes</v>
      </c>
      <c r="F360" s="137">
        <v>8</v>
      </c>
      <c r="G360" s="69">
        <f>IF(C360="",F360,0)</f>
        <v>0</v>
      </c>
      <c r="H360" s="69">
        <f>IF(C360="",F360,0)</f>
        <v>0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 t="s">
        <v>1</v>
      </c>
      <c r="D361" s="87" t="str">
        <f>IF(C361&lt;&gt;"",VLOOKUP(C361,'Dummy Table'!$B$3:$C$30,2,FALSE),"")</f>
        <v>Inglaterra</v>
      </c>
      <c r="E361" s="87" t="str">
        <f>IF(C361&lt;&gt;"",VLOOKUP(C361,'Dummy Table'!$B$3:$D$30,3,FALSE),"")</f>
        <v>Ferrari</v>
      </c>
      <c r="F361" s="137">
        <v>7</v>
      </c>
      <c r="H361" s="69">
        <f>IF(C361="",F361,0)</f>
        <v>0</v>
      </c>
      <c r="K361" s="74"/>
    </row>
    <row r="362" spans="1:26" x14ac:dyDescent="0.2">
      <c r="B362" s="138">
        <f>$J$4</f>
        <v>3</v>
      </c>
      <c r="C362" s="86" t="s">
        <v>311</v>
      </c>
      <c r="D362" s="87" t="str">
        <f>IF(C362&lt;&gt;"",VLOOKUP(C362,'Dummy Table'!$B$3:$C$30,2,FALSE),"")</f>
        <v>Inglaterra</v>
      </c>
      <c r="E362" s="87" t="str">
        <f>IF(C362&lt;&gt;"",VLOOKUP(C362,'Dummy Table'!$B$3:$D$30,3,FALSE),"")</f>
        <v>McLaren</v>
      </c>
      <c r="F362" s="137">
        <v>6</v>
      </c>
    </row>
    <row r="363" spans="1:26" x14ac:dyDescent="0.2">
      <c r="B363" s="138">
        <f>$J$5</f>
        <v>4</v>
      </c>
      <c r="C363" s="86" t="s">
        <v>354</v>
      </c>
      <c r="D363" s="87" t="str">
        <f>IF(C363&lt;&gt;"",VLOOKUP(C363,'Dummy Table'!$B$3:$C$30,2,FALSE),"")</f>
        <v>Inglaterra</v>
      </c>
      <c r="E363" s="87" t="str">
        <f>IF(C363&lt;&gt;"",VLOOKUP(C363,'Dummy Table'!$B$3:$D$30,3,FALSE),"")</f>
        <v>Mercedes</v>
      </c>
      <c r="F363" s="137">
        <v>5</v>
      </c>
      <c r="K363" s="79"/>
    </row>
    <row r="364" spans="1:26" x14ac:dyDescent="0.2">
      <c r="B364" s="138">
        <f>$J$6</f>
        <v>5</v>
      </c>
      <c r="C364" s="86" t="s">
        <v>308</v>
      </c>
      <c r="D364" s="87" t="str">
        <f>IF(C364&lt;&gt;"",VLOOKUP(C364,'Dummy Table'!$B$3:$C$30,2,FALSE),"")</f>
        <v>Mônaco</v>
      </c>
      <c r="E364" s="87" t="str">
        <f>IF(C364&lt;&gt;"",VLOOKUP(C364,'Dummy Table'!$B$3:$D$30,3,FALSE),"")</f>
        <v>Ferrari</v>
      </c>
      <c r="F364" s="137">
        <v>4</v>
      </c>
    </row>
    <row r="365" spans="1:26" x14ac:dyDescent="0.2">
      <c r="B365" s="138">
        <f>$J$7</f>
        <v>6</v>
      </c>
      <c r="C365" s="86" t="s">
        <v>300</v>
      </c>
      <c r="D365" s="87" t="str">
        <f>IF(C365&lt;&gt;"",VLOOKUP(C365,'Dummy Table'!$B$3:$C$30,2,FALSE),"")</f>
        <v>Holanda</v>
      </c>
      <c r="E365" s="87" t="str">
        <f>IF(C365&lt;&gt;"",VLOOKUP(C365,'Dummy Table'!$B$3:$D$30,3,FALSE),"")</f>
        <v>Red Bull</v>
      </c>
      <c r="F365" s="137">
        <v>3</v>
      </c>
      <c r="K365" s="74"/>
    </row>
    <row r="366" spans="1:26" x14ac:dyDescent="0.2">
      <c r="B366" s="138">
        <f>$J$8</f>
        <v>7</v>
      </c>
      <c r="C366" s="86" t="s">
        <v>324</v>
      </c>
      <c r="D366" s="87" t="str">
        <f>IF(C366&lt;&gt;"",VLOOKUP(C366,'Dummy Table'!$B$3:$C$30,2,FALSE),"")</f>
        <v>Austrália</v>
      </c>
      <c r="E366" s="87" t="str">
        <f>IF(C366&lt;&gt;"",VLOOKUP(C366,'Dummy Table'!$B$3:$D$30,3,FALSE),"")</f>
        <v>McLaren</v>
      </c>
      <c r="F366" s="137">
        <v>2</v>
      </c>
      <c r="K366" s="74"/>
    </row>
    <row r="367" spans="1:26" x14ac:dyDescent="0.2">
      <c r="B367" s="138">
        <f>$J$9</f>
        <v>8</v>
      </c>
      <c r="C367" s="86" t="s">
        <v>409</v>
      </c>
      <c r="D367" s="87" t="str">
        <f>IF(C367&lt;&gt;"",VLOOKUP(C367,'Dummy Table'!$B$3:$C$30,2,FALSE),"")</f>
        <v>Austrália</v>
      </c>
      <c r="E367" s="87" t="str">
        <f>IF(C367&lt;&gt;"",VLOOKUP(C367,'Dummy Table'!$B$3:$D$30,3,FALSE),"")</f>
        <v>Racing Bulls</v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 t="s">
        <v>407</v>
      </c>
      <c r="D368" s="87" t="str">
        <f>IF(C368&lt;&gt;"",VLOOKUP(C368,'Dummy Table'!$B$3:$C$30,2,FALSE),"")</f>
        <v>França</v>
      </c>
      <c r="E368" s="87" t="str">
        <f>IF(C368&lt;&gt;"",VLOOKUP(C368,'Dummy Table'!$B$3:$D$30,3,FALSE),"")</f>
        <v>Red Bull</v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 t="s">
        <v>408</v>
      </c>
      <c r="D369" s="87" t="str">
        <f>IF(C369&lt;&gt;"",VLOOKUP(C369,'Dummy Table'!$B$3:$C$30,2,FALSE),"")</f>
        <v>Inglaterra</v>
      </c>
      <c r="E369" s="87" t="str">
        <f>IF(C369&lt;&gt;"",VLOOKUP(C369,'Dummy Table'!$B$3:$D$30,3,FALSE),"")</f>
        <v>Racing Bulls</v>
      </c>
      <c r="F369" s="137"/>
      <c r="K369" s="74"/>
    </row>
    <row r="370" spans="2:24" x14ac:dyDescent="0.2">
      <c r="B370" s="138">
        <f>$J$12</f>
        <v>11</v>
      </c>
      <c r="C370" s="86" t="s">
        <v>307</v>
      </c>
      <c r="D370" s="87" t="str">
        <f>IF(C370&lt;&gt;"",VLOOKUP(C370,'Dummy Table'!$B$3:$C$30,2,FALSE),"")</f>
        <v>França</v>
      </c>
      <c r="E370" s="87" t="str">
        <f>IF(C370&lt;&gt;"",VLOOKUP(C370,'Dummy Table'!$B$3:$D$30,3,FALSE),"")</f>
        <v>Alpine</v>
      </c>
      <c r="F370" s="139"/>
      <c r="K370" s="74"/>
    </row>
    <row r="371" spans="2:24" x14ac:dyDescent="0.2">
      <c r="B371" s="138">
        <f>$J$13</f>
        <v>12</v>
      </c>
      <c r="C371" s="86" t="s">
        <v>413</v>
      </c>
      <c r="D371" s="87" t="str">
        <f>IF(C371&lt;&gt;"",VLOOKUP(C371,'Dummy Table'!$B$3:$C$30,2,FALSE),"")</f>
        <v>Argentina</v>
      </c>
      <c r="E371" s="87" t="str">
        <f>IF(C371&lt;&gt;"",VLOOKUP(C371,'Dummy Table'!$B$3:$D$30,3,FALSE),"")</f>
        <v>Alpine</v>
      </c>
      <c r="F371" s="139"/>
      <c r="K371" s="74"/>
    </row>
    <row r="372" spans="2:24" x14ac:dyDescent="0.2">
      <c r="B372" s="138">
        <f>$J$14</f>
        <v>13</v>
      </c>
      <c r="C372" s="86" t="s">
        <v>330</v>
      </c>
      <c r="D372" s="87" t="str">
        <f>IF(C372&lt;&gt;"",VLOOKUP(C372,'Dummy Table'!$B$3:$C$30,2,FALSE),"")</f>
        <v>Brasil</v>
      </c>
      <c r="E372" s="87" t="str">
        <f>IF(C372&lt;&gt;"",VLOOKUP(C372,'Dummy Table'!$B$3:$D$30,3,FALSE),"")</f>
        <v>Audi</v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 t="s">
        <v>326</v>
      </c>
      <c r="D373" s="87" t="str">
        <f>IF(C373&lt;&gt;"",VLOOKUP(C373,'Dummy Table'!$B$3:$C$30,2,FALSE),"")</f>
        <v>Inglaterra</v>
      </c>
      <c r="E373" s="87" t="str">
        <f>IF(C373&lt;&gt;"",VLOOKUP(C373,'Dummy Table'!$B$3:$D$30,3,FALSE),"")</f>
        <v>Haas</v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 t="s">
        <v>252</v>
      </c>
      <c r="D374" s="87" t="str">
        <f>IF(C374&lt;&gt;"",VLOOKUP(C374,'Dummy Table'!$B$3:$C$30,2,FALSE),"")</f>
        <v>Alemanha</v>
      </c>
      <c r="E374" s="87" t="str">
        <f>IF(C374&lt;&gt;"",VLOOKUP(C374,'Dummy Table'!$B$3:$D$30,3,FALSE),"")</f>
        <v>Audi</v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 t="s">
        <v>314</v>
      </c>
      <c r="D375" s="87" t="str">
        <f>IF(C375&lt;&gt;"",VLOOKUP(C375,'Dummy Table'!$B$3:$C$30,2,FALSE),"")</f>
        <v>França</v>
      </c>
      <c r="E375" s="87" t="str">
        <f>IF(C375&lt;&gt;"",VLOOKUP(C375,'Dummy Table'!$B$3:$D$30,3,FALSE),"")</f>
        <v>Haas</v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 t="s">
        <v>329</v>
      </c>
      <c r="D376" s="87" t="str">
        <f>IF(C376&lt;&gt;"",VLOOKUP(C376,'Dummy Table'!$B$3:$C$30,2,FALSE),"")</f>
        <v>Espanha</v>
      </c>
      <c r="E376" s="87" t="str">
        <f>IF(C376&lt;&gt;"",VLOOKUP(C376,'Dummy Table'!$B$3:$D$30,3,FALSE),"")</f>
        <v>Williams</v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 t="s">
        <v>310</v>
      </c>
      <c r="D377" s="87" t="str">
        <f>IF(C377&lt;&gt;"",VLOOKUP(C377,'Dummy Table'!$B$3:$C$30,2,FALSE),"")</f>
        <v>Tailandia</v>
      </c>
      <c r="E377" s="87" t="str">
        <f>IF(C377&lt;&gt;"",VLOOKUP(C377,'Dummy Table'!$B$3:$D$30,3,FALSE),"")</f>
        <v>Williams</v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 t="s">
        <v>398</v>
      </c>
      <c r="D378" s="87" t="str">
        <f>IF(C378&lt;&gt;"",VLOOKUP(C378,'Dummy Table'!$B$3:$C$30,2,FALSE),"")</f>
        <v>Finlândia</v>
      </c>
      <c r="E378" s="87" t="str">
        <f>IF(C378&lt;&gt;"",VLOOKUP(C378,'Dummy Table'!$B$3:$D$30,3,FALSE),"")</f>
        <v>Cadillac</v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 t="s">
        <v>30</v>
      </c>
      <c r="D379" s="87" t="str">
        <f>IF(C379&lt;&gt;"",VLOOKUP(C379,'Dummy Table'!$B$3:$C$30,2,FALSE),"")</f>
        <v>Espanha</v>
      </c>
      <c r="E379" s="87" t="str">
        <f>IF(C379&lt;&gt;"",VLOOKUP(C379,'Dummy Table'!$B$3:$D$30,3,FALSE),"")</f>
        <v>Aston Martin</v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 t="s">
        <v>306</v>
      </c>
      <c r="D380" s="87" t="str">
        <f>IF(C380&lt;&gt;"",VLOOKUP(C380,'Dummy Table'!$B$3:$C$30,2,FALSE),"")</f>
        <v>Canadá</v>
      </c>
      <c r="E380" s="87" t="str">
        <f>IF(C380&lt;&gt;"",VLOOKUP(C380,'Dummy Table'!$B$3:$D$30,3,FALSE),"")</f>
        <v>Aston Martin</v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 t="s">
        <v>397</v>
      </c>
      <c r="D381" s="87" t="str">
        <f>IF(C381&lt;&gt;"",VLOOKUP(C381,'Dummy Table'!$B$3:$C$30,2,FALSE),"")</f>
        <v>México</v>
      </c>
      <c r="E381" s="87" t="str">
        <f>IF(C381&lt;&gt;"",VLOOKUP(C381,'Dummy Table'!$B$3:$D$30,3,FALSE),"")</f>
        <v>Cadillac</v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356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 t="s">
        <v>308</v>
      </c>
      <c r="D384" s="87" t="str">
        <f>IF(C384&lt;&gt;"",VLOOKUP(C384,'Dummy Table'!$B$3:$C$30,2,FALSE),"")</f>
        <v>Mônaco</v>
      </c>
      <c r="E384" s="87" t="str">
        <f>IF(C384&lt;&gt;"",VLOOKUP(C384,'Dummy Table'!$B$3:$D$30,3,FALSE),"")</f>
        <v>Ferrari</v>
      </c>
      <c r="F384" s="137">
        <v>25</v>
      </c>
      <c r="G384" s="69">
        <f>IF(C384="",F384,0)</f>
        <v>0</v>
      </c>
      <c r="H384" s="69">
        <f>IF(C384="",F384,0)</f>
        <v>0</v>
      </c>
      <c r="I384" s="69">
        <f>IF(C384="",1,0)</f>
        <v>0</v>
      </c>
      <c r="K384" s="74"/>
    </row>
    <row r="385" spans="1:26" x14ac:dyDescent="0.2">
      <c r="B385" s="138">
        <f>$J$3</f>
        <v>2</v>
      </c>
      <c r="C385" s="86" t="s">
        <v>354</v>
      </c>
      <c r="D385" s="87" t="str">
        <f>IF(C385&lt;&gt;"",VLOOKUP(C385,'Dummy Table'!$B$3:$C$30,2,FALSE),"")</f>
        <v>Inglaterra</v>
      </c>
      <c r="E385" s="87" t="str">
        <f>IF(C385&lt;&gt;"",VLOOKUP(C385,'Dummy Table'!$B$3:$D$30,3,FALSE),"")</f>
        <v>Mercedes</v>
      </c>
      <c r="F385" s="137">
        <v>18</v>
      </c>
      <c r="H385" s="69">
        <f>IF(C385="",F385,0)</f>
        <v>0</v>
      </c>
      <c r="K385" s="74"/>
    </row>
    <row r="386" spans="1:26" x14ac:dyDescent="0.2">
      <c r="B386" s="138">
        <f>$J$4</f>
        <v>3</v>
      </c>
      <c r="C386" s="86" t="s">
        <v>1</v>
      </c>
      <c r="D386" s="87" t="str">
        <f>IF(C386&lt;&gt;"",VLOOKUP(C386,'Dummy Table'!$B$3:$C$30,2,FALSE),"")</f>
        <v>Inglaterra</v>
      </c>
      <c r="E386" s="87" t="str">
        <f>IF(C386&lt;&gt;"",VLOOKUP(C386,'Dummy Table'!$B$3:$D$30,3,FALSE),"")</f>
        <v>Ferrari</v>
      </c>
      <c r="F386" s="137">
        <v>15</v>
      </c>
    </row>
    <row r="387" spans="1:26" x14ac:dyDescent="0.2">
      <c r="B387" s="138">
        <f>$J$5</f>
        <v>4</v>
      </c>
      <c r="C387" s="86" t="s">
        <v>311</v>
      </c>
      <c r="D387" s="87" t="str">
        <f>IF(C387&lt;&gt;"",VLOOKUP(C387,'Dummy Table'!$B$3:$C$30,2,FALSE),"")</f>
        <v>Inglaterra</v>
      </c>
      <c r="E387" s="87" t="str">
        <f>IF(C387&lt;&gt;"",VLOOKUP(C387,'Dummy Table'!$B$3:$D$30,3,FALSE),"")</f>
        <v>McLaren</v>
      </c>
      <c r="F387" s="137">
        <v>12</v>
      </c>
      <c r="K387" s="79"/>
    </row>
    <row r="388" spans="1:26" x14ac:dyDescent="0.2">
      <c r="B388" s="138">
        <f>$J$6</f>
        <v>5</v>
      </c>
      <c r="C388" s="86" t="s">
        <v>407</v>
      </c>
      <c r="D388" s="87" t="str">
        <f>IF(C388&lt;&gt;"",VLOOKUP(C388,'Dummy Table'!$B$3:$C$30,2,FALSE),"")</f>
        <v>França</v>
      </c>
      <c r="E388" s="87" t="str">
        <f>IF(C388&lt;&gt;"",VLOOKUP(C388,'Dummy Table'!$B$3:$D$30,3,FALSE),"")</f>
        <v>Red Bull</v>
      </c>
      <c r="F388" s="137">
        <v>10</v>
      </c>
    </row>
    <row r="389" spans="1:26" x14ac:dyDescent="0.2">
      <c r="B389" s="138">
        <f>$J$7</f>
        <v>6</v>
      </c>
      <c r="C389" s="86" t="s">
        <v>409</v>
      </c>
      <c r="D389" s="87" t="str">
        <f>IF(C389&lt;&gt;"",VLOOKUP(C389,'Dummy Table'!$B$3:$C$30,2,FALSE),"")</f>
        <v>Austrália</v>
      </c>
      <c r="E389" s="87" t="str">
        <f>IF(C389&lt;&gt;"",VLOOKUP(C389,'Dummy Table'!$B$3:$D$30,3,FALSE),"")</f>
        <v>Racing Bulls</v>
      </c>
      <c r="F389" s="137">
        <v>8</v>
      </c>
      <c r="K389" s="74"/>
    </row>
    <row r="390" spans="1:26" x14ac:dyDescent="0.2">
      <c r="B390" s="138">
        <f>$J$8</f>
        <v>7</v>
      </c>
      <c r="C390" s="86" t="s">
        <v>408</v>
      </c>
      <c r="D390" s="87" t="str">
        <f>IF(C390&lt;&gt;"",VLOOKUP(C390,'Dummy Table'!$B$3:$C$30,2,FALSE),"")</f>
        <v>Inglaterra</v>
      </c>
      <c r="E390" s="87" t="str">
        <f>IF(C390&lt;&gt;"",VLOOKUP(C390,'Dummy Table'!$B$3:$D$30,3,FALSE),"")</f>
        <v>Racing Bulls</v>
      </c>
      <c r="F390" s="137">
        <v>6</v>
      </c>
      <c r="K390" s="74"/>
    </row>
    <row r="391" spans="1:26" x14ac:dyDescent="0.2">
      <c r="B391" s="138">
        <f>$J$9</f>
        <v>8</v>
      </c>
      <c r="C391" s="86" t="s">
        <v>330</v>
      </c>
      <c r="D391" s="87" t="str">
        <f>IF(C391&lt;&gt;"",VLOOKUP(C391,'Dummy Table'!$B$3:$C$30,2,FALSE),"")</f>
        <v>Brasil</v>
      </c>
      <c r="E391" s="87" t="str">
        <f>IF(C391&lt;&gt;"",VLOOKUP(C391,'Dummy Table'!$B$3:$D$30,3,FALSE),"")</f>
        <v>Audi</v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 t="s">
        <v>413</v>
      </c>
      <c r="D392" s="87" t="str">
        <f>IF(C392&lt;&gt;"",VLOOKUP(C392,'Dummy Table'!$B$3:$C$30,2,FALSE),"")</f>
        <v>Argentina</v>
      </c>
      <c r="E392" s="87" t="str">
        <f>IF(C392&lt;&gt;"",VLOOKUP(C392,'Dummy Table'!$B$3:$D$30,3,FALSE),"")</f>
        <v>Alpine</v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 t="s">
        <v>307</v>
      </c>
      <c r="D393" s="87" t="str">
        <f>IF(C393&lt;&gt;"",VLOOKUP(C393,'Dummy Table'!$B$3:$C$30,2,FALSE),"")</f>
        <v>França</v>
      </c>
      <c r="E393" s="87" t="str">
        <f>IF(C393&lt;&gt;"",VLOOKUP(C393,'Dummy Table'!$B$3:$D$30,3,FALSE),"")</f>
        <v>Alpine</v>
      </c>
      <c r="F393" s="137">
        <v>1</v>
      </c>
      <c r="K393" s="74"/>
    </row>
    <row r="394" spans="1:26" x14ac:dyDescent="0.2">
      <c r="B394" s="138">
        <f>$J$12</f>
        <v>11</v>
      </c>
      <c r="C394" s="86" t="s">
        <v>324</v>
      </c>
      <c r="D394" s="87" t="str">
        <f>IF(C394&lt;&gt;"",VLOOKUP(C394,'Dummy Table'!$B$3:$C$30,2,FALSE),"")</f>
        <v>Austrália</v>
      </c>
      <c r="E394" s="87" t="str">
        <f>IF(C394&lt;&gt;"",VLOOKUP(C394,'Dummy Table'!$B$3:$D$30,3,FALSE),"")</f>
        <v>McLaren</v>
      </c>
      <c r="F394" s="139"/>
      <c r="K394" s="74"/>
    </row>
    <row r="395" spans="1:26" x14ac:dyDescent="0.2">
      <c r="B395" s="138">
        <f>$J$13</f>
        <v>12</v>
      </c>
      <c r="C395" s="86" t="s">
        <v>326</v>
      </c>
      <c r="D395" s="87" t="str">
        <f>IF(C395&lt;&gt;"",VLOOKUP(C395,'Dummy Table'!$B$3:$C$30,2,FALSE),"")</f>
        <v>Inglaterra</v>
      </c>
      <c r="E395" s="87" t="str">
        <f>IF(C395&lt;&gt;"",VLOOKUP(C395,'Dummy Table'!$B$3:$D$30,3,FALSE),"")</f>
        <v>Haas</v>
      </c>
      <c r="F395" s="139"/>
      <c r="K395" s="74"/>
    </row>
    <row r="396" spans="1:26" x14ac:dyDescent="0.2">
      <c r="B396" s="138">
        <f>$J$14</f>
        <v>13</v>
      </c>
      <c r="C396" s="86" t="s">
        <v>314</v>
      </c>
      <c r="D396" s="87" t="str">
        <f>IF(C396&lt;&gt;"",VLOOKUP(C396,'Dummy Table'!$B$3:$C$30,2,FALSE),"")</f>
        <v>França</v>
      </c>
      <c r="E396" s="87" t="str">
        <f>IF(C396&lt;&gt;"",VLOOKUP(C396,'Dummy Table'!$B$3:$D$30,3,FALSE),"")</f>
        <v>Haas</v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 t="s">
        <v>397</v>
      </c>
      <c r="D397" s="87" t="str">
        <f>IF(C397&lt;&gt;"",VLOOKUP(C397,'Dummy Table'!$B$3:$C$30,2,FALSE),"")</f>
        <v>México</v>
      </c>
      <c r="E397" s="87" t="str">
        <f>IF(C397&lt;&gt;"",VLOOKUP(C397,'Dummy Table'!$B$3:$D$30,3,FALSE),"")</f>
        <v>Cadillac</v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 t="s">
        <v>325</v>
      </c>
      <c r="D398" s="87" t="str">
        <f>IF(C398&lt;&gt;"",VLOOKUP(C398,'Dummy Table'!$B$3:$C$30,2,FALSE),"")</f>
        <v>Itália</v>
      </c>
      <c r="E398" s="87" t="str">
        <f>IF(C398&lt;&gt;"",VLOOKUP(C398,'Dummy Table'!$B$3:$D$30,3,FALSE),"")</f>
        <v>Mercedes</v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 t="s">
        <v>398</v>
      </c>
      <c r="D399" s="87" t="str">
        <f>IF(C399&lt;&gt;"",VLOOKUP(C399,'Dummy Table'!$B$3:$C$30,2,FALSE),"")</f>
        <v>Finlândia</v>
      </c>
      <c r="E399" s="87" t="str">
        <f>IF(C399&lt;&gt;"",VLOOKUP(C399,'Dummy Table'!$B$3:$D$30,3,FALSE),"")</f>
        <v>Cadillac</v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 t="s">
        <v>329</v>
      </c>
      <c r="D400" s="87" t="str">
        <f>IF(C400&lt;&gt;"",VLOOKUP(C400,'Dummy Table'!$B$3:$C$30,2,FALSE),"")</f>
        <v>Espanha</v>
      </c>
      <c r="E400" s="87" t="str">
        <f>IF(C400&lt;&gt;"",VLOOKUP(C400,'Dummy Table'!$B$3:$D$30,3,FALSE),"")</f>
        <v>Williams</v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 t="s">
        <v>30</v>
      </c>
      <c r="D401" s="87" t="str">
        <f>IF(C401&lt;&gt;"",VLOOKUP(C401,'Dummy Table'!$B$3:$C$30,2,FALSE),"")</f>
        <v>Espanha</v>
      </c>
      <c r="E401" s="87" t="str">
        <f>IF(C401&lt;&gt;"",VLOOKUP(C401,'Dummy Table'!$B$3:$D$30,3,FALSE),"")</f>
        <v>Aston Martin</v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 t="s">
        <v>306</v>
      </c>
      <c r="D402" s="87" t="str">
        <f>IF(C402&lt;&gt;"",VLOOKUP(C402,'Dummy Table'!$B$3:$C$30,2,FALSE),"")</f>
        <v>Canadá</v>
      </c>
      <c r="E402" s="87" t="str">
        <f>IF(C402&lt;&gt;"",VLOOKUP(C402,'Dummy Table'!$B$3:$D$30,3,FALSE),"")</f>
        <v>Aston Martin</v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 t="s">
        <v>300</v>
      </c>
      <c r="D403" s="87" t="str">
        <f>IF(C403&lt;&gt;"",VLOOKUP(C403,'Dummy Table'!$B$3:$C$30,2,FALSE),"")</f>
        <v>Holanda</v>
      </c>
      <c r="E403" s="87" t="str">
        <f>IF(C403&lt;&gt;"",VLOOKUP(C403,'Dummy Table'!$B$3:$D$30,3,FALSE),"")</f>
        <v>Red Bull</v>
      </c>
      <c r="F403" s="139" t="s">
        <v>428</v>
      </c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 t="s">
        <v>310</v>
      </c>
      <c r="D404" s="87" t="str">
        <f>IF(C404&lt;&gt;"",VLOOKUP(C404,'Dummy Table'!$B$3:$C$30,2,FALSE),"")</f>
        <v>Tailandia</v>
      </c>
      <c r="E404" s="87" t="str">
        <f>IF(C404&lt;&gt;"",VLOOKUP(C404,'Dummy Table'!$B$3:$D$30,3,FALSE),"")</f>
        <v>Williams</v>
      </c>
      <c r="F404" s="139" t="s">
        <v>428</v>
      </c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 t="s">
        <v>252</v>
      </c>
      <c r="D405" s="87" t="str">
        <f>IF(C405&lt;&gt;"",VLOOKUP(C405,'Dummy Table'!$B$3:$C$30,2,FALSE),"")</f>
        <v>Alemanha</v>
      </c>
      <c r="E405" s="87" t="str">
        <f>IF(C405&lt;&gt;"",VLOOKUP(C405,'Dummy Table'!$B$3:$D$30,3,FALSE),"")</f>
        <v>Audi</v>
      </c>
      <c r="F405" s="139" t="s">
        <v>428</v>
      </c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 t="str">
        <f>IF(F406="",$J$24,"Ret")</f>
        <v/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 t="s">
        <v>325</v>
      </c>
      <c r="D408" s="89" t="str">
        <f>IF(C408&lt;&gt;"",VLOOKUP(C408,'Dummy Table'!$B$3:$C$30,2,FALSE),"")</f>
        <v>Itália</v>
      </c>
      <c r="E408" s="89" t="str">
        <f>IF(C408&lt;&gt;"",VLOOKUP(C408,'Dummy Table'!$B$3:$D$30,3,FALSE),"")</f>
        <v>Mercedes</v>
      </c>
      <c r="F408" s="142"/>
      <c r="H408" s="75"/>
      <c r="K408" s="74"/>
    </row>
    <row r="409" spans="1:26" ht="13.5" thickBot="1" x14ac:dyDescent="0.25">
      <c r="B409" s="143" t="s">
        <v>234</v>
      </c>
      <c r="C409" s="144" t="s">
        <v>325</v>
      </c>
      <c r="D409" s="145" t="str">
        <f>IF(C409&lt;&gt;"",VLOOKUP(C409,'Dummy Table'!$B$3:$C$30,2,FALSE),"")</f>
        <v>Itália</v>
      </c>
      <c r="E409" s="145" t="str">
        <f>IF(C409&lt;&gt;"",VLOOKUP(C409,'Dummy Table'!$B$3:$D$30,3,FALSE),"")</f>
        <v>Mercedes</v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1" t="str">
        <f>VLOOKUP($A410,'Calendário atual'!$A$2:$E$30,4,FALSE)</f>
        <v>FORMULA 1 MOËT &amp; CHANDON BELGIAN GRAND PRIX 2026</v>
      </c>
      <c r="D410" s="171"/>
      <c r="E410" s="171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/>
      <c r="D412" s="87" t="str">
        <f>IF(C412&lt;&gt;"",VLOOKUP(C412,'Dummy Table'!$B$3:$C$30,2,FALSE),"")</f>
        <v/>
      </c>
      <c r="E412" s="87" t="str">
        <f>IF(C412&lt;&gt;"",VLOOKUP(C412,'Dummy Table'!$B$3:$D$30,3,FALSE),"")</f>
        <v/>
      </c>
      <c r="F412" s="137">
        <v>25</v>
      </c>
      <c r="G412" s="69">
        <f>IF(C412="",F412,0)</f>
        <v>25</v>
      </c>
      <c r="H412" s="69">
        <f>IF(C412="",F412,0)</f>
        <v>25</v>
      </c>
      <c r="I412" s="69">
        <f>IF(C412="",1,0)</f>
        <v>1</v>
      </c>
      <c r="K412" s="74"/>
    </row>
    <row r="413" spans="1:26" x14ac:dyDescent="0.2">
      <c r="B413" s="138">
        <f>$J$3</f>
        <v>2</v>
      </c>
      <c r="C413" s="86"/>
      <c r="D413" s="87" t="str">
        <f>IF(C413&lt;&gt;"",VLOOKUP(C413,'Dummy Table'!$B$3:$C$30,2,FALSE),"")</f>
        <v/>
      </c>
      <c r="E413" s="87" t="str">
        <f>IF(C413&lt;&gt;"",VLOOKUP(C413,'Dummy Table'!$B$3:$D$30,3,FALSE),"")</f>
        <v/>
      </c>
      <c r="F413" s="137">
        <v>18</v>
      </c>
      <c r="H413" s="69">
        <f>IF(C413="",F413,0)</f>
        <v>18</v>
      </c>
      <c r="K413" s="74"/>
    </row>
    <row r="414" spans="1:26" x14ac:dyDescent="0.2">
      <c r="B414" s="138">
        <f>$J$4</f>
        <v>3</v>
      </c>
      <c r="C414" s="86"/>
      <c r="D414" s="87" t="str">
        <f>IF(C414&lt;&gt;"",VLOOKUP(C414,'Dummy Table'!$B$3:$C$30,2,FALSE),"")</f>
        <v/>
      </c>
      <c r="E414" s="87" t="str">
        <f>IF(C414&lt;&gt;"",VLOOKUP(C414,'Dummy Table'!$B$3:$D$30,3,FALSE),"")</f>
        <v/>
      </c>
      <c r="F414" s="137">
        <v>15</v>
      </c>
    </row>
    <row r="415" spans="1:26" x14ac:dyDescent="0.2">
      <c r="B415" s="138">
        <f>$J$5</f>
        <v>4</v>
      </c>
      <c r="C415" s="86"/>
      <c r="D415" s="87" t="str">
        <f>IF(C415&lt;&gt;"",VLOOKUP(C415,'Dummy Table'!$B$3:$C$30,2,FALSE),"")</f>
        <v/>
      </c>
      <c r="E415" s="87" t="str">
        <f>IF(C415&lt;&gt;"",VLOOKUP(C415,'Dummy Table'!$B$3:$D$30,3,FALSE),"")</f>
        <v/>
      </c>
      <c r="F415" s="137">
        <v>12</v>
      </c>
      <c r="K415" s="79"/>
    </row>
    <row r="416" spans="1:26" x14ac:dyDescent="0.2">
      <c r="B416" s="138">
        <f>$J$6</f>
        <v>5</v>
      </c>
      <c r="C416" s="86"/>
      <c r="D416" s="87" t="str">
        <f>IF(C416&lt;&gt;"",VLOOKUP(C416,'Dummy Table'!$B$3:$C$30,2,FALSE),"")</f>
        <v/>
      </c>
      <c r="E416" s="87" t="str">
        <f>IF(C416&lt;&gt;"",VLOOKUP(C416,'Dummy Table'!$B$3:$D$30,3,FALSE),"")</f>
        <v/>
      </c>
      <c r="F416" s="137">
        <v>10</v>
      </c>
    </row>
    <row r="417" spans="1:26" x14ac:dyDescent="0.2">
      <c r="B417" s="138">
        <f>$J$7</f>
        <v>6</v>
      </c>
      <c r="C417" s="86"/>
      <c r="D417" s="87" t="str">
        <f>IF(C417&lt;&gt;"",VLOOKUP(C417,'Dummy Table'!$B$3:$C$30,2,FALSE),"")</f>
        <v/>
      </c>
      <c r="E417" s="87" t="str">
        <f>IF(C417&lt;&gt;"",VLOOKUP(C417,'Dummy Table'!$B$3:$D$30,3,FALSE),"")</f>
        <v/>
      </c>
      <c r="F417" s="137">
        <v>8</v>
      </c>
      <c r="K417" s="74"/>
    </row>
    <row r="418" spans="1:26" x14ac:dyDescent="0.2">
      <c r="B418" s="138">
        <f>$J$8</f>
        <v>7</v>
      </c>
      <c r="C418" s="86"/>
      <c r="D418" s="87" t="str">
        <f>IF(C418&lt;&gt;"",VLOOKUP(C418,'Dummy Table'!$B$3:$C$30,2,FALSE),"")</f>
        <v/>
      </c>
      <c r="E418" s="87" t="str">
        <f>IF(C418&lt;&gt;"",VLOOKUP(C418,'Dummy Table'!$B$3:$D$30,3,FALSE),"")</f>
        <v/>
      </c>
      <c r="F418" s="137">
        <v>6</v>
      </c>
      <c r="K418" s="74"/>
    </row>
    <row r="419" spans="1:26" x14ac:dyDescent="0.2">
      <c r="B419" s="138">
        <f>$J$9</f>
        <v>8</v>
      </c>
      <c r="C419" s="86"/>
      <c r="D419" s="87" t="str">
        <f>IF(C419&lt;&gt;"",VLOOKUP(C419,'Dummy Table'!$B$3:$C$30,2,FALSE),"")</f>
        <v/>
      </c>
      <c r="E419" s="87" t="str">
        <f>IF(C419&lt;&gt;"",VLOOKUP(C419,'Dummy Table'!$B$3:$D$30,3,FALSE),"")</f>
        <v/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/>
      <c r="D420" s="87" t="str">
        <f>IF(C420&lt;&gt;"",VLOOKUP(C420,'Dummy Table'!$B$3:$C$30,2,FALSE),"")</f>
        <v/>
      </c>
      <c r="E420" s="87" t="str">
        <f>IF(C420&lt;&gt;"",VLOOKUP(C420,'Dummy Table'!$B$3:$D$30,3,FALSE),"")</f>
        <v/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/>
      <c r="D421" s="87" t="str">
        <f>IF(C421&lt;&gt;"",VLOOKUP(C421,'Dummy Table'!$B$3:$C$30,2,FALSE),"")</f>
        <v/>
      </c>
      <c r="E421" s="87" t="str">
        <f>IF(C421&lt;&gt;"",VLOOKUP(C421,'Dummy Table'!$B$3:$D$30,3,FALSE),"")</f>
        <v/>
      </c>
      <c r="F421" s="137">
        <v>1</v>
      </c>
      <c r="K421" s="74"/>
    </row>
    <row r="422" spans="1:26" x14ac:dyDescent="0.2">
      <c r="B422" s="138">
        <f>$J$12</f>
        <v>11</v>
      </c>
      <c r="C422" s="86"/>
      <c r="D422" s="87" t="str">
        <f>IF(C422&lt;&gt;"",VLOOKUP(C422,'Dummy Table'!$B$3:$C$30,2,FALSE),"")</f>
        <v/>
      </c>
      <c r="E422" s="87" t="str">
        <f>IF(C422&lt;&gt;"",VLOOKUP(C422,'Dummy Table'!$B$3:$D$30,3,FALSE),"")</f>
        <v/>
      </c>
      <c r="F422" s="139"/>
      <c r="K422" s="74"/>
    </row>
    <row r="423" spans="1:26" x14ac:dyDescent="0.2">
      <c r="B423" s="138">
        <f>$J$13</f>
        <v>12</v>
      </c>
      <c r="C423" s="86"/>
      <c r="D423" s="87" t="str">
        <f>IF(C423&lt;&gt;"",VLOOKUP(C423,'Dummy Table'!$B$3:$C$30,2,FALSE),"")</f>
        <v/>
      </c>
      <c r="E423" s="87" t="str">
        <f>IF(C423&lt;&gt;"",VLOOKUP(C423,'Dummy Table'!$B$3:$D$30,3,FALSE),"")</f>
        <v/>
      </c>
      <c r="F423" s="139"/>
      <c r="K423" s="74"/>
    </row>
    <row r="424" spans="1:26" x14ac:dyDescent="0.2">
      <c r="B424" s="138">
        <f>$J$14</f>
        <v>13</v>
      </c>
      <c r="C424" s="86"/>
      <c r="D424" s="87" t="str">
        <f>IF(C424&lt;&gt;"",VLOOKUP(C424,'Dummy Table'!$B$3:$C$30,2,FALSE),"")</f>
        <v/>
      </c>
      <c r="E424" s="87" t="str">
        <f>IF(C424&lt;&gt;"",VLOOKUP(C424,'Dummy Table'!$B$3:$D$30,3,FALSE),"")</f>
        <v/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/>
      <c r="D425" s="87" t="str">
        <f>IF(C425&lt;&gt;"",VLOOKUP(C425,'Dummy Table'!$B$3:$C$30,2,FALSE),"")</f>
        <v/>
      </c>
      <c r="E425" s="87" t="str">
        <f>IF(C425&lt;&gt;"",VLOOKUP(C425,'Dummy Table'!$B$3:$D$30,3,FALSE),"")</f>
        <v/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/>
      <c r="D426" s="87" t="str">
        <f>IF(C426&lt;&gt;"",VLOOKUP(C426,'Dummy Table'!$B$3:$C$30,2,FALSE),"")</f>
        <v/>
      </c>
      <c r="E426" s="87" t="str">
        <f>IF(C426&lt;&gt;"",VLOOKUP(C426,'Dummy Table'!$B$3:$D$30,3,FALSE),"")</f>
        <v/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/>
      <c r="D427" s="87" t="str">
        <f>IF(C427&lt;&gt;"",VLOOKUP(C427,'Dummy Table'!$B$3:$C$30,2,FALSE),"")</f>
        <v/>
      </c>
      <c r="E427" s="87" t="str">
        <f>IF(C427&lt;&gt;"",VLOOKUP(C427,'Dummy Table'!$B$3:$D$30,3,FALSE),"")</f>
        <v/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/>
      <c r="D428" s="87" t="str">
        <f>IF(C428&lt;&gt;"",VLOOKUP(C428,'Dummy Table'!$B$3:$C$30,2,FALSE),"")</f>
        <v/>
      </c>
      <c r="E428" s="87" t="str">
        <f>IF(C428&lt;&gt;"",VLOOKUP(C428,'Dummy Table'!$B$3:$D$30,3,FALSE),"")</f>
        <v/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/>
      <c r="D429" s="87" t="str">
        <f>IF(C429&lt;&gt;"",VLOOKUP(C429,'Dummy Table'!$B$3:$C$30,2,FALSE),"")</f>
        <v/>
      </c>
      <c r="E429" s="87" t="str">
        <f>IF(C429&lt;&gt;"",VLOOKUP(C429,'Dummy Table'!$B$3:$D$30,3,FALSE),"")</f>
        <v/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/>
      <c r="D430" s="87" t="str">
        <f>IF(C430&lt;&gt;"",VLOOKUP(C430,'Dummy Table'!$B$3:$C$30,2,FALSE),"")</f>
        <v/>
      </c>
      <c r="E430" s="87" t="str">
        <f>IF(C430&lt;&gt;"",VLOOKUP(C430,'Dummy Table'!$B$3:$D$30,3,FALSE),"")</f>
        <v/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/>
      <c r="D431" s="87" t="str">
        <f>IF(C431&lt;&gt;"",VLOOKUP(C431,'Dummy Table'!$B$3:$C$30,2,FALSE),"")</f>
        <v/>
      </c>
      <c r="E431" s="87" t="str">
        <f>IF(C431&lt;&gt;"",VLOOKUP(C431,'Dummy Table'!$B$3:$D$30,3,FALSE),"")</f>
        <v/>
      </c>
      <c r="F431" s="139"/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/>
      <c r="D432" s="87" t="str">
        <f>IF(C432&lt;&gt;"",VLOOKUP(C432,'Dummy Table'!$B$3:$C$30,2,FALSE),"")</f>
        <v/>
      </c>
      <c r="E432" s="87" t="str">
        <f>IF(C432&lt;&gt;"",VLOOKUP(C432,'Dummy Table'!$B$3:$D$30,3,FALSE),"")</f>
        <v/>
      </c>
      <c r="F432" s="139"/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/>
      <c r="D433" s="87" t="str">
        <f>IF(C433&lt;&gt;"",VLOOKUP(C433,'Dummy Table'!$B$3:$C$30,2,FALSE),"")</f>
        <v/>
      </c>
      <c r="E433" s="87" t="str">
        <f>IF(C433&lt;&gt;"",VLOOKUP(C433,'Dummy Table'!$B$3:$D$30,3,FALSE),"")</f>
        <v/>
      </c>
      <c r="F433" s="139"/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 t="str">
        <f>IF(F434="",$J$24,"Ret")</f>
        <v/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/>
      <c r="D436" s="89" t="str">
        <f>IF(C436&lt;&gt;"",VLOOKUP(C436,'Dummy Table'!$B$3:$C$30,2,FALSE),"")</f>
        <v/>
      </c>
      <c r="E436" s="89" t="str">
        <f>IF(C436&lt;&gt;"",VLOOKUP(C436,'Dummy Table'!$B$3:$D$30,3,FALSE),"")</f>
        <v/>
      </c>
      <c r="F436" s="142"/>
      <c r="H436" s="75"/>
      <c r="K436" s="74"/>
    </row>
    <row r="437" spans="1:26" ht="13.5" thickBot="1" x14ac:dyDescent="0.25">
      <c r="B437" s="143" t="s">
        <v>234</v>
      </c>
      <c r="C437" s="144"/>
      <c r="D437" s="145" t="str">
        <f>IF(C437&lt;&gt;"",VLOOKUP(C437,'Dummy Table'!$B$3:$C$30,2,FALSE),"")</f>
        <v/>
      </c>
      <c r="E437" s="145" t="str">
        <f>IF(C437&lt;&gt;"",VLOOKUP(C437,'Dummy Table'!$B$3:$D$30,3,FALSE),"")</f>
        <v/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1" t="str">
        <f>VLOOKUP($A438,'Calendário atual'!$A$2:$E$30,4,FALSE)</f>
        <v>FORMULA 1 AWS HUNGARIAN GRAND PRIX 2026</v>
      </c>
      <c r="D438" s="171"/>
      <c r="E438" s="171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/>
      <c r="D440" s="87" t="str">
        <f>IF(C440&lt;&gt;"",VLOOKUP(C440,'Dummy Table'!$B$3:$C$30,2,FALSE),"")</f>
        <v/>
      </c>
      <c r="E440" s="87" t="str">
        <f>IF(C440&lt;&gt;"",VLOOKUP(C440,'Dummy Table'!$B$3:$D$30,3,FALSE),"")</f>
        <v/>
      </c>
      <c r="F440" s="137">
        <v>25</v>
      </c>
      <c r="G440" s="69">
        <f>IF(C440="",F440,0)</f>
        <v>25</v>
      </c>
      <c r="H440" s="69">
        <f>IF(C440="",F440,0)</f>
        <v>25</v>
      </c>
      <c r="I440" s="69">
        <f>IF(C440="",1,0)</f>
        <v>1</v>
      </c>
      <c r="K440" s="74"/>
    </row>
    <row r="441" spans="1:26" x14ac:dyDescent="0.2">
      <c r="B441" s="138">
        <f>$J$3</f>
        <v>2</v>
      </c>
      <c r="C441" s="86"/>
      <c r="D441" s="87" t="str">
        <f>IF(C441&lt;&gt;"",VLOOKUP(C441,'Dummy Table'!$B$3:$C$30,2,FALSE),"")</f>
        <v/>
      </c>
      <c r="E441" s="87" t="str">
        <f>IF(C441&lt;&gt;"",VLOOKUP(C441,'Dummy Table'!$B$3:$D$30,3,FALSE),"")</f>
        <v/>
      </c>
      <c r="F441" s="137">
        <v>18</v>
      </c>
      <c r="H441" s="69">
        <f>IF(C441="",F441,0)</f>
        <v>18</v>
      </c>
      <c r="K441" s="74"/>
    </row>
    <row r="442" spans="1:26" x14ac:dyDescent="0.2">
      <c r="B442" s="138">
        <f>$J$4</f>
        <v>3</v>
      </c>
      <c r="C442" s="86"/>
      <c r="D442" s="87" t="str">
        <f>IF(C442&lt;&gt;"",VLOOKUP(C442,'Dummy Table'!$B$3:$C$30,2,FALSE),"")</f>
        <v/>
      </c>
      <c r="E442" s="87" t="str">
        <f>IF(C442&lt;&gt;"",VLOOKUP(C442,'Dummy Table'!$B$3:$D$30,3,FALSE),"")</f>
        <v/>
      </c>
      <c r="F442" s="137">
        <v>15</v>
      </c>
    </row>
    <row r="443" spans="1:26" x14ac:dyDescent="0.2">
      <c r="B443" s="138">
        <f>$J$5</f>
        <v>4</v>
      </c>
      <c r="C443" s="86"/>
      <c r="D443" s="87" t="str">
        <f>IF(C443&lt;&gt;"",VLOOKUP(C443,'Dummy Table'!$B$3:$C$30,2,FALSE),"")</f>
        <v/>
      </c>
      <c r="E443" s="87" t="str">
        <f>IF(C443&lt;&gt;"",VLOOKUP(C443,'Dummy Table'!$B$3:$D$30,3,FALSE),"")</f>
        <v/>
      </c>
      <c r="F443" s="137">
        <v>12</v>
      </c>
      <c r="K443" s="79"/>
    </row>
    <row r="444" spans="1:26" x14ac:dyDescent="0.2">
      <c r="B444" s="138">
        <f>$J$6</f>
        <v>5</v>
      </c>
      <c r="C444" s="86"/>
      <c r="D444" s="87" t="str">
        <f>IF(C444&lt;&gt;"",VLOOKUP(C444,'Dummy Table'!$B$3:$C$30,2,FALSE),"")</f>
        <v/>
      </c>
      <c r="E444" s="87" t="str">
        <f>IF(C444&lt;&gt;"",VLOOKUP(C444,'Dummy Table'!$B$3:$D$30,3,FALSE),"")</f>
        <v/>
      </c>
      <c r="F444" s="137">
        <v>10</v>
      </c>
    </row>
    <row r="445" spans="1:26" x14ac:dyDescent="0.2">
      <c r="B445" s="138">
        <f>$J$7</f>
        <v>6</v>
      </c>
      <c r="C445" s="86"/>
      <c r="D445" s="87" t="str">
        <f>IF(C445&lt;&gt;"",VLOOKUP(C445,'Dummy Table'!$B$3:$C$30,2,FALSE),"")</f>
        <v/>
      </c>
      <c r="E445" s="87" t="str">
        <f>IF(C445&lt;&gt;"",VLOOKUP(C445,'Dummy Table'!$B$3:$D$30,3,FALSE),"")</f>
        <v/>
      </c>
      <c r="F445" s="137">
        <v>8</v>
      </c>
      <c r="K445" s="74"/>
    </row>
    <row r="446" spans="1:26" x14ac:dyDescent="0.2">
      <c r="B446" s="138">
        <f>$J$8</f>
        <v>7</v>
      </c>
      <c r="C446" s="86"/>
      <c r="D446" s="87" t="str">
        <f>IF(C446&lt;&gt;"",VLOOKUP(C446,'Dummy Table'!$B$3:$C$30,2,FALSE),"")</f>
        <v/>
      </c>
      <c r="E446" s="87" t="str">
        <f>IF(C446&lt;&gt;"",VLOOKUP(C446,'Dummy Table'!$B$3:$D$30,3,FALSE),"")</f>
        <v/>
      </c>
      <c r="F446" s="137">
        <v>6</v>
      </c>
      <c r="K446" s="74"/>
    </row>
    <row r="447" spans="1:26" x14ac:dyDescent="0.2">
      <c r="B447" s="138">
        <f>$J$9</f>
        <v>8</v>
      </c>
      <c r="C447" s="86"/>
      <c r="D447" s="87" t="str">
        <f>IF(C447&lt;&gt;"",VLOOKUP(C447,'Dummy Table'!$B$3:$C$30,2,FALSE),"")</f>
        <v/>
      </c>
      <c r="E447" s="87" t="str">
        <f>IF(C447&lt;&gt;"",VLOOKUP(C447,'Dummy Table'!$B$3:$D$30,3,FALSE),"")</f>
        <v/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/>
      <c r="D448" s="87" t="str">
        <f>IF(C448&lt;&gt;"",VLOOKUP(C448,'Dummy Table'!$B$3:$C$30,2,FALSE),"")</f>
        <v/>
      </c>
      <c r="E448" s="87" t="str">
        <f>IF(C448&lt;&gt;"",VLOOKUP(C448,'Dummy Table'!$B$3:$D$30,3,FALSE),"")</f>
        <v/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/>
      <c r="D449" s="87" t="str">
        <f>IF(C449&lt;&gt;"",VLOOKUP(C449,'Dummy Table'!$B$3:$C$30,2,FALSE),"")</f>
        <v/>
      </c>
      <c r="E449" s="87" t="str">
        <f>IF(C449&lt;&gt;"",VLOOKUP(C449,'Dummy Table'!$B$3:$D$30,3,FALSE),"")</f>
        <v/>
      </c>
      <c r="F449" s="137">
        <v>1</v>
      </c>
      <c r="K449" s="74"/>
    </row>
    <row r="450" spans="1:26" x14ac:dyDescent="0.2">
      <c r="B450" s="138">
        <f>$J$12</f>
        <v>11</v>
      </c>
      <c r="C450" s="86"/>
      <c r="D450" s="87" t="str">
        <f>IF(C450&lt;&gt;"",VLOOKUP(C450,'Dummy Table'!$B$3:$C$30,2,FALSE),"")</f>
        <v/>
      </c>
      <c r="E450" s="87" t="str">
        <f>IF(C450&lt;&gt;"",VLOOKUP(C450,'Dummy Table'!$B$3:$D$30,3,FALSE),"")</f>
        <v/>
      </c>
      <c r="F450" s="139"/>
      <c r="K450" s="74"/>
    </row>
    <row r="451" spans="1:26" x14ac:dyDescent="0.2">
      <c r="B451" s="138">
        <f>$J$13</f>
        <v>12</v>
      </c>
      <c r="C451" s="86"/>
      <c r="D451" s="87" t="str">
        <f>IF(C451&lt;&gt;"",VLOOKUP(C451,'Dummy Table'!$B$3:$C$30,2,FALSE),"")</f>
        <v/>
      </c>
      <c r="E451" s="87" t="str">
        <f>IF(C451&lt;&gt;"",VLOOKUP(C451,'Dummy Table'!$B$3:$D$30,3,FALSE),"")</f>
        <v/>
      </c>
      <c r="F451" s="139"/>
      <c r="K451" s="74"/>
    </row>
    <row r="452" spans="1:26" x14ac:dyDescent="0.2">
      <c r="B452" s="138">
        <f>$J$14</f>
        <v>13</v>
      </c>
      <c r="C452" s="86"/>
      <c r="D452" s="87" t="str">
        <f>IF(C452&lt;&gt;"",VLOOKUP(C452,'Dummy Table'!$B$3:$C$30,2,FALSE),"")</f>
        <v/>
      </c>
      <c r="E452" s="87" t="str">
        <f>IF(C452&lt;&gt;"",VLOOKUP(C452,'Dummy Table'!$B$3:$D$30,3,FALSE),"")</f>
        <v/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/>
      <c r="D453" s="87" t="str">
        <f>IF(C453&lt;&gt;"",VLOOKUP(C453,'Dummy Table'!$B$3:$C$30,2,FALSE),"")</f>
        <v/>
      </c>
      <c r="E453" s="87" t="str">
        <f>IF(C453&lt;&gt;"",VLOOKUP(C453,'Dummy Table'!$B$3:$D$30,3,FALSE),"")</f>
        <v/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/>
      <c r="D454" s="87" t="str">
        <f>IF(C454&lt;&gt;"",VLOOKUP(C454,'Dummy Table'!$B$3:$C$30,2,FALSE),"")</f>
        <v/>
      </c>
      <c r="E454" s="87" t="str">
        <f>IF(C454&lt;&gt;"",VLOOKUP(C454,'Dummy Table'!$B$3:$D$30,3,FALSE),"")</f>
        <v/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/>
      <c r="D455" s="87" t="str">
        <f>IF(C455&lt;&gt;"",VLOOKUP(C455,'Dummy Table'!$B$3:$C$30,2,FALSE),"")</f>
        <v/>
      </c>
      <c r="E455" s="87" t="str">
        <f>IF(C455&lt;&gt;"",VLOOKUP(C455,'Dummy Table'!$B$3:$D$30,3,FALSE),"")</f>
        <v/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/>
      <c r="D456" s="87" t="str">
        <f>IF(C456&lt;&gt;"",VLOOKUP(C456,'Dummy Table'!$B$3:$C$30,2,FALSE),"")</f>
        <v/>
      </c>
      <c r="E456" s="87" t="str">
        <f>IF(C456&lt;&gt;"",VLOOKUP(C456,'Dummy Table'!$B$3:$D$30,3,FALSE),"")</f>
        <v/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/>
      <c r="D457" s="87" t="str">
        <f>IF(C457&lt;&gt;"",VLOOKUP(C457,'Dummy Table'!$B$3:$C$30,2,FALSE),"")</f>
        <v/>
      </c>
      <c r="E457" s="87" t="str">
        <f>IF(C457&lt;&gt;"",VLOOKUP(C457,'Dummy Table'!$B$3:$D$30,3,FALSE),"")</f>
        <v/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/>
      <c r="D458" s="87" t="str">
        <f>IF(C458&lt;&gt;"",VLOOKUP(C458,'Dummy Table'!$B$3:$C$30,2,FALSE),"")</f>
        <v/>
      </c>
      <c r="E458" s="87" t="str">
        <f>IF(C458&lt;&gt;"",VLOOKUP(C458,'Dummy Table'!$B$3:$D$30,3,FALSE),"")</f>
        <v/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/>
      <c r="D459" s="87" t="str">
        <f>IF(C459&lt;&gt;"",VLOOKUP(C459,'Dummy Table'!$B$3:$C$30,2,FALSE),"")</f>
        <v/>
      </c>
      <c r="E459" s="87" t="str">
        <f>IF(C459&lt;&gt;"",VLOOKUP(C459,'Dummy Table'!$B$3:$D$30,3,FALSE),"")</f>
        <v/>
      </c>
      <c r="F459" s="139"/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/>
      <c r="D460" s="87" t="str">
        <f>IF(C460&lt;&gt;"",VLOOKUP(C460,'Dummy Table'!$B$3:$C$30,2,FALSE),"")</f>
        <v/>
      </c>
      <c r="E460" s="87" t="str">
        <f>IF(C460&lt;&gt;"",VLOOKUP(C460,'Dummy Table'!$B$3:$D$30,3,FALSE),"")</f>
        <v/>
      </c>
      <c r="F460" s="139"/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/>
      <c r="D461" s="87" t="str">
        <f>IF(C461&lt;&gt;"",VLOOKUP(C461,'Dummy Table'!$B$3:$C$30,2,FALSE),"")</f>
        <v/>
      </c>
      <c r="E461" s="87" t="str">
        <f>IF(C461&lt;&gt;"",VLOOKUP(C461,'Dummy Table'!$B$3:$D$30,3,FALSE),"")</f>
        <v/>
      </c>
      <c r="F461" s="139"/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 t="str">
        <f>IF(F462="",$J$24,"Ret")</f>
        <v/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/>
      <c r="D464" s="89" t="str">
        <f>IF(C464&lt;&gt;"",VLOOKUP(C464,'Dummy Table'!$B$3:$C$30,2,FALSE),"")</f>
        <v/>
      </c>
      <c r="E464" s="89" t="str">
        <f>IF(C464&lt;&gt;"",VLOOKUP(C464,'Dummy Table'!$B$3:$D$30,3,FALSE),"")</f>
        <v/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/>
      <c r="D465" s="145" t="str">
        <f>IF(C465&lt;&gt;"",VLOOKUP(C465,'Dummy Table'!$B$3:$C$30,2,FALSE),"")</f>
        <v/>
      </c>
      <c r="E465" s="145" t="str">
        <f>IF(C465&lt;&gt;"",VLOOKUP(C465,'Dummy Table'!$B$3:$D$30,3,FALSE),"")</f>
        <v/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1" t="str">
        <f>VLOOKUP($A466,'Calendário atual'!$A$2:$E$30,4,FALSE)</f>
        <v>FORMULA 1 HEINEKEN DUTCH GRAND PRIX 2026</v>
      </c>
      <c r="D466" s="171"/>
      <c r="E466" s="171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355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/>
      <c r="D469" s="87" t="str">
        <f>IF(C469&lt;&gt;"",VLOOKUP(C469,'Dummy Table'!$B$3:$C$30,2,FALSE),"")</f>
        <v/>
      </c>
      <c r="E469" s="87" t="str">
        <f>IF(C469&lt;&gt;"",VLOOKUP(C469,'Dummy Table'!$B$3:$D$30,3,FALSE),"")</f>
        <v/>
      </c>
      <c r="F469" s="137">
        <v>8</v>
      </c>
      <c r="G469" s="69">
        <f>IF(C469="",F469,0)</f>
        <v>8</v>
      </c>
      <c r="H469" s="69">
        <f>IF(C469="",F469,0)</f>
        <v>8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/>
      <c r="D470" s="87" t="str">
        <f>IF(C470&lt;&gt;"",VLOOKUP(C470,'Dummy Table'!$B$3:$C$30,2,FALSE),"")</f>
        <v/>
      </c>
      <c r="E470" s="87" t="str">
        <f>IF(C470&lt;&gt;"",VLOOKUP(C470,'Dummy Table'!$B$3:$D$30,3,FALSE),"")</f>
        <v/>
      </c>
      <c r="F470" s="137">
        <v>7</v>
      </c>
      <c r="H470" s="69">
        <f>IF(C470="",F470,0)</f>
        <v>7</v>
      </c>
      <c r="K470" s="74"/>
    </row>
    <row r="471" spans="1:26" x14ac:dyDescent="0.2">
      <c r="B471" s="138">
        <f>$J$4</f>
        <v>3</v>
      </c>
      <c r="C471" s="86"/>
      <c r="D471" s="87" t="str">
        <f>IF(C471&lt;&gt;"",VLOOKUP(C471,'Dummy Table'!$B$3:$C$30,2,FALSE),"")</f>
        <v/>
      </c>
      <c r="E471" s="87" t="str">
        <f>IF(C471&lt;&gt;"",VLOOKUP(C471,'Dummy Table'!$B$3:$D$30,3,FALSE),"")</f>
        <v/>
      </c>
      <c r="F471" s="137">
        <v>6</v>
      </c>
    </row>
    <row r="472" spans="1:26" x14ac:dyDescent="0.2">
      <c r="B472" s="138">
        <f>$J$5</f>
        <v>4</v>
      </c>
      <c r="C472" s="86"/>
      <c r="D472" s="87" t="str">
        <f>IF(C472&lt;&gt;"",VLOOKUP(C472,'Dummy Table'!$B$3:$C$30,2,FALSE),"")</f>
        <v/>
      </c>
      <c r="E472" s="87" t="str">
        <f>IF(C472&lt;&gt;"",VLOOKUP(C472,'Dummy Table'!$B$3:$D$30,3,FALSE),"")</f>
        <v/>
      </c>
      <c r="F472" s="137">
        <v>5</v>
      </c>
      <c r="K472" s="79"/>
    </row>
    <row r="473" spans="1:26" x14ac:dyDescent="0.2">
      <c r="B473" s="138">
        <f>$J$6</f>
        <v>5</v>
      </c>
      <c r="C473" s="86"/>
      <c r="D473" s="87" t="str">
        <f>IF(C473&lt;&gt;"",VLOOKUP(C473,'Dummy Table'!$B$3:$C$30,2,FALSE),"")</f>
        <v/>
      </c>
      <c r="E473" s="87" t="str">
        <f>IF(C473&lt;&gt;"",VLOOKUP(C473,'Dummy Table'!$B$3:$D$30,3,FALSE),"")</f>
        <v/>
      </c>
      <c r="F473" s="137">
        <v>4</v>
      </c>
    </row>
    <row r="474" spans="1:26" x14ac:dyDescent="0.2">
      <c r="B474" s="138">
        <f>$J$7</f>
        <v>6</v>
      </c>
      <c r="C474" s="86"/>
      <c r="D474" s="87" t="str">
        <f>IF(C474&lt;&gt;"",VLOOKUP(C474,'Dummy Table'!$B$3:$C$30,2,FALSE),"")</f>
        <v/>
      </c>
      <c r="E474" s="87" t="str">
        <f>IF(C474&lt;&gt;"",VLOOKUP(C474,'Dummy Table'!$B$3:$D$30,3,FALSE),"")</f>
        <v/>
      </c>
      <c r="F474" s="137">
        <v>3</v>
      </c>
      <c r="K474" s="74"/>
    </row>
    <row r="475" spans="1:26" x14ac:dyDescent="0.2">
      <c r="B475" s="138">
        <f>$J$8</f>
        <v>7</v>
      </c>
      <c r="C475" s="86"/>
      <c r="D475" s="87" t="str">
        <f>IF(C475&lt;&gt;"",VLOOKUP(C475,'Dummy Table'!$B$3:$C$30,2,FALSE),"")</f>
        <v/>
      </c>
      <c r="E475" s="87" t="str">
        <f>IF(C475&lt;&gt;"",VLOOKUP(C475,'Dummy Table'!$B$3:$D$30,3,FALSE),"")</f>
        <v/>
      </c>
      <c r="F475" s="137">
        <v>2</v>
      </c>
      <c r="K475" s="74"/>
    </row>
    <row r="476" spans="1:26" x14ac:dyDescent="0.2">
      <c r="B476" s="138">
        <f>$J$9</f>
        <v>8</v>
      </c>
      <c r="C476" s="86"/>
      <c r="D476" s="87" t="str">
        <f>IF(C476&lt;&gt;"",VLOOKUP(C476,'Dummy Table'!$B$3:$C$30,2,FALSE),"")</f>
        <v/>
      </c>
      <c r="E476" s="87" t="str">
        <f>IF(C476&lt;&gt;"",VLOOKUP(C476,'Dummy Table'!$B$3:$D$30,3,FALSE),"")</f>
        <v/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/>
      <c r="D477" s="87" t="str">
        <f>IF(C477&lt;&gt;"",VLOOKUP(C477,'Dummy Table'!$B$3:$C$30,2,FALSE),"")</f>
        <v/>
      </c>
      <c r="E477" s="87" t="str">
        <f>IF(C477&lt;&gt;"",VLOOKUP(C477,'Dummy Table'!$B$3:$D$30,3,FALSE),"")</f>
        <v/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/>
      <c r="D478" s="87" t="str">
        <f>IF(C478&lt;&gt;"",VLOOKUP(C478,'Dummy Table'!$B$3:$C$30,2,FALSE),"")</f>
        <v/>
      </c>
      <c r="E478" s="87" t="str">
        <f>IF(C478&lt;&gt;"",VLOOKUP(C478,'Dummy Table'!$B$3:$D$30,3,FALSE),"")</f>
        <v/>
      </c>
      <c r="F478" s="137"/>
      <c r="K478" s="74"/>
    </row>
    <row r="479" spans="1:26" x14ac:dyDescent="0.2">
      <c r="B479" s="138">
        <f>$J$12</f>
        <v>11</v>
      </c>
      <c r="C479" s="86"/>
      <c r="D479" s="87" t="str">
        <f>IF(C479&lt;&gt;"",VLOOKUP(C479,'Dummy Table'!$B$3:$C$30,2,FALSE),"")</f>
        <v/>
      </c>
      <c r="E479" s="87" t="str">
        <f>IF(C479&lt;&gt;"",VLOOKUP(C479,'Dummy Table'!$B$3:$D$30,3,FALSE),"")</f>
        <v/>
      </c>
      <c r="F479" s="139"/>
      <c r="K479" s="74"/>
    </row>
    <row r="480" spans="1:26" x14ac:dyDescent="0.2">
      <c r="B480" s="138">
        <f>$J$13</f>
        <v>12</v>
      </c>
      <c r="C480" s="86"/>
      <c r="D480" s="87" t="str">
        <f>IF(C480&lt;&gt;"",VLOOKUP(C480,'Dummy Table'!$B$3:$C$30,2,FALSE),"")</f>
        <v/>
      </c>
      <c r="E480" s="87" t="str">
        <f>IF(C480&lt;&gt;"",VLOOKUP(C480,'Dummy Table'!$B$3:$D$30,3,FALSE),"")</f>
        <v/>
      </c>
      <c r="F480" s="139"/>
      <c r="K480" s="74"/>
    </row>
    <row r="481" spans="2:24" x14ac:dyDescent="0.2">
      <c r="B481" s="138">
        <f>$J$14</f>
        <v>13</v>
      </c>
      <c r="C481" s="86"/>
      <c r="D481" s="87" t="str">
        <f>IF(C481&lt;&gt;"",VLOOKUP(C481,'Dummy Table'!$B$3:$C$30,2,FALSE),"")</f>
        <v/>
      </c>
      <c r="E481" s="87" t="str">
        <f>IF(C481&lt;&gt;"",VLOOKUP(C481,'Dummy Table'!$B$3:$D$30,3,FALSE),"")</f>
        <v/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/>
      <c r="D482" s="87" t="str">
        <f>IF(C482&lt;&gt;"",VLOOKUP(C482,'Dummy Table'!$B$3:$C$30,2,FALSE),"")</f>
        <v/>
      </c>
      <c r="E482" s="87" t="str">
        <f>IF(C482&lt;&gt;"",VLOOKUP(C482,'Dummy Table'!$B$3:$D$30,3,FALSE),"")</f>
        <v/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/>
      <c r="D483" s="87" t="str">
        <f>IF(C483&lt;&gt;"",VLOOKUP(C483,'Dummy Table'!$B$3:$C$30,2,FALSE),"")</f>
        <v/>
      </c>
      <c r="E483" s="87" t="str">
        <f>IF(C483&lt;&gt;"",VLOOKUP(C483,'Dummy Table'!$B$3:$D$30,3,FALSE),"")</f>
        <v/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/>
      <c r="D484" s="87" t="str">
        <f>IF(C484&lt;&gt;"",VLOOKUP(C484,'Dummy Table'!$B$3:$C$30,2,FALSE),"")</f>
        <v/>
      </c>
      <c r="E484" s="87" t="str">
        <f>IF(C484&lt;&gt;"",VLOOKUP(C484,'Dummy Table'!$B$3:$D$30,3,FALSE),"")</f>
        <v/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/>
      <c r="D485" s="87" t="str">
        <f>IF(C485&lt;&gt;"",VLOOKUP(C485,'Dummy Table'!$B$3:$C$30,2,FALSE),"")</f>
        <v/>
      </c>
      <c r="E485" s="87" t="str">
        <f>IF(C485&lt;&gt;"",VLOOKUP(C485,'Dummy Table'!$B$3:$D$30,3,FALSE),"")</f>
        <v/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/>
      <c r="D486" s="87" t="str">
        <f>IF(C486&lt;&gt;"",VLOOKUP(C486,'Dummy Table'!$B$3:$C$30,2,FALSE),"")</f>
        <v/>
      </c>
      <c r="E486" s="87" t="str">
        <f>IF(C486&lt;&gt;"",VLOOKUP(C486,'Dummy Table'!$B$3:$D$30,3,FALSE),"")</f>
        <v/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/>
      <c r="D487" s="87" t="str">
        <f>IF(C487&lt;&gt;"",VLOOKUP(C487,'Dummy Table'!$B$3:$C$30,2,FALSE),"")</f>
        <v/>
      </c>
      <c r="E487" s="87" t="str">
        <f>IF(C487&lt;&gt;"",VLOOKUP(C487,'Dummy Table'!$B$3:$D$30,3,FALSE),"")</f>
        <v/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/>
      <c r="D488" s="87" t="str">
        <f>IF(C488&lt;&gt;"",VLOOKUP(C488,'Dummy Table'!$B$3:$C$30,2,FALSE),"")</f>
        <v/>
      </c>
      <c r="E488" s="87" t="str">
        <f>IF(C488&lt;&gt;"",VLOOKUP(C488,'Dummy Table'!$B$3:$D$30,3,FALSE),"")</f>
        <v/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/>
      <c r="D489" s="87" t="str">
        <f>IF(C489&lt;&gt;"",VLOOKUP(C489,'Dummy Table'!$B$3:$C$30,2,FALSE),"")</f>
        <v/>
      </c>
      <c r="E489" s="87" t="str">
        <f>IF(C489&lt;&gt;"",VLOOKUP(C489,'Dummy Table'!$B$3:$D$30,3,FALSE),"")</f>
        <v/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/>
      <c r="D490" s="87" t="str">
        <f>IF(C490&lt;&gt;"",VLOOKUP(C490,'Dummy Table'!$B$3:$C$30,2,FALSE),"")</f>
        <v/>
      </c>
      <c r="E490" s="87" t="str">
        <f>IF(C490&lt;&gt;"",VLOOKUP(C490,'Dummy Table'!$B$3:$D$30,3,FALSE),"")</f>
        <v/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356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/>
      <c r="D493" s="87" t="str">
        <f>IF(C493&lt;&gt;"",VLOOKUP(C493,'Dummy Table'!$B$3:$C$30,2,FALSE),"")</f>
        <v/>
      </c>
      <c r="E493" s="87" t="str">
        <f>IF(C493&lt;&gt;"",VLOOKUP(C493,'Dummy Table'!$B$3:$D$30,3,FALSE),"")</f>
        <v/>
      </c>
      <c r="F493" s="137">
        <v>25</v>
      </c>
      <c r="G493" s="69">
        <f>IF(C493="",F493,0)</f>
        <v>25</v>
      </c>
      <c r="H493" s="69">
        <f>IF(C493="",F493,0)</f>
        <v>25</v>
      </c>
      <c r="I493" s="69">
        <f>IF(C493="",1,0)</f>
        <v>1</v>
      </c>
      <c r="K493" s="74"/>
    </row>
    <row r="494" spans="2:24" x14ac:dyDescent="0.2">
      <c r="B494" s="138">
        <f>$J$3</f>
        <v>2</v>
      </c>
      <c r="C494" s="86"/>
      <c r="D494" s="87" t="str">
        <f>IF(C494&lt;&gt;"",VLOOKUP(C494,'Dummy Table'!$B$3:$C$30,2,FALSE),"")</f>
        <v/>
      </c>
      <c r="E494" s="87" t="str">
        <f>IF(C494&lt;&gt;"",VLOOKUP(C494,'Dummy Table'!$B$3:$D$30,3,FALSE),"")</f>
        <v/>
      </c>
      <c r="F494" s="137">
        <v>18</v>
      </c>
      <c r="H494" s="69">
        <f>IF(C494="",F494,0)</f>
        <v>18</v>
      </c>
      <c r="K494" s="74"/>
    </row>
    <row r="495" spans="2:24" x14ac:dyDescent="0.2">
      <c r="B495" s="138">
        <f>$J$4</f>
        <v>3</v>
      </c>
      <c r="C495" s="86"/>
      <c r="D495" s="87" t="str">
        <f>IF(C495&lt;&gt;"",VLOOKUP(C495,'Dummy Table'!$B$3:$C$30,2,FALSE),"")</f>
        <v/>
      </c>
      <c r="E495" s="87" t="str">
        <f>IF(C495&lt;&gt;"",VLOOKUP(C495,'Dummy Table'!$B$3:$D$30,3,FALSE),"")</f>
        <v/>
      </c>
      <c r="F495" s="137">
        <v>15</v>
      </c>
    </row>
    <row r="496" spans="2:24" x14ac:dyDescent="0.2">
      <c r="B496" s="138">
        <f>$J$5</f>
        <v>4</v>
      </c>
      <c r="C496" s="86"/>
      <c r="D496" s="87" t="str">
        <f>IF(C496&lt;&gt;"",VLOOKUP(C496,'Dummy Table'!$B$3:$C$30,2,FALSE),"")</f>
        <v/>
      </c>
      <c r="E496" s="87" t="str">
        <f>IF(C496&lt;&gt;"",VLOOKUP(C496,'Dummy Table'!$B$3:$D$30,3,FALSE),"")</f>
        <v/>
      </c>
      <c r="F496" s="137">
        <v>12</v>
      </c>
      <c r="K496" s="79"/>
    </row>
    <row r="497" spans="1:26" x14ac:dyDescent="0.2">
      <c r="B497" s="138">
        <f>$J$6</f>
        <v>5</v>
      </c>
      <c r="C497" s="86"/>
      <c r="D497" s="87" t="str">
        <f>IF(C497&lt;&gt;"",VLOOKUP(C497,'Dummy Table'!$B$3:$C$30,2,FALSE),"")</f>
        <v/>
      </c>
      <c r="E497" s="87" t="str">
        <f>IF(C497&lt;&gt;"",VLOOKUP(C497,'Dummy Table'!$B$3:$D$30,3,FALSE),"")</f>
        <v/>
      </c>
      <c r="F497" s="137">
        <v>10</v>
      </c>
    </row>
    <row r="498" spans="1:26" x14ac:dyDescent="0.2">
      <c r="B498" s="138">
        <f>$J$7</f>
        <v>6</v>
      </c>
      <c r="C498" s="86"/>
      <c r="D498" s="87" t="str">
        <f>IF(C498&lt;&gt;"",VLOOKUP(C498,'Dummy Table'!$B$3:$C$30,2,FALSE),"")</f>
        <v/>
      </c>
      <c r="E498" s="87" t="str">
        <f>IF(C498&lt;&gt;"",VLOOKUP(C498,'Dummy Table'!$B$3:$D$30,3,FALSE),"")</f>
        <v/>
      </c>
      <c r="F498" s="137">
        <v>8</v>
      </c>
      <c r="K498" s="74"/>
    </row>
    <row r="499" spans="1:26" x14ac:dyDescent="0.2">
      <c r="B499" s="138">
        <f>$J$8</f>
        <v>7</v>
      </c>
      <c r="C499" s="86"/>
      <c r="D499" s="87" t="str">
        <f>IF(C499&lt;&gt;"",VLOOKUP(C499,'Dummy Table'!$B$3:$C$30,2,FALSE),"")</f>
        <v/>
      </c>
      <c r="E499" s="87" t="str">
        <f>IF(C499&lt;&gt;"",VLOOKUP(C499,'Dummy Table'!$B$3:$D$30,3,FALSE),"")</f>
        <v/>
      </c>
      <c r="F499" s="137">
        <v>6</v>
      </c>
      <c r="K499" s="74"/>
    </row>
    <row r="500" spans="1:26" x14ac:dyDescent="0.2">
      <c r="B500" s="138">
        <f>$J$9</f>
        <v>8</v>
      </c>
      <c r="C500" s="86"/>
      <c r="D500" s="87" t="str">
        <f>IF(C500&lt;&gt;"",VLOOKUP(C500,'Dummy Table'!$B$3:$C$30,2,FALSE),"")</f>
        <v/>
      </c>
      <c r="E500" s="87" t="str">
        <f>IF(C500&lt;&gt;"",VLOOKUP(C500,'Dummy Table'!$B$3:$D$30,3,FALSE),"")</f>
        <v/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/>
      <c r="D501" s="87" t="str">
        <f>IF(C501&lt;&gt;"",VLOOKUP(C501,'Dummy Table'!$B$3:$C$30,2,FALSE),"")</f>
        <v/>
      </c>
      <c r="E501" s="87" t="str">
        <f>IF(C501&lt;&gt;"",VLOOKUP(C501,'Dummy Table'!$B$3:$D$30,3,FALSE),"")</f>
        <v/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/>
      <c r="D502" s="87" t="str">
        <f>IF(C502&lt;&gt;"",VLOOKUP(C502,'Dummy Table'!$B$3:$C$30,2,FALSE),"")</f>
        <v/>
      </c>
      <c r="E502" s="87" t="str">
        <f>IF(C502&lt;&gt;"",VLOOKUP(C502,'Dummy Table'!$B$3:$D$30,3,FALSE),"")</f>
        <v/>
      </c>
      <c r="F502" s="137">
        <v>1</v>
      </c>
      <c r="K502" s="74"/>
    </row>
    <row r="503" spans="1:26" x14ac:dyDescent="0.2">
      <c r="B503" s="138">
        <f>$J$12</f>
        <v>11</v>
      </c>
      <c r="C503" s="86"/>
      <c r="D503" s="87" t="str">
        <f>IF(C503&lt;&gt;"",VLOOKUP(C503,'Dummy Table'!$B$3:$C$30,2,FALSE),"")</f>
        <v/>
      </c>
      <c r="E503" s="87" t="str">
        <f>IF(C503&lt;&gt;"",VLOOKUP(C503,'Dummy Table'!$B$3:$D$30,3,FALSE),"")</f>
        <v/>
      </c>
      <c r="F503" s="139"/>
      <c r="K503" s="74"/>
    </row>
    <row r="504" spans="1:26" x14ac:dyDescent="0.2">
      <c r="B504" s="138">
        <f>$J$13</f>
        <v>12</v>
      </c>
      <c r="C504" s="86"/>
      <c r="D504" s="87" t="str">
        <f>IF(C504&lt;&gt;"",VLOOKUP(C504,'Dummy Table'!$B$3:$C$30,2,FALSE),"")</f>
        <v/>
      </c>
      <c r="E504" s="87" t="str">
        <f>IF(C504&lt;&gt;"",VLOOKUP(C504,'Dummy Table'!$B$3:$D$30,3,FALSE),"")</f>
        <v/>
      </c>
      <c r="F504" s="139"/>
      <c r="K504" s="74"/>
    </row>
    <row r="505" spans="1:26" x14ac:dyDescent="0.2">
      <c r="B505" s="138">
        <f>$J$14</f>
        <v>13</v>
      </c>
      <c r="C505" s="86"/>
      <c r="D505" s="87" t="str">
        <f>IF(C505&lt;&gt;"",VLOOKUP(C505,'Dummy Table'!$B$3:$C$30,2,FALSE),"")</f>
        <v/>
      </c>
      <c r="E505" s="87" t="str">
        <f>IF(C505&lt;&gt;"",VLOOKUP(C505,'Dummy Table'!$B$3:$D$30,3,FALSE),"")</f>
        <v/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/>
      <c r="D506" s="87" t="str">
        <f>IF(C506&lt;&gt;"",VLOOKUP(C506,'Dummy Table'!$B$3:$C$30,2,FALSE),"")</f>
        <v/>
      </c>
      <c r="E506" s="87" t="str">
        <f>IF(C506&lt;&gt;"",VLOOKUP(C506,'Dummy Table'!$B$3:$D$30,3,FALSE),"")</f>
        <v/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/>
      <c r="D507" s="87" t="str">
        <f>IF(C507&lt;&gt;"",VLOOKUP(C507,'Dummy Table'!$B$3:$C$30,2,FALSE),"")</f>
        <v/>
      </c>
      <c r="E507" s="87" t="str">
        <f>IF(C507&lt;&gt;"",VLOOKUP(C507,'Dummy Table'!$B$3:$D$30,3,FALSE),"")</f>
        <v/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/>
      <c r="D508" s="87" t="str">
        <f>IF(C508&lt;&gt;"",VLOOKUP(C508,'Dummy Table'!$B$3:$C$30,2,FALSE),"")</f>
        <v/>
      </c>
      <c r="E508" s="87" t="str">
        <f>IF(C508&lt;&gt;"",VLOOKUP(C508,'Dummy Table'!$B$3:$D$30,3,FALSE),"")</f>
        <v/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/>
      <c r="D509" s="87" t="str">
        <f>IF(C509&lt;&gt;"",VLOOKUP(C509,'Dummy Table'!$B$3:$C$30,2,FALSE),"")</f>
        <v/>
      </c>
      <c r="E509" s="87" t="str">
        <f>IF(C509&lt;&gt;"",VLOOKUP(C509,'Dummy Table'!$B$3:$D$30,3,FALSE),"")</f>
        <v/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/>
      <c r="D510" s="87" t="str">
        <f>IF(C510&lt;&gt;"",VLOOKUP(C510,'Dummy Table'!$B$3:$C$30,2,FALSE),"")</f>
        <v/>
      </c>
      <c r="E510" s="87" t="str">
        <f>IF(C510&lt;&gt;"",VLOOKUP(C510,'Dummy Table'!$B$3:$D$30,3,FALSE),"")</f>
        <v/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/>
      <c r="D511" s="87" t="str">
        <f>IF(C511&lt;&gt;"",VLOOKUP(C511,'Dummy Table'!$B$3:$C$30,2,FALSE),"")</f>
        <v/>
      </c>
      <c r="E511" s="87" t="str">
        <f>IF(C511&lt;&gt;"",VLOOKUP(C511,'Dummy Table'!$B$3:$D$30,3,FALSE),"")</f>
        <v/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/>
      <c r="D512" s="87" t="str">
        <f>IF(C512&lt;&gt;"",VLOOKUP(C512,'Dummy Table'!$B$3:$C$30,2,FALSE),"")</f>
        <v/>
      </c>
      <c r="E512" s="87" t="str">
        <f>IF(C512&lt;&gt;"",VLOOKUP(C512,'Dummy Table'!$B$3:$D$30,3,FALSE),"")</f>
        <v/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/>
      <c r="D513" s="87" t="str">
        <f>IF(C513&lt;&gt;"",VLOOKUP(C513,'Dummy Table'!$B$3:$C$30,2,FALSE),"")</f>
        <v/>
      </c>
      <c r="E513" s="87" t="str">
        <f>IF(C513&lt;&gt;"",VLOOKUP(C513,'Dummy Table'!$B$3:$D$30,3,FALSE),"")</f>
        <v/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/>
      <c r="D514" s="87" t="str">
        <f>IF(C514&lt;&gt;"",VLOOKUP(C514,'Dummy Table'!$B$3:$C$30,2,FALSE),"")</f>
        <v/>
      </c>
      <c r="E514" s="87" t="str">
        <f>IF(C514&lt;&gt;"",VLOOKUP(C514,'Dummy Table'!$B$3:$D$30,3,FALSE),"")</f>
        <v/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 t="str">
        <f>IF(F515="",$J$24,"Ret")</f>
        <v/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/>
      <c r="D517" s="89" t="str">
        <f>IF(C517&lt;&gt;"",VLOOKUP(C517,'Dummy Table'!$B$3:$C$30,2,FALSE),"")</f>
        <v/>
      </c>
      <c r="E517" s="89" t="str">
        <f>IF(C517&lt;&gt;"",VLOOKUP(C517,'Dummy Table'!$B$3:$D$30,3,FALSE),"")</f>
        <v/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/>
      <c r="D518" s="145" t="str">
        <f>IF(C518&lt;&gt;"",VLOOKUP(C518,'Dummy Table'!$B$3:$C$30,2,FALSE),"")</f>
        <v/>
      </c>
      <c r="E518" s="145" t="str">
        <f>IF(C518&lt;&gt;"",VLOOKUP(C518,'Dummy Table'!$B$3:$D$30,3,FALSE),"")</f>
        <v/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1" t="str">
        <f>VLOOKUP($A519,'Calendário atual'!$A$2:$E$30,4,FALSE)</f>
        <v>FORMULA 1 PIRELLI GRAN PREMIO D’ITALIA 2026</v>
      </c>
      <c r="D519" s="171"/>
      <c r="E519" s="171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 t="str">
        <f>IF(F543="",$J$24,"Ret")</f>
        <v/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1" t="str">
        <f>VLOOKUP($A547,'Calendário atual'!$A$2:$E$30,4,FALSE)</f>
        <v>FORMULA 1 TAG HEUER GRAN PREMIO DE ESPAÑA 2026</v>
      </c>
      <c r="D547" s="171"/>
      <c r="E547" s="171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 t="str">
        <f>IF(F571="",$J$24,"Ret")</f>
        <v/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1" t="str">
        <f>VLOOKUP($A575,'Calendário atual'!$A$2:$E$30,4,FALSE)</f>
        <v>FORMULA 1 QATAR AIRWAYS AZERBAIJAN GRAND PRIX 2026</v>
      </c>
      <c r="D575" s="171"/>
      <c r="E575" s="171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 t="str">
        <f>IF(F599="",$J$24,"Ret")</f>
        <v/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1" t="str">
        <f>VLOOKUP($A603,'Calendário atual'!$A$2:$E$30,4,FALSE)</f>
        <v>FORMULA 1 SINGAPORE AIRLINES SINGAPORE GRAND PRIX 2026</v>
      </c>
      <c r="D603" s="171"/>
      <c r="E603" s="171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355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356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 t="str">
        <f>IF(F652="",$J$24,"Ret")</f>
        <v/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1" t="str">
        <f>VLOOKUP($A656,'Calendário atual'!$A$2:$E$30,4,FALSE)</f>
        <v>FORMULA 1 MSC CRUISES UNITED STATES GRAND PRIX 2026</v>
      </c>
      <c r="D656" s="171"/>
      <c r="E656" s="171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 t="str">
        <f>IF(F680="",$J$24,"Ret")</f>
        <v/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1" t="str">
        <f>VLOOKUP($A684,'Calendário atual'!$A$2:$E$30,4,FALSE)</f>
        <v>FORMULA 1 GRAN PREMIO DE LA CIUDAD DE MÉXICO 2026</v>
      </c>
      <c r="D684" s="171"/>
      <c r="E684" s="171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 t="str">
        <f>IF(F708="",$J$24,"Ret")</f>
        <v/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1" t="str">
        <f>VLOOKUP($A712,'Calendário atual'!$A$2:$E$30,4,FALSE)</f>
        <v>FORMULA 1 MSC CRUISES GRANDE PRÊMIO DE SÃO PAULO 2026</v>
      </c>
      <c r="D712" s="171"/>
      <c r="E712" s="171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 t="str">
        <f>IF(F736="",$J$24,"Ret")</f>
        <v/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1" t="str">
        <f>VLOOKUP($A740,'Calendário atual'!$A$2:$E$30,4,FALSE)</f>
        <v>FORMULA 1 HEINEKEN LAS VEGAS GRAND PRIX 2026</v>
      </c>
      <c r="D740" s="171"/>
      <c r="E740" s="171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 t="str">
        <f>IF(F764="",$J$24,"Ret")</f>
        <v/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1" t="str">
        <f>VLOOKUP($A768,'Calendário atual'!$A$2:$E$30,4,FALSE)</f>
        <v>FORMULA 1 QATAR AIRWAYS QATAR GRAND PRIX 2026</v>
      </c>
      <c r="D768" s="171"/>
      <c r="E768" s="171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 t="str">
        <f>IF(F792="",$J$24,"Ret")</f>
        <v/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1" t="str">
        <f>VLOOKUP($A796,'Calendário atual'!$A$2:$E$30,4,FALSE)</f>
        <v>FORMULA 1 ETIHAD AIRWAYS ABU DHABI GRAND PRIX 2026</v>
      </c>
      <c r="D796" s="171"/>
      <c r="E796" s="171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 t="str">
        <f>IF(F820="",$J$24,"Ret")</f>
        <v/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LkR5aLC90Rf4/wLEcGtXsh0s7SCYBMa21L2HH1ltkXqB9kuwy32S/0OGDjdkodWpztLYyVjcgtcATrq1kCwf5w==" saltValue="svpfDM7arptZdWfY9VeaVw==" spinCount="100000" sheet="1" selectLockedCells="1"/>
  <dataConsolidate/>
  <mergeCells count="27">
    <mergeCell ref="C768:E768"/>
    <mergeCell ref="C796:E796"/>
    <mergeCell ref="C603:E603"/>
    <mergeCell ref="C656:E656"/>
    <mergeCell ref="C684:E684"/>
    <mergeCell ref="C712:E712"/>
    <mergeCell ref="C740:E740"/>
    <mergeCell ref="C329:E329"/>
    <mergeCell ref="C357:E357"/>
    <mergeCell ref="C410:E410"/>
    <mergeCell ref="C220:E220"/>
    <mergeCell ref="C273:E273"/>
    <mergeCell ref="C301:E301"/>
    <mergeCell ref="C547:E547"/>
    <mergeCell ref="C575:E575"/>
    <mergeCell ref="C438:E438"/>
    <mergeCell ref="C466:E466"/>
    <mergeCell ref="C519:E519"/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25" sqref="C25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354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427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407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427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426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400</v>
      </c>
      <c r="J11" s="50" t="s">
        <v>21</v>
      </c>
      <c r="K11" s="51" t="s">
        <v>400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409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395</v>
      </c>
      <c r="J13" s="50" t="s">
        <v>396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408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400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400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413</v>
      </c>
      <c r="D22" s="60">
        <v>43</v>
      </c>
      <c r="E22" s="59" t="s">
        <v>414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397</v>
      </c>
      <c r="D23" s="60">
        <v>11</v>
      </c>
      <c r="E23" s="59" t="s">
        <v>296</v>
      </c>
      <c r="F23" s="51" t="s">
        <v>395</v>
      </c>
    </row>
    <row r="24" spans="2:6" ht="13.5" customHeight="1" x14ac:dyDescent="0.2">
      <c r="B24" s="57">
        <f t="shared" si="0"/>
        <v>22</v>
      </c>
      <c r="C24" s="63" t="s">
        <v>398</v>
      </c>
      <c r="D24" s="60">
        <v>77</v>
      </c>
      <c r="E24" s="59" t="s">
        <v>399</v>
      </c>
      <c r="F24" s="51" t="s">
        <v>395</v>
      </c>
    </row>
    <row r="25" spans="2:6" ht="13.5" customHeight="1" x14ac:dyDescent="0.2">
      <c r="B25" s="57" t="str">
        <f t="shared" si="0"/>
        <v/>
      </c>
      <c r="C25" s="63"/>
      <c r="D25" s="60"/>
      <c r="E25" s="59"/>
      <c r="F25" s="51"/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410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4" t="s">
        <v>15</v>
      </c>
      <c r="D2" s="175"/>
      <c r="E2" s="30" t="s">
        <v>194</v>
      </c>
      <c r="G2" s="30" t="s">
        <v>179</v>
      </c>
      <c r="H2" s="174" t="s">
        <v>187</v>
      </c>
      <c r="I2" s="175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402</v>
      </c>
      <c r="G3" s="28">
        <v>16</v>
      </c>
      <c r="H3" s="15"/>
      <c r="I3" s="35" t="s">
        <v>0</v>
      </c>
      <c r="J3" s="26" t="s">
        <v>406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403</v>
      </c>
      <c r="G4" s="29">
        <v>10</v>
      </c>
      <c r="H4" s="15"/>
      <c r="I4" s="35" t="s">
        <v>19</v>
      </c>
      <c r="J4" s="27" t="s">
        <v>405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401</v>
      </c>
      <c r="G5" s="29">
        <v>9</v>
      </c>
      <c r="H5" s="18"/>
      <c r="I5" s="35" t="s">
        <v>12</v>
      </c>
      <c r="J5" s="26" t="s">
        <v>404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411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2026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2026-07-06T13:54:05Z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