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C81ABAAE-B80D-4C78-8CD1-2700FA81B062}" xr6:coauthVersionLast="47" xr6:coauthVersionMax="47" xr10:uidLastSave="{00000000-0000-0000-0000-000000000000}"/>
  <workbookProtection workbookAlgorithmName="SHA-512" workbookHashValue="q301yqFov7zbcoj0lqEOxzCk9So2pcTXhNF47tTAprt3EN9kdTk8NS0otFiyJPn+ZXI0nNE3SiIkhx9ouZs7nA==" workbookSaltValue="PUMps75MSVzJxfEnNZn/Fg==" workbookSpinCount="100000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6" sheetId="1" r:id="rId3"/>
    <sheet name="Graf. Pilotos" sheetId="18" r:id="rId4"/>
    <sheet name="Dummy Chart" sheetId="17" state="hidden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3" hidden="1">'Graf. Pilotos'!#REF!</definedName>
    <definedName name="_xlnm._FilterDatabase" localSheetId="2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3">'Graf. Pilotos'!#REF!</definedName>
    <definedName name="_xlnm.Print_Area" localSheetId="7">Resultados!$B$1:$F$602</definedName>
    <definedName name="_xlnm.Print_Area" localSheetId="2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AB42" i="1" l="1"/>
  <c r="X42" i="1"/>
  <c r="AA42" i="1"/>
  <c r="Q42" i="1"/>
  <c r="Z42" i="1"/>
  <c r="Y42" i="1"/>
  <c r="W42" i="1"/>
  <c r="V42" i="1"/>
  <c r="AG42" i="1"/>
  <c r="U42" i="1"/>
  <c r="T42" i="1"/>
  <c r="R42" i="1"/>
  <c r="AF42" i="1"/>
  <c r="AE42" i="1"/>
  <c r="AD42" i="1"/>
  <c r="S42" i="1"/>
  <c r="AC42" i="1"/>
  <c r="AC39" i="1"/>
  <c r="AB39" i="1"/>
  <c r="Y39" i="1"/>
  <c r="AA39" i="1"/>
  <c r="X39" i="1"/>
  <c r="Z39" i="1"/>
  <c r="AD39" i="1"/>
  <c r="W39" i="1"/>
  <c r="V39" i="1"/>
  <c r="U39" i="1"/>
  <c r="AF39" i="1"/>
  <c r="AG39" i="1"/>
  <c r="T39" i="1"/>
  <c r="R39" i="1"/>
  <c r="AE39" i="1"/>
  <c r="S39" i="1"/>
  <c r="Q39" i="1"/>
  <c r="U47" i="1"/>
  <c r="AF47" i="1"/>
  <c r="T47" i="1"/>
  <c r="AE47" i="1"/>
  <c r="S47" i="1"/>
  <c r="AD47" i="1"/>
  <c r="R47" i="1"/>
  <c r="AB47" i="1"/>
  <c r="AC47" i="1"/>
  <c r="AA47" i="1"/>
  <c r="Z47" i="1"/>
  <c r="Q47" i="1"/>
  <c r="Y47" i="1"/>
  <c r="X47" i="1"/>
  <c r="W47" i="1"/>
  <c r="V47" i="1"/>
  <c r="AG47" i="1"/>
  <c r="Q40" i="1"/>
  <c r="Y40" i="1"/>
  <c r="T40" i="1"/>
  <c r="X40" i="1"/>
  <c r="AF40" i="1"/>
  <c r="W40" i="1"/>
  <c r="V40" i="1"/>
  <c r="U40" i="1"/>
  <c r="AG40" i="1"/>
  <c r="Z40" i="1"/>
  <c r="AE40" i="1"/>
  <c r="S40" i="1"/>
  <c r="AD40" i="1"/>
  <c r="R40" i="1"/>
  <c r="AC40" i="1"/>
  <c r="AB40" i="1"/>
  <c r="AA40" i="1"/>
  <c r="AG50" i="1"/>
  <c r="U50" i="1"/>
  <c r="AF50" i="1"/>
  <c r="T50" i="1"/>
  <c r="AE50" i="1"/>
  <c r="S50" i="1"/>
  <c r="AD50" i="1"/>
  <c r="R50" i="1"/>
  <c r="AC50" i="1"/>
  <c r="AB50" i="1"/>
  <c r="AA50" i="1"/>
  <c r="Z50" i="1"/>
  <c r="Q50" i="1"/>
  <c r="Y50" i="1"/>
  <c r="X50" i="1"/>
  <c r="W50" i="1"/>
  <c r="V50" i="1"/>
  <c r="AC45" i="1"/>
  <c r="AB45" i="1"/>
  <c r="Q45" i="1"/>
  <c r="AA45" i="1"/>
  <c r="Z45" i="1"/>
  <c r="X45" i="1"/>
  <c r="Y45" i="1"/>
  <c r="W45" i="1"/>
  <c r="V45" i="1"/>
  <c r="AG45" i="1"/>
  <c r="U45" i="1"/>
  <c r="AF45" i="1"/>
  <c r="T45" i="1"/>
  <c r="AE45" i="1"/>
  <c r="S45" i="1"/>
  <c r="AD45" i="1"/>
  <c r="R45" i="1"/>
  <c r="AG41" i="1"/>
  <c r="U41" i="1"/>
  <c r="Q41" i="1"/>
  <c r="AF41" i="1"/>
  <c r="AD41" i="1"/>
  <c r="T41" i="1"/>
  <c r="R41" i="1"/>
  <c r="AC41" i="1"/>
  <c r="AE41" i="1"/>
  <c r="S41" i="1"/>
  <c r="V41" i="1"/>
  <c r="AB41" i="1"/>
  <c r="AA41" i="1"/>
  <c r="Z41" i="1"/>
  <c r="Y41" i="1"/>
  <c r="X41" i="1"/>
  <c r="W41" i="1"/>
  <c r="AC48" i="1"/>
  <c r="AB48" i="1"/>
  <c r="AA48" i="1"/>
  <c r="X48" i="1"/>
  <c r="Z48" i="1"/>
  <c r="Y48" i="1"/>
  <c r="W48" i="1"/>
  <c r="V48" i="1"/>
  <c r="AG48" i="1"/>
  <c r="U48" i="1"/>
  <c r="Q48" i="1"/>
  <c r="T48" i="1"/>
  <c r="AF48" i="1"/>
  <c r="AE48" i="1"/>
  <c r="S48" i="1"/>
  <c r="AD48" i="1"/>
  <c r="R48" i="1"/>
  <c r="Y49" i="1"/>
  <c r="X49" i="1"/>
  <c r="AF49" i="1"/>
  <c r="W49" i="1"/>
  <c r="V49" i="1"/>
  <c r="AG49" i="1"/>
  <c r="T49" i="1"/>
  <c r="U49" i="1"/>
  <c r="AE49" i="1"/>
  <c r="S49" i="1"/>
  <c r="AD49" i="1"/>
  <c r="R49" i="1"/>
  <c r="Q49" i="1"/>
  <c r="AC49" i="1"/>
  <c r="AB49" i="1"/>
  <c r="AA49" i="1"/>
  <c r="Z49" i="1"/>
  <c r="X43" i="1"/>
  <c r="W43" i="1"/>
  <c r="AF43" i="1"/>
  <c r="V43" i="1"/>
  <c r="Q43" i="1"/>
  <c r="AG43" i="1"/>
  <c r="T43" i="1"/>
  <c r="U43" i="1"/>
  <c r="AE43" i="1"/>
  <c r="S43" i="1"/>
  <c r="AD43" i="1"/>
  <c r="R43" i="1"/>
  <c r="Y43" i="1"/>
  <c r="AC43" i="1"/>
  <c r="AB43" i="1"/>
  <c r="AA43" i="1"/>
  <c r="Z43" i="1"/>
  <c r="X46" i="1"/>
  <c r="W46" i="1"/>
  <c r="T46" i="1"/>
  <c r="AF46" i="1"/>
  <c r="V46" i="1"/>
  <c r="AG46" i="1"/>
  <c r="U46" i="1"/>
  <c r="Q46" i="1"/>
  <c r="AE46" i="1"/>
  <c r="S46" i="1"/>
  <c r="AD46" i="1"/>
  <c r="R46" i="1"/>
  <c r="AC46" i="1"/>
  <c r="AB46" i="1"/>
  <c r="AA46" i="1"/>
  <c r="Z46" i="1"/>
  <c r="Y46" i="1"/>
  <c r="U44" i="1"/>
  <c r="AF44" i="1"/>
  <c r="T44" i="1"/>
  <c r="AE44" i="1"/>
  <c r="AC44" i="1"/>
  <c r="S44" i="1"/>
  <c r="Q44" i="1"/>
  <c r="AG44" i="1"/>
  <c r="AD44" i="1"/>
  <c r="R44" i="1"/>
  <c r="AB44" i="1"/>
  <c r="AA44" i="1"/>
  <c r="Z44" i="1"/>
  <c r="Y44" i="1"/>
  <c r="X44" i="1"/>
  <c r="W44" i="1"/>
  <c r="V44" i="1"/>
  <c r="B33" i="17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E23" i="17" s="1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D18" i="17"/>
  <c r="E18" i="17" s="1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<sst xmlns="http://schemas.openxmlformats.org/spreadsheetml/2006/main" count="1286" uniqueCount="437">
  <si>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</si>
  <si>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</si>
  <si>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</si>
  <si>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</si>
  <si>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</si>
  <si>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</si>
  <si>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</si>
  <si>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</si>
  <si>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</si>
  <si>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</si>
  <si>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</si>
  <si>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</si>
  <si>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</si>
  <si>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</si>
  <si>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</si>
  <si>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</si>
  <si>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</si>
  <si>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</si>
  <si>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</si>
  <si>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</si>
  <si>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</si>
  <si>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</si>
  <si>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</si>
  <si>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</si>
  <si>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</si>
  <si>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</si>
  <si>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</si>
  <si>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</si>
  <si>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</si>
  <si>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</si>
  <si>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</si>
  <si>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</si>
  <si>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</si>
  <si>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</si>
  <si>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</si>
  <si>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</si>
  <si>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</si>
  <si>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</si>
  <si>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</si>
  <si>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</si>
  <si>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</si>
  <si>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</si>
  <si>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</si>
  <si>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</si>
  <si>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</si>
  <si>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</si>
  <si>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</si>
  <si>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</si>
  <si>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</si>
  <si>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</si>
  <si>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</si>
  <si>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</si>
  <si>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</si>
  <si>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</si>
  <si>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</si>
  <si>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</si>
  <si>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</si>
  <si>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</si>
  <si>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</si>
  <si>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</si>
  <si>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</si>
  <si>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</si>
  <si>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</si>
  <si>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</si>
  <si>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</si>
  <si>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</si>
  <si>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</si>
  <si>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</si>
  <si>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</si>
  <si>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</si>
  <si>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</si>
  <si>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</si>
  <si>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</si>
  <si>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</si>
  <si>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</si>
  <si>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</si>
  <si>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</si>
  <si>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</si>
  <si>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</si>
  <si>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</si>
  <si>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</si>
  <si>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</si>
  <si>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</si>
  <si>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</si>
  <si>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</si>
  <si>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</si>
  <si>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</si>
  <si>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</si>
  <si>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</si>
  <si>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</si>
  <si>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</si>
  <si>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</si>
  <si>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</si>
  <si>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</si>
  <si>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</si>
  <si>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</si>
  <si>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</si>
  <si>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</si>
  <si>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</si>
  <si>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</si>
  <si>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</si>
  <si>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</si>
  <si>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</si>
  <si>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</si>
  <si>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</si>
  <si>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</si>
  <si>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</si>
  <si>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</si>
  <si>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</si>
  <si>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</si>
  <si>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</si>
  <si>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</si>
  <si>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</si>
  <si>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</si>
  <si>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</si>
  <si>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</si>
  <si>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</si>
  <si>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</si>
  <si>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</si>
  <si>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</si>
  <si>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</si>
  <si>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</si>
  <si>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</si>
  <si>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</si>
  <si>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</si>
  <si>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</si>
  <si>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</si>
  <si>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</si>
  <si>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</si>
  <si>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</si>
  <si>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</si>
  <si>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</si>
  <si>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</si>
  <si>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</si>
  <si>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</si>
  <si>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</si>
  <si>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</si>
  <si>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</si>
  <si>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</si>
  <si>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</si>
  <si>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</si>
  <si>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</si>
  <si>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</si>
  <si>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</si>
  <si>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</si>
  <si>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</si>
  <si>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</si>
  <si>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</si>
  <si>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</si>
  <si>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</si>
  <si>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</si>
  <si>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</si>
  <si>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</si>
  <si>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</si>
  <si>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</si>
  <si>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</si>
  <si>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</si>
  <si>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</si>
  <si>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</si>
  <si>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</si>
  <si>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</si>
  <si>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</si>
  <si>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</si>
  <si>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</si>
  <si>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</si>
  <si>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</si>
  <si>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</si>
  <si>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</si>
  <si>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</si>
  <si>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</si>
  <si>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</si>
  <si>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</si>
  <si>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</si>
  <si>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</si>
  <si>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</si>
  <si>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</si>
  <si>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</si>
  <si>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</si>
  <si>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</si>
  <si>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</si>
  <si>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</si>
  <si>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</si>
  <si>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</si>
  <si>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</si>
  <si>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</si>
  <si>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</si>
  <si>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</si>
  <si>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</si>
  <si>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</si>
  <si>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</si>
  <si>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</si>
  <si>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</si>
  <si>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</si>
  <si>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</si>
  <si>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</si>
  <si>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</si>
  <si>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</si>
  <si>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</si>
  <si>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</si>
  <si>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</si>
  <si>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</si>
  <si>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</si>
  <si>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</si>
  <si>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</si>
  <si>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</si>
  <si>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</si>
  <si>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</si>
  <si>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</si>
  <si>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</si>
  <si>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</si>
  <si>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</si>
  <si>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</si>
  <si>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</si>
  <si>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</si>
  <si>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</si>
  <si>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</si>
  <si>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</si>
  <si>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</si>
  <si>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</si>
  <si>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</si>
  <si>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</si>
  <si>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</si>
  <si>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</si>
  <si>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</si>
  <si>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</si>
  <si>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</si>
  <si>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</si>
  <si>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</si>
  <si>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</si>
  <si>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</si>
  <si>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</si>
  <si>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</si>
  <si>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</si>
  <si>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</si>
  <si>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</si>
  <si>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</si>
  <si>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</si>
  <si>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</si>
  <si>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</si>
  <si>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</si>
  <si>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</si>
  <si>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</si>
  <si>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</si>
  <si>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</si>
  <si>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</si>
  <si>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</si>
  <si>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</si>
  <si>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</si>
  <si>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</si>
  <si>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</si>
  <si>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</si>
  <si>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</si>
  <si>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</si>
  <si>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</si>
  <si>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</si>
  <si>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</si>
  <si>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</si>
  <si>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</si>
  <si>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</si>
  <si>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</si>
  <si>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</si>
  <si>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</si>
  <si>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</si>
  <si>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</si>
  <si>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</si>
  <si>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</si>
  <si>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</si>
  <si>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</si>
  <si>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</si>
  <si>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</si>
  <si>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</si>
  <si>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</si>
  <si>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</si>
  <si>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</si>
  <si>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</si>
  <si>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</si>
  <si>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</si>
  <si>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</si>
  <si>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</si>
  <si>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</si>
  <si>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</si>
  <si>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</si>
  <si>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</si>
  <si>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</si>
  <si>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</si>
  <si>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</si>
  <si>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</si>
  <si>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</si>
  <si>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</si>
  <si>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</si>
  <si>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</si>
  <si>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</si>
  <si>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</si>
  <si>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</si>
  <si>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</si>
  <si>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</si>
  <si>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</si>
  <si>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</si>
  <si>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</si>
  <si>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</si>
  <si>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</si>
  <si>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</si>
  <si>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</si>
  <si>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</si>
  <si>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</si>
  <si>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</si>
  <si>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</si>
  <si>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</si>
  <si>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</si>
  <si>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</si>
  <si>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</si>
  <si>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</si>
  <si>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</si>
  <si>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</si>
  <si>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</si>
  <si>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</si>
  <si>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</si>
  <si>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</si>
  <si>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</si>
  <si>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</si>
  <si>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</si>
  <si>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</si>
  <si>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</si>
  <si>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</si>
  <si>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</si>
  <si>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</si>
  <si>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</si>
  <si>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</si>
  <si>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</si>
  <si>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</si>
  <si>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</si>
  <si>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</si>
  <si>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</si>
  <si>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</si>
  <si>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</si>
  <si>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</si>
  <si>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</si>
  <si>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</si>
  <si>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</si>
  <si>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</si>
  <si>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</si>
  <si>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</si>
  <si>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</si>
  <si>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</si>
  <si>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</si>
  <si>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</si>
  <si>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</si>
  <si>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</si>
  <si>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</si>
  <si>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</si>
  <si>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</si>
  <si>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</si>
  <si>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</si>
  <si>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</si>
  <si>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</si>
  <si>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</si>
  <si>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</si>
  <si>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</si>
  <si>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</si>
  <si>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</si>
  <si>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</si>
  <si>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</si>
  <si>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</si>
  <si>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</si>
  <si>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MIA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</si>
  <si>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</si>
  <si>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</si>
  <si>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</si>
  <si>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</si>
  <si>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</si>
  <si>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</si>
  <si>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</si>
  <si>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</si>
  <si>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</si>
  <si>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</si>
  <si>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</si>
  <si>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</si>
  <si>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</si>
  <si>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</si>
  <si>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</si>
  <si>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</si>
  <si>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</si>
  <si>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</si>
  <si>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</si>
  <si>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</si>
  <si>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</si>
  <si>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</si>
  <si>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</si>
  <si>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</si>
  <si>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</si>
  <si>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</si>
  <si>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</si>
  <si>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</si>
  <si>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</si>
  <si>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</si>
  <si>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</si>
  <si>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</si>
  <si>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</si>
  <si>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</si>
  <si>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</si>
  <si>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</si>
  <si>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</si>
  <si>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</si>
  <si>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</si>
  <si>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</si>
  <si>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</si>
  <si>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</si>
  <si>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</si>
  <si>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</si>
  <si>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</si>
  <si>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</si>
  <si>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</si>
  <si>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</si>
  <si>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</si>
  <si>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</si>
  <si>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</si>
  <si>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</si>
  <si>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</si>
  <si>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</si>
  <si>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</si>
  <si>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</si>
  <si>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</si>
  <si>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</si>
  <si>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</si>
  <si>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</si>
  <si>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</si>
  <si>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</si>
  <si>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</si>
  <si>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</si>
  <si>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</si>
  <si>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</si>
  <si>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</si>
  <si>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</si>
  <si>
    <t>Silverstone</t>
  </si>
  <si>
    <t>Apoio:</t>
  </si>
  <si>
    <t>SAU</t>
  </si>
  <si>
    <t>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</si>
</sst>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9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  <font>
      <b/>
      <sz val="10"/>
      <color theme="0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4" fillId="0" borderId="0" xfId="0" applyFont="1" applyFill="1"/>
    <xf numFmtId="0" fontId="37" fillId="5" borderId="14" xfId="0" applyFont="1" applyFill="1" applyBorder="1"/>
    <xf numFmtId="0" fontId="38" fillId="0" borderId="0" xfId="0" applyFont="1"/>
    <xf numFmtId="0" fontId="38" fillId="0" borderId="0" xfId="0" quotePrefix="1" applyFon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Sergio Perez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171</c:v>
                </c:pt>
                <c:pt idx="10">
                  <c:v>179</c:v>
                </c:pt>
                <c:pt idx="11">
                  <c:v>204</c:v>
                </c:pt>
                <c:pt idx="12">
                  <c:v>219</c:v>
                </c:pt>
                <c:pt idx="13">
                  <c:v>219</c:v>
                </c:pt>
                <c:pt idx="14">
                  <c:v>219</c:v>
                </c:pt>
                <c:pt idx="15">
                  <c:v>219</c:v>
                </c:pt>
                <c:pt idx="16">
                  <c:v>219</c:v>
                </c:pt>
                <c:pt idx="17">
                  <c:v>219</c:v>
                </c:pt>
                <c:pt idx="18">
                  <c:v>219</c:v>
                </c:pt>
                <c:pt idx="19">
                  <c:v>219</c:v>
                </c:pt>
                <c:pt idx="20">
                  <c:v>219</c:v>
                </c:pt>
                <c:pt idx="21">
                  <c:v>219</c:v>
                </c:pt>
                <c:pt idx="22">
                  <c:v>219</c:v>
                </c:pt>
                <c:pt idx="23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125</c:v>
                </c:pt>
                <c:pt idx="10">
                  <c:v>147</c:v>
                </c:pt>
                <c:pt idx="11">
                  <c:v>159</c:v>
                </c:pt>
                <c:pt idx="12">
                  <c:v>169</c:v>
                </c:pt>
                <c:pt idx="13">
                  <c:v>169</c:v>
                </c:pt>
                <c:pt idx="14">
                  <c:v>169</c:v>
                </c:pt>
                <c:pt idx="15">
                  <c:v>169</c:v>
                </c:pt>
                <c:pt idx="16">
                  <c:v>169</c:v>
                </c:pt>
                <c:pt idx="17">
                  <c:v>169</c:v>
                </c:pt>
                <c:pt idx="18">
                  <c:v>169</c:v>
                </c:pt>
                <c:pt idx="19">
                  <c:v>169</c:v>
                </c:pt>
                <c:pt idx="20">
                  <c:v>169</c:v>
                </c:pt>
                <c:pt idx="21">
                  <c:v>169</c:v>
                </c:pt>
                <c:pt idx="22">
                  <c:v>169</c:v>
                </c:pt>
                <c:pt idx="23">
                  <c:v>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160</c:v>
                </c:pt>
                <c:pt idx="13">
                  <c:v>160</c:v>
                </c:pt>
                <c:pt idx="14">
                  <c:v>160</c:v>
                </c:pt>
                <c:pt idx="15">
                  <c:v>160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  <c:pt idx="20">
                  <c:v>160</c:v>
                </c:pt>
                <c:pt idx="21">
                  <c:v>160</c:v>
                </c:pt>
                <c:pt idx="22">
                  <c:v>160</c:v>
                </c:pt>
                <c:pt idx="23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79</c:v>
                </c:pt>
                <c:pt idx="10">
                  <c:v>108</c:v>
                </c:pt>
                <c:pt idx="11">
                  <c:v>126</c:v>
                </c:pt>
                <c:pt idx="12">
                  <c:v>138</c:v>
                </c:pt>
                <c:pt idx="13">
                  <c:v>138</c:v>
                </c:pt>
                <c:pt idx="14">
                  <c:v>138</c:v>
                </c:pt>
                <c:pt idx="15">
                  <c:v>138</c:v>
                </c:pt>
                <c:pt idx="16">
                  <c:v>138</c:v>
                </c:pt>
                <c:pt idx="17">
                  <c:v>138</c:v>
                </c:pt>
                <c:pt idx="18">
                  <c:v>138</c:v>
                </c:pt>
                <c:pt idx="19">
                  <c:v>138</c:v>
                </c:pt>
                <c:pt idx="20">
                  <c:v>138</c:v>
                </c:pt>
                <c:pt idx="21">
                  <c:v>138</c:v>
                </c:pt>
                <c:pt idx="22">
                  <c:v>138</c:v>
                </c:pt>
                <c:pt idx="23">
                  <c:v>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73</c:v>
                </c:pt>
                <c:pt idx="9">
                  <c:v>79</c:v>
                </c:pt>
                <c:pt idx="10">
                  <c:v>97</c:v>
                </c:pt>
                <c:pt idx="11">
                  <c:v>103</c:v>
                </c:pt>
                <c:pt idx="12">
                  <c:v>128</c:v>
                </c:pt>
                <c:pt idx="13">
                  <c:v>128</c:v>
                </c:pt>
                <c:pt idx="14">
                  <c:v>128</c:v>
                </c:pt>
                <c:pt idx="15">
                  <c:v>128</c:v>
                </c:pt>
                <c:pt idx="16">
                  <c:v>128</c:v>
                </c:pt>
                <c:pt idx="17">
                  <c:v>128</c:v>
                </c:pt>
                <c:pt idx="18">
                  <c:v>128</c:v>
                </c:pt>
                <c:pt idx="19">
                  <c:v>128</c:v>
                </c:pt>
                <c:pt idx="20">
                  <c:v>128</c:v>
                </c:pt>
                <c:pt idx="21">
                  <c:v>128</c:v>
                </c:pt>
                <c:pt idx="22">
                  <c:v>128</c:v>
                </c:pt>
                <c:pt idx="23">
                  <c:v>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73</c:v>
                </c:pt>
                <c:pt idx="10">
                  <c:v>76</c:v>
                </c:pt>
                <c:pt idx="11">
                  <c:v>91</c:v>
                </c:pt>
                <c:pt idx="12">
                  <c:v>109</c:v>
                </c:pt>
                <c:pt idx="13">
                  <c:v>109</c:v>
                </c:pt>
                <c:pt idx="14">
                  <c:v>109</c:v>
                </c:pt>
                <c:pt idx="15">
                  <c:v>109</c:v>
                </c:pt>
                <c:pt idx="16">
                  <c:v>109</c:v>
                </c:pt>
                <c:pt idx="17">
                  <c:v>109</c:v>
                </c:pt>
                <c:pt idx="18">
                  <c:v>109</c:v>
                </c:pt>
                <c:pt idx="19">
                  <c:v>109</c:v>
                </c:pt>
                <c:pt idx="20">
                  <c:v>109</c:v>
                </c:pt>
                <c:pt idx="21">
                  <c:v>109</c:v>
                </c:pt>
                <c:pt idx="22">
                  <c:v>109</c:v>
                </c:pt>
                <c:pt idx="23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58</c:v>
                </c:pt>
                <c:pt idx="8">
                  <c:v>68</c:v>
                </c:pt>
                <c:pt idx="9">
                  <c:v>80</c:v>
                </c:pt>
                <c:pt idx="10">
                  <c:v>82</c:v>
                </c:pt>
                <c:pt idx="11">
                  <c:v>92</c:v>
                </c:pt>
                <c:pt idx="12">
                  <c:v>92</c:v>
                </c:pt>
                <c:pt idx="13">
                  <c:v>92</c:v>
                </c:pt>
                <c:pt idx="14">
                  <c:v>92</c:v>
                </c:pt>
                <c:pt idx="15">
                  <c:v>92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92</c:v>
                </c:pt>
                <c:pt idx="23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26</c:v>
                </c:pt>
                <c:pt idx="8">
                  <c:v>34</c:v>
                </c:pt>
                <c:pt idx="9">
                  <c:v>42</c:v>
                </c:pt>
                <c:pt idx="10">
                  <c:v>52</c:v>
                </c:pt>
                <c:pt idx="11">
                  <c:v>60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24</c:v>
                </c:pt>
                <c:pt idx="8">
                  <c:v>28</c:v>
                </c:pt>
                <c:pt idx="9">
                  <c:v>30</c:v>
                </c:pt>
                <c:pt idx="10">
                  <c:v>39</c:v>
                </c:pt>
                <c:pt idx="11">
                  <c:v>39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43</c:v>
                </c:pt>
                <c:pt idx="22">
                  <c:v>43</c:v>
                </c:pt>
                <c:pt idx="23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35</c:v>
                </c:pt>
                <c:pt idx="8">
                  <c:v>41</c:v>
                </c:pt>
                <c:pt idx="9">
                  <c:v>41</c:v>
                </c:pt>
                <c:pt idx="10">
                  <c:v>42</c:v>
                </c:pt>
                <c:pt idx="11">
                  <c:v>42</c:v>
                </c:pt>
                <c:pt idx="12">
                  <c:v>42</c:v>
                </c:pt>
                <c:pt idx="13">
                  <c:v>42</c:v>
                </c:pt>
                <c:pt idx="14">
                  <c:v>42</c:v>
                </c:pt>
                <c:pt idx="15">
                  <c:v>42</c:v>
                </c:pt>
                <c:pt idx="16">
                  <c:v>42</c:v>
                </c:pt>
                <c:pt idx="17">
                  <c:v>42</c:v>
                </c:pt>
                <c:pt idx="18">
                  <c:v>42</c:v>
                </c:pt>
                <c:pt idx="19">
                  <c:v>42</c:v>
                </c:pt>
                <c:pt idx="20">
                  <c:v>42</c:v>
                </c:pt>
                <c:pt idx="21">
                  <c:v>42</c:v>
                </c:pt>
                <c:pt idx="22">
                  <c:v>42</c:v>
                </c:pt>
                <c:pt idx="2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11</c:v>
                </c:pt>
                <c:pt idx="8">
                  <c:v>13</c:v>
                </c:pt>
                <c:pt idx="9">
                  <c:v>14</c:v>
                </c:pt>
                <c:pt idx="10">
                  <c:v>20</c:v>
                </c:pt>
                <c:pt idx="11">
                  <c:v>22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230</c:v>
                </c:pt>
                <c:pt idx="8">
                  <c:v>248</c:v>
                </c:pt>
                <c:pt idx="9">
                  <c:v>288</c:v>
                </c:pt>
                <c:pt idx="10">
                  <c:v>319</c:v>
                </c:pt>
                <c:pt idx="11">
                  <c:v>344</c:v>
                </c:pt>
                <c:pt idx="12">
                  <c:v>365</c:v>
                </c:pt>
                <c:pt idx="13">
                  <c:v>365</c:v>
                </c:pt>
                <c:pt idx="14">
                  <c:v>365</c:v>
                </c:pt>
                <c:pt idx="15">
                  <c:v>365</c:v>
                </c:pt>
                <c:pt idx="16">
                  <c:v>365</c:v>
                </c:pt>
                <c:pt idx="17">
                  <c:v>365</c:v>
                </c:pt>
                <c:pt idx="18">
                  <c:v>365</c:v>
                </c:pt>
                <c:pt idx="19">
                  <c:v>365</c:v>
                </c:pt>
                <c:pt idx="20">
                  <c:v>365</c:v>
                </c:pt>
                <c:pt idx="21">
                  <c:v>365</c:v>
                </c:pt>
                <c:pt idx="22">
                  <c:v>365</c:v>
                </c:pt>
                <c:pt idx="23">
                  <c:v>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158</c:v>
                </c:pt>
                <c:pt idx="8">
                  <c:v>183</c:v>
                </c:pt>
                <c:pt idx="9">
                  <c:v>197</c:v>
                </c:pt>
                <c:pt idx="10">
                  <c:v>248</c:v>
                </c:pt>
                <c:pt idx="11">
                  <c:v>278</c:v>
                </c:pt>
                <c:pt idx="12">
                  <c:v>300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300</c:v>
                </c:pt>
                <c:pt idx="20">
                  <c:v>300</c:v>
                </c:pt>
                <c:pt idx="21">
                  <c:v>300</c:v>
                </c:pt>
                <c:pt idx="22">
                  <c:v>300</c:v>
                </c:pt>
                <c:pt idx="23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104</c:v>
                </c:pt>
                <c:pt idx="8">
                  <c:v>129</c:v>
                </c:pt>
                <c:pt idx="9">
                  <c:v>147</c:v>
                </c:pt>
                <c:pt idx="10">
                  <c:v>167</c:v>
                </c:pt>
                <c:pt idx="11">
                  <c:v>183</c:v>
                </c:pt>
                <c:pt idx="12">
                  <c:v>208</c:v>
                </c:pt>
                <c:pt idx="13">
                  <c:v>208</c:v>
                </c:pt>
                <c:pt idx="14">
                  <c:v>208</c:v>
                </c:pt>
                <c:pt idx="15">
                  <c:v>208</c:v>
                </c:pt>
                <c:pt idx="16">
                  <c:v>208</c:v>
                </c:pt>
                <c:pt idx="17">
                  <c:v>208</c:v>
                </c:pt>
                <c:pt idx="18">
                  <c:v>208</c:v>
                </c:pt>
                <c:pt idx="19">
                  <c:v>208</c:v>
                </c:pt>
                <c:pt idx="20">
                  <c:v>208</c:v>
                </c:pt>
                <c:pt idx="21">
                  <c:v>208</c:v>
                </c:pt>
                <c:pt idx="22">
                  <c:v>208</c:v>
                </c:pt>
                <c:pt idx="23">
                  <c:v>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67</c:v>
                </c:pt>
                <c:pt idx="8">
                  <c:v>87</c:v>
                </c:pt>
                <c:pt idx="9">
                  <c:v>113</c:v>
                </c:pt>
                <c:pt idx="10">
                  <c:v>126</c:v>
                </c:pt>
                <c:pt idx="11">
                  <c:v>149</c:v>
                </c:pt>
                <c:pt idx="12">
                  <c:v>175</c:v>
                </c:pt>
                <c:pt idx="13">
                  <c:v>175</c:v>
                </c:pt>
                <c:pt idx="14">
                  <c:v>175</c:v>
                </c:pt>
                <c:pt idx="15">
                  <c:v>175</c:v>
                </c:pt>
                <c:pt idx="16">
                  <c:v>175</c:v>
                </c:pt>
                <c:pt idx="17">
                  <c:v>175</c:v>
                </c:pt>
                <c:pt idx="18">
                  <c:v>175</c:v>
                </c:pt>
                <c:pt idx="19">
                  <c:v>175</c:v>
                </c:pt>
                <c:pt idx="20">
                  <c:v>175</c:v>
                </c:pt>
                <c:pt idx="21">
                  <c:v>175</c:v>
                </c:pt>
                <c:pt idx="22">
                  <c:v>175</c:v>
                </c:pt>
                <c:pt idx="23">
                  <c:v>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34</c:v>
                </c:pt>
                <c:pt idx="8">
                  <c:v>40</c:v>
                </c:pt>
                <c:pt idx="9">
                  <c:v>43</c:v>
                </c:pt>
                <c:pt idx="10">
                  <c:v>58</c:v>
                </c:pt>
                <c:pt idx="11">
                  <c:v>60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65</c:v>
                </c:pt>
                <c:pt idx="20">
                  <c:v>65</c:v>
                </c:pt>
                <c:pt idx="21">
                  <c:v>65</c:v>
                </c:pt>
                <c:pt idx="22">
                  <c:v>65</c:v>
                </c:pt>
                <c:pt idx="23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50</c:v>
                </c:pt>
                <c:pt idx="8">
                  <c:v>57</c:v>
                </c:pt>
                <c:pt idx="9">
                  <c:v>57</c:v>
                </c:pt>
                <c:pt idx="10">
                  <c:v>60</c:v>
                </c:pt>
                <c:pt idx="11">
                  <c:v>61</c:v>
                </c:pt>
                <c:pt idx="12">
                  <c:v>61</c:v>
                </c:pt>
                <c:pt idx="13">
                  <c:v>61</c:v>
                </c:pt>
                <c:pt idx="14">
                  <c:v>61</c:v>
                </c:pt>
                <c:pt idx="15">
                  <c:v>61</c:v>
                </c:pt>
                <c:pt idx="16">
                  <c:v>61</c:v>
                </c:pt>
                <c:pt idx="17">
                  <c:v>61</c:v>
                </c:pt>
                <c:pt idx="18">
                  <c:v>61</c:v>
                </c:pt>
                <c:pt idx="19">
                  <c:v>61</c:v>
                </c:pt>
                <c:pt idx="20">
                  <c:v>61</c:v>
                </c:pt>
                <c:pt idx="21">
                  <c:v>61</c:v>
                </c:pt>
                <c:pt idx="22">
                  <c:v>61</c:v>
                </c:pt>
                <c:pt idx="23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hyperlink" Target="https://beacons.ai/pechincharei" TargetMode="External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gif"/><Relationship Id="rId13" Type="http://schemas.openxmlformats.org/officeDocument/2006/relationships/image" Target="../media/image38.gif"/><Relationship Id="rId3" Type="http://schemas.openxmlformats.org/officeDocument/2006/relationships/image" Target="../media/image28.gif"/><Relationship Id="rId7" Type="http://schemas.openxmlformats.org/officeDocument/2006/relationships/image" Target="../media/image32.gif"/><Relationship Id="rId12" Type="http://schemas.openxmlformats.org/officeDocument/2006/relationships/image" Target="../media/image37.gif"/><Relationship Id="rId2" Type="http://schemas.openxmlformats.org/officeDocument/2006/relationships/image" Target="../media/image27.gif"/><Relationship Id="rId16" Type="http://schemas.openxmlformats.org/officeDocument/2006/relationships/image" Target="../media/image41.png"/><Relationship Id="rId1" Type="http://schemas.openxmlformats.org/officeDocument/2006/relationships/image" Target="../media/image26.gif"/><Relationship Id="rId6" Type="http://schemas.openxmlformats.org/officeDocument/2006/relationships/image" Target="../media/image31.gif"/><Relationship Id="rId11" Type="http://schemas.openxmlformats.org/officeDocument/2006/relationships/image" Target="../media/image36.gif"/><Relationship Id="rId5" Type="http://schemas.openxmlformats.org/officeDocument/2006/relationships/image" Target="../media/image30.gif"/><Relationship Id="rId15" Type="http://schemas.openxmlformats.org/officeDocument/2006/relationships/image" Target="../media/image40.gif"/><Relationship Id="rId10" Type="http://schemas.openxmlformats.org/officeDocument/2006/relationships/image" Target="../media/image35.gif"/><Relationship Id="rId4" Type="http://schemas.openxmlformats.org/officeDocument/2006/relationships/image" Target="../media/image29.gif"/><Relationship Id="rId9" Type="http://schemas.openxmlformats.org/officeDocument/2006/relationships/image" Target="../media/image34.gif"/><Relationship Id="rId14" Type="http://schemas.openxmlformats.org/officeDocument/2006/relationships/image" Target="../media/image39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9.png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12" Type="http://schemas.openxmlformats.org/officeDocument/2006/relationships/image" Target="../media/image14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12.png"/><Relationship Id="rId11" Type="http://schemas.openxmlformats.org/officeDocument/2006/relationships/image" Target="../media/image48.png"/><Relationship Id="rId5" Type="http://schemas.openxmlformats.org/officeDocument/2006/relationships/image" Target="../media/image19.png"/><Relationship Id="rId10" Type="http://schemas.openxmlformats.org/officeDocument/2006/relationships/image" Target="../media/image47.png"/><Relationship Id="rId4" Type="http://schemas.openxmlformats.org/officeDocument/2006/relationships/image" Target="../media/image44.png"/><Relationship Id="rId9" Type="http://schemas.openxmlformats.org/officeDocument/2006/relationships/image" Target="../media/image46.png"/><Relationship Id="rId1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  <xdr:twoCellAnchor>
    <xdr:from>
      <xdr:col>20</xdr:col>
      <xdr:colOff>235102</xdr:colOff>
      <xdr:row>30</xdr:row>
      <xdr:rowOff>130750</xdr:rowOff>
    </xdr:from>
    <xdr:to>
      <xdr:col>32</xdr:col>
      <xdr:colOff>86156</xdr:colOff>
      <xdr:row>35</xdr:row>
      <xdr:rowOff>178375</xdr:rowOff>
    </xdr:to>
    <xdr:sp macro="" textlink="">
      <xdr:nvSpPr>
        <xdr:cNvPr id="10" name="CaixaDeTexto 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A9DEB6F-740E-35C3-1BD9-886D3E31918C}"/>
            </a:ext>
          </a:extLst>
        </xdr:cNvPr>
        <xdr:cNvSpPr txBox="1"/>
      </xdr:nvSpPr>
      <xdr:spPr>
        <a:xfrm>
          <a:off x="8226577" y="5093275"/>
          <a:ext cx="2860954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Rei da Pechincha - Promoções &amp;</a:t>
          </a:r>
          <a:r>
            <a:rPr lang="pt-BR" sz="1100" b="1" baseline="0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 Achadinhos</a:t>
          </a:r>
          <a:endParaRPr lang="pt-BR" sz="1100">
            <a:latin typeface="Albertus MT Lt" panose="020E0502030304020304" pitchFamily="34" charset="0"/>
          </a:endParaRPr>
        </a:p>
      </xdr:txBody>
    </xdr:sp>
    <xdr:clientData/>
  </xdr:twoCellAnchor>
  <xdr:twoCellAnchor editAs="oneCell">
    <xdr:from>
      <xdr:col>32</xdr:col>
      <xdr:colOff>75219</xdr:colOff>
      <xdr:row>31</xdr:row>
      <xdr:rowOff>2381</xdr:rowOff>
    </xdr:from>
    <xdr:to>
      <xdr:col>32</xdr:col>
      <xdr:colOff>254120</xdr:colOff>
      <xdr:row>35</xdr:row>
      <xdr:rowOff>189581</xdr:rowOff>
    </xdr:to>
    <xdr:pic>
      <xdr:nvPicPr>
        <xdr:cNvPr id="11" name="Imagem 1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F7E716D9-DA72-4E5E-B57D-759F2C5B6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76594" y="5126831"/>
          <a:ext cx="178901" cy="187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31</xdr:row>
      <xdr:rowOff>2381</xdr:rowOff>
    </xdr:from>
    <xdr:to>
      <xdr:col>20</xdr:col>
      <xdr:colOff>178901</xdr:colOff>
      <xdr:row>35</xdr:row>
      <xdr:rowOff>189581</xdr:rowOff>
    </xdr:to>
    <xdr:pic>
      <xdr:nvPicPr>
        <xdr:cNvPr id="12" name="Imagem 1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9C48445-CA1E-4D11-96B1-57323C52D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1475" y="5126831"/>
          <a:ext cx="178901" cy="18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U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CAN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AUT">
      <calculatedColumnFormula>K2+'Temporada 2026'!S8</calculatedColumnFormula>
    </tableColumn>
    <tableColumn id="13" xr3:uid="{86E93B11-7CEA-4A0F-9886-CD0909288EB5}" name="ING">
      <calculatedColumnFormula>L2+'Temporada 2026'!T8</calculatedColumnFormula>
    </tableColumn>
    <tableColumn id="14" xr3:uid="{E6031934-1362-4C76-BB05-05496730CE2B}" name="BEL">
      <calculatedColumnFormula>M2+'Temporada 2026'!U8</calculatedColumnFormula>
    </tableColumn>
    <tableColumn id="15" xr3:uid="{06622841-2FCD-43F3-ADB1-40A957BA3D05}" name="HUN">
      <calculatedColumnFormula>N2+'Temporada 2026'!V8</calculatedColumnFormula>
    </tableColumn>
    <tableColumn id="16" xr3:uid="{1C0F20CA-6418-43C1-BA61-3A65E32D79C3}" name="HOL">
      <calculatedColumnFormula>O2+'Temporada 2026'!W8</calculatedColumnFormula>
    </tableColumn>
    <tableColumn id="17" xr3:uid="{5F286A06-A37A-48A0-BEFB-BE8D9DB9B89E}" name="MAD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U">
      <calculatedColumnFormula>Tabela2[[#This Row],[BAH]]+'Temporada 2026'!N39</calculatedColumnFormula>
    </tableColumn>
    <tableColumn id="8" xr3:uid="{8DB95D64-D3F5-4EAA-A04A-D63417C9FBCE}" name="MIA">
      <calculatedColumnFormula>Tabela2[[#This Row],[SAU]]+'Temporada 2026'!O39</calculatedColumnFormula>
    </tableColumn>
    <tableColumn id="9" xr3:uid="{8AF3D56E-D6E8-4995-A6D1-328F6BECFB07}" name="CAN">
      <calculatedColumnFormula>Tabela2[[#This Row],[MIA]]+'Temporada 2026'!P39</calculatedColumnFormula>
    </tableColumn>
    <tableColumn id="10" xr3:uid="{AE8A26BD-6A0C-4E55-B90C-991B4CD7AD88}" name="MON">
      <calculatedColumnFormula>Tabela2[[#This Row],[CAN]]+'Temporada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AUT">
      <calculatedColumnFormula>Tabela2[[#This Row],[ESP]]+'Temporada 2026'!S39</calculatedColumnFormula>
    </tableColumn>
    <tableColumn id="13" xr3:uid="{5EF26F33-D9E6-48E9-A041-28973C321A10}" name="ING">
      <calculatedColumnFormula>Tabela2[[#This Row],[AUT]]+'Temporada 2026'!T39</calculatedColumnFormula>
    </tableColumn>
    <tableColumn id="14" xr3:uid="{04D80228-C1B6-4EC3-8E0C-8F51FD86065F}" name="BEL">
      <calculatedColumnFormula>Tabela2[[#This Row],[ING]]+'Temporada 2026'!U39</calculatedColumnFormula>
    </tableColumn>
    <tableColumn id="15" xr3:uid="{F8A35A09-4659-47B8-9D4D-2F8F75990239}" name="HUN">
      <calculatedColumnFormula>Tabela2[[#This Row],[BEL]]+'Temporada 2026'!V39</calculatedColumnFormula>
    </tableColumn>
    <tableColumn id="16" xr3:uid="{2BD2C2DE-8A8A-4A8D-9FAC-1022862A7B7C}" name="HOL">
      <calculatedColumnFormula>Tabela2[[#This Row],[HUN]]+'Temporada 2026'!W39</calculatedColumnFormula>
    </tableColumn>
    <tableColumn id="17" xr3:uid="{57CE9A40-68EF-4BAC-A6E9-DAC5073A71E4}" name="MAD">
      <calculatedColumnFormula>Tabela2[[#This Row],[HOL]]+'Temporada 2026'!X39</calculatedColumnFormula>
    </tableColumn>
    <tableColumn id="18" xr3:uid="{142B04A9-1C9F-4E4E-83C4-8346F2411094}" name="ITA">
      <calculatedColumnFormula>Tabela2[[#This Row],[MAD]]+'Temporada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5" t="s">
        <v>274</v>
      </c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6" t="s">
        <v>275</v>
      </c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128</v>
      </c>
      <c r="F3" s="7">
        <f>IF(B3&lt;&gt;"",SUMPRODUCT((Resultados!$B$1:$B$602=1)*(Resultados!$C$1:$C$602=B3)*1),"")</f>
        <v>2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2</v>
      </c>
      <c r="I3" s="7">
        <f>IF(B3&lt;&gt;"",SUMPRODUCT((Resultados!$B$1:$B$602=4)*(Resultados!$C$1:$C$602=B3)*1),"")</f>
        <v>2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2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7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92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2</v>
      </c>
      <c r="J4" s="7">
        <f>IF(B4&lt;&gt;"",SUMPRODUCT((Resultados!$B$1:$B$602=5)*(Resultados!$C$1:$C$602=B4)*1),"")</f>
        <v>3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1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2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1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3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160</v>
      </c>
      <c r="F5" s="7">
        <f>IF(B5&lt;&gt;"",SUMPRODUCT((Resultados!$B$1:$B$602=1)*(Resultados!$C$1:$C$602=B5)*1),"")</f>
        <v>4</v>
      </c>
      <c r="G5" s="7">
        <f>IF(B5&lt;&gt;"",SUMPRODUCT((Resultados!$B$1:$B$602=2)*(Resultados!$C$1:$C$602=B5)*1),"")</f>
        <v>3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4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1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1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219</v>
      </c>
      <c r="F6" s="7">
        <f>IF(B6&lt;&gt;"",SUMPRODUCT((Resultados!$B$1:$B$602=1)*(Resultados!$C$1:$C$602=B6)*1),"")</f>
        <v>7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3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1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6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109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2</v>
      </c>
      <c r="H7" s="7">
        <f>IF(B7&lt;&gt;"",SUMPRODUCT((Resultados!$B$1:$B$602=3)*(Resultados!$C$1:$C$602=B7)*1),"")</f>
        <v>2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2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1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1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68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1</v>
      </c>
      <c r="J8" s="7">
        <f>IF(B8&lt;&gt;"",SUMPRODUCT((Resultados!$B$1:$B$602=5)*(Resultados!$C$1:$C$602=B8)*1),"")</f>
        <v>2</v>
      </c>
      <c r="K8" s="7">
        <f>IF(B8&lt;&gt;"",SUMPRODUCT((Resultados!$B$1:$B$602=6)*(Resultados!$C$1:$C$602=B8)*1),"")</f>
        <v>4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2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138</v>
      </c>
      <c r="F9" s="7">
        <f>IF(B9&lt;&gt;"",SUMPRODUCT((Resultados!$B$1:$B$602=1)*(Resultados!$C$1:$C$602=B9)*1),"")</f>
        <v>1</v>
      </c>
      <c r="G9" s="7">
        <f>IF(B9&lt;&gt;"",SUMPRODUCT((Resultados!$B$1:$B$602=2)*(Resultados!$C$1:$C$602=B9)*1),"")</f>
        <v>2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3</v>
      </c>
      <c r="J9" s="7">
        <f>IF(B9&lt;&gt;"",SUMPRODUCT((Resultados!$B$1:$B$602=5)*(Resultados!$C$1:$C$602=B9)*1),"")</f>
        <v>2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2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169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3</v>
      </c>
      <c r="H10" s="7">
        <f>IF(B10&lt;&gt;"",SUMPRODUCT((Resultados!$B$1:$B$602=3)*(Resultados!$C$1:$C$602=B10)*1),"")</f>
        <v>3</v>
      </c>
      <c r="I10" s="7">
        <f>IF(B10&lt;&gt;"",SUMPRODUCT((Resultados!$B$1:$B$602=4)*(Resultados!$C$1:$C$602=B10)*1),"")</f>
        <v>2</v>
      </c>
      <c r="J10" s="7">
        <f>IF(B10&lt;&gt;"",SUMPRODUCT((Resultados!$B$1:$B$602=5)*(Resultados!$C$1:$C$602=B10)*1),"")</f>
        <v>2</v>
      </c>
      <c r="K10" s="7">
        <f>IF(B10&lt;&gt;"",SUMPRODUCT((Resultados!$B$1:$B$602=6)*(Resultados!$C$1:$C$602=B10)*1),"")</f>
        <v>3</v>
      </c>
      <c r="L10" s="7">
        <f>IF(B10&lt;&gt;"",SUMPRODUCT((Resultados!$B$1:$B$602=7)*(Resultados!$C$1:$C$602=B10)*1),"")</f>
        <v>1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16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1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2</v>
      </c>
      <c r="W11" s="7">
        <f>IF(B11&lt;&gt;"",SUMPRODUCT((Resultados!$B$1:$B$602=18)*(Resultados!$C$1:$C$602=B11)*1),"")</f>
        <v>3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2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15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2</v>
      </c>
      <c r="V12" s="7">
        <f>IF(B12&lt;&gt;"",SUMPRODUCT((Resultados!$B$1:$B$602=17)*(Resultados!$C$1:$C$602=B12)*1),"")</f>
        <v>2</v>
      </c>
      <c r="W12" s="7">
        <f>IF(B12&lt;&gt;"",SUMPRODUCT((Resultados!$B$1:$B$602=18)*(Resultados!$C$1:$C$602=B12)*1),"")</f>
        <v>1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1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9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43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2</v>
      </c>
      <c r="L13" s="7">
        <f>IF(B13&lt;&gt;"",SUMPRODUCT((Resultados!$B$1:$B$602=7)*(Resultados!$C$1:$C$602=B13)*1),"")</f>
        <v>3</v>
      </c>
      <c r="M13" s="7">
        <f>IF(B13&lt;&gt;"",SUMPRODUCT((Resultados!$B$1:$B$602=8)*(Resultados!$C$1:$C$602=B13)*1),"")</f>
        <v>3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1</v>
      </c>
      <c r="Q13" s="7">
        <f>IF(B13&lt;&gt;"",SUMPRODUCT((Resultados!$B$1:$B$602=12)*(Resultados!$C$1:$C$602=B13)*1),"")</f>
        <v>1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23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2</v>
      </c>
      <c r="M14" s="7">
        <f>IF(B14&lt;&gt;"",SUMPRODUCT((Resultados!$B$1:$B$602=8)*(Resultados!$C$1:$C$602=B14)*1),"")</f>
        <v>2</v>
      </c>
      <c r="N14" s="7">
        <f>IF(B14&lt;&gt;"",SUMPRODUCT((Resultados!$B$1:$B$602=9)*(Resultados!$C$1:$C$602=B14)*1),"")</f>
        <v>2</v>
      </c>
      <c r="O14" s="7">
        <f>IF(B14&lt;&gt;"",SUMPRODUCT((Resultados!$B$1:$B$602=10)*(Resultados!$C$1:$C$602=B14)*1),"")</f>
        <v>3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17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4</v>
      </c>
      <c r="S15" s="7">
        <f>IF(B15&lt;&gt;"",SUMPRODUCT((Resultados!$B$1:$B$602=14)*(Resultados!$C$1:$C$602=B15)*1),"")</f>
        <v>2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3</v>
      </c>
      <c r="V15" s="7">
        <f>IF(B15&lt;&gt;"",SUMPRODUCT((Resultados!$B$1:$B$602=17)*(Resultados!$C$1:$C$602=B15)*1),"")</f>
        <v>1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2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3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1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20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1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3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2</v>
      </c>
      <c r="Y17" s="7">
        <f>IF(B17&lt;&gt;"",SUMPRODUCT((Resultados!$B$1:$B$602=20)*(Resultados!$C$1:$C$602=B17)*1),"")</f>
        <v>1</v>
      </c>
      <c r="Z17" s="7">
        <f>IF(B17&lt;&gt;"",SUMPRODUCT((Resultados!$B$1:$B$602=21)*(Resultados!$C$1:$C$602=B17)*1),"")</f>
        <v>2</v>
      </c>
      <c r="AA17" s="7">
        <f>IF(B17&lt;&gt;"",SUMPRODUCT((Resultados!$B$1:$B$602=22)*(Resultados!$C$1:$C$602=B17)*1),"")</f>
        <v>1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19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1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1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4</v>
      </c>
      <c r="X18" s="7">
        <f>IF(B18&lt;&gt;"",SUMPRODUCT((Resultados!$B$1:$B$602=19)*(Resultados!$C$1:$C$602=B18)*1),"")</f>
        <v>2</v>
      </c>
      <c r="Y18" s="7">
        <f>IF(B18&lt;&gt;"",SUMPRODUCT((Resultados!$B$1:$B$602=20)*(Resultados!$C$1:$C$602=B18)*1),"")</f>
        <v>2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18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2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1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2</v>
      </c>
      <c r="R19" s="7">
        <f>IF(B19&lt;&gt;"",SUMPRODUCT((Resultados!$B$1:$B$602=13)*(Resultados!$C$1:$C$602=B19)*1),"")</f>
        <v>2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2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2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10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2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4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4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42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1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2</v>
      </c>
      <c r="M21" s="7">
        <f>IF(B21&lt;&gt;"",SUMPRODUCT((Resultados!$B$1:$B$602=8)*(Resultados!$C$1:$C$602=B21)*1),"")</f>
        <v>2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2</v>
      </c>
      <c r="P21" s="7">
        <f>IF(B21&lt;&gt;"",SUMPRODUCT((Resultados!$B$1:$B$602=11)*(Resultados!$C$1:$C$602=B21)*1),"")</f>
        <v>3</v>
      </c>
      <c r="Q21" s="7">
        <f>IF(B21&lt;&gt;"",SUMPRODUCT((Resultados!$B$1:$B$602=12)*(Resultados!$C$1:$C$602=B21)*1),"")</f>
        <v>1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19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2</v>
      </c>
      <c r="O22" s="7">
        <f>IF(B22&lt;&gt;"",SUMPRODUCT((Resultados!$B$1:$B$602=10)*(Resultados!$C$1:$C$602=B22)*1),"")</f>
        <v>4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1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3</v>
      </c>
      <c r="T22" s="7">
        <f>IF(B22&lt;&gt;"",SUMPRODUCT((Resultados!$B$1:$B$602=15)*(Resultados!$C$1:$C$602=B22)*1),"")</f>
        <v>2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22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3</v>
      </c>
      <c r="T23" s="7">
        <f>IF(B23&lt;&gt;"",SUMPRODUCT((Resultados!$B$1:$B$602=15)*(Resultados!$C$1:$C$602=B23)*1),"")</f>
        <v>2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3</v>
      </c>
      <c r="AA23" s="7">
        <f>IF(B23&lt;&gt;"",SUMPRODUCT((Resultados!$B$1:$B$602=22)*(Resultados!$C$1:$C$602=B23)*1),"")</f>
        <v>1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2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21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2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2</v>
      </c>
      <c r="X24" s="7">
        <f>IF(B24&lt;&gt;"",SUMPRODUCT((Resultados!$B$1:$B$602=19)*(Resultados!$C$1:$C$602=B24)*1),"")</f>
        <v>4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2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0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1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220</v>
      </c>
      <c r="F35" s="7">
        <f>IF(B35&lt;&gt;"",SUMPRODUCT((Resultados!$B$1:$B$602=1)*(Resultados!$E$1:$E$602=B35)*1),"")</f>
        <v>2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3</v>
      </c>
      <c r="I35" s="7">
        <f>IF(B35&lt;&gt;"",SUMPRODUCT((Resultados!$B$1:$B$602=4)*(Resultados!$E$1:$E$602=B35)*1),"")</f>
        <v>4</v>
      </c>
      <c r="J35" s="7">
        <f>IF(B35&lt;&gt;"",SUMPRODUCT((Resultados!$B$1:$B$602=5)*(Resultados!$E$1:$E$602=B35)*1),"")</f>
        <v>5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3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2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2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379</v>
      </c>
      <c r="F36" s="7">
        <f>IF(B36&lt;&gt;"",SUMPRODUCT((Resultados!$B$1:$B$602=1)*(Resultados!$E$1:$E$602=B36)*1),"")</f>
        <v>11</v>
      </c>
      <c r="G36" s="7">
        <f>IF(B36&lt;&gt;"",SUMPRODUCT((Resultados!$B$1:$B$602=2)*(Resultados!$E$1:$E$602=B36)*1),"")</f>
        <v>4</v>
      </c>
      <c r="H36" s="7">
        <f>IF(B36&lt;&gt;"",SUMPRODUCT((Resultados!$B$1:$B$602=3)*(Resultados!$E$1:$E$602=B36)*1),"")</f>
        <v>3</v>
      </c>
      <c r="I36" s="7">
        <f>IF(B36&lt;&gt;"",SUMPRODUCT((Resultados!$B$1:$B$602=4)*(Resultados!$E$1:$E$602=B36)*1),"")</f>
        <v>4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1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1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1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177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2</v>
      </c>
      <c r="H37" s="7">
        <f>IF(B37&lt;&gt;"",SUMPRODUCT((Resultados!$B$1:$B$602=3)*(Resultados!$E$1:$E$602=B37)*1),"")</f>
        <v>2</v>
      </c>
      <c r="I37" s="7">
        <f>IF(B37&lt;&gt;"",SUMPRODUCT((Resultados!$B$1:$B$602=4)*(Resultados!$E$1:$E$602=B37)*1),"")</f>
        <v>2</v>
      </c>
      <c r="J37" s="7">
        <f>IF(B37&lt;&gt;"",SUMPRODUCT((Resultados!$B$1:$B$602=5)*(Resultados!$E$1:$E$602=B37)*1),"")</f>
        <v>4</v>
      </c>
      <c r="K37" s="7">
        <f>IF(B37&lt;&gt;"",SUMPRODUCT((Resultados!$B$1:$B$602=6)*(Resultados!$E$1:$E$602=B37)*1),"")</f>
        <v>6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3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2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2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307</v>
      </c>
      <c r="F38" s="7">
        <f>IF(B38&lt;&gt;"",SUMPRODUCT((Resultados!$B$1:$B$602=1)*(Resultados!$E$1:$E$602=B38)*1),"")</f>
        <v>2</v>
      </c>
      <c r="G38" s="7">
        <f>IF(B38&lt;&gt;"",SUMPRODUCT((Resultados!$B$1:$B$602=2)*(Resultados!$E$1:$E$602=B38)*1),"")</f>
        <v>5</v>
      </c>
      <c r="H38" s="7">
        <f>IF(B38&lt;&gt;"",SUMPRODUCT((Resultados!$B$1:$B$602=3)*(Resultados!$E$1:$E$602=B38)*1),"")</f>
        <v>6</v>
      </c>
      <c r="I38" s="7">
        <f>IF(B38&lt;&gt;"",SUMPRODUCT((Resultados!$B$1:$B$602=4)*(Resultados!$E$1:$E$602=B38)*1),"")</f>
        <v>5</v>
      </c>
      <c r="J38" s="7">
        <f>IF(B38&lt;&gt;"",SUMPRODUCT((Resultados!$B$1:$B$602=5)*(Resultados!$E$1:$E$602=B38)*1),"")</f>
        <v>4</v>
      </c>
      <c r="K38" s="7">
        <f>IF(B38&lt;&gt;"",SUMPRODUCT((Resultados!$B$1:$B$602=6)*(Resultados!$E$1:$E$602=B38)*1),"")</f>
        <v>3</v>
      </c>
      <c r="L38" s="7">
        <f>IF(B38&lt;&gt;"",SUMPRODUCT((Resultados!$B$1:$B$602=7)*(Resultados!$E$1:$E$602=B38)*1),"")</f>
        <v>1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3</v>
      </c>
      <c r="U39" s="7">
        <f>IF(B39&lt;&gt;"",SUMPRODUCT((Resultados!$B$1:$B$602=16)*(Resultados!$E$1:$E$602=B39)*1),"")</f>
        <v>3</v>
      </c>
      <c r="V39" s="7">
        <f>IF(B39&lt;&gt;"",SUMPRODUCT((Resultados!$B$1:$B$602=17)*(Resultados!$E$1:$E$602=B39)*1),"")</f>
        <v>4</v>
      </c>
      <c r="W39" s="7">
        <f>IF(B39&lt;&gt;"",SUMPRODUCT((Resultados!$B$1:$B$602=18)*(Resultados!$E$1:$E$602=B39)*1),"")</f>
        <v>4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2</v>
      </c>
      <c r="Z39" s="7">
        <f>IF(B39&lt;&gt;"",SUMPRODUCT((Resultados!$B$1:$B$602=21)*(Resultados!$E$1:$E$602=B39)*1),"")</f>
        <v>2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5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66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2</v>
      </c>
      <c r="L40" s="7">
        <f>IF(B40&lt;&gt;"",SUMPRODUCT((Resultados!$B$1:$B$602=7)*(Resultados!$E$1:$E$602=B40)*1),"")</f>
        <v>5</v>
      </c>
      <c r="M40" s="7">
        <f>IF(B40&lt;&gt;"",SUMPRODUCT((Resultados!$B$1:$B$602=8)*(Resultados!$E$1:$E$602=B40)*1),"")</f>
        <v>5</v>
      </c>
      <c r="N40" s="7">
        <f>IF(B40&lt;&gt;"",SUMPRODUCT((Resultados!$B$1:$B$602=9)*(Resultados!$E$1:$E$602=B40)*1),"")</f>
        <v>4</v>
      </c>
      <c r="O40" s="7">
        <f>IF(B40&lt;&gt;"",SUMPRODUCT((Resultados!$B$1:$B$602=10)*(Resultados!$E$1:$E$602=B40)*1),"")</f>
        <v>3</v>
      </c>
      <c r="P40" s="7">
        <f>IF(B40&lt;&gt;"",SUMPRODUCT((Resultados!$B$1:$B$602=11)*(Resultados!$E$1:$E$602=B40)*1),"")</f>
        <v>1</v>
      </c>
      <c r="Q40" s="7">
        <f>IF(B40&lt;&gt;"",SUMPRODUCT((Resultados!$B$1:$B$602=12)*(Resultados!$E$1:$E$602=B40)*1),"")</f>
        <v>2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2</v>
      </c>
      <c r="R41" s="7">
        <f>IF(B41&lt;&gt;"",SUMPRODUCT((Resultados!$B$1:$B$602=13)*(Resultados!$E$1:$ED$602=B41)*1),"")</f>
        <v>4</v>
      </c>
      <c r="S41" s="7">
        <f>IF(B41&lt;&gt;"",SUMPRODUCT((Resultados!$B$1:$B$602=14)*(Resultados!$E$1:$E$602=B41)*1),"")</f>
        <v>5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3</v>
      </c>
      <c r="V41" s="7">
        <f>IF(B41&lt;&gt;"",SUMPRODUCT((Resultados!$B$1:$B$602=17)*(Resultados!$E$1:$E$602=B41)*1),"")</f>
        <v>2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1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1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1</v>
      </c>
      <c r="S42" s="7">
        <f>IF(B42&lt;&gt;"",SUMPRODUCT((Resultados!$B$1:$B$602=14)*(Resultados!$E$1:$E$602=B42)*1),"")</f>
        <v>1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5</v>
      </c>
      <c r="W42" s="7">
        <f>IF(B42&lt;&gt;"",SUMPRODUCT((Resultados!$B$1:$B$602=18)*(Resultados!$E$1:$E$602=B42)*1),"")</f>
        <v>7</v>
      </c>
      <c r="X42" s="7">
        <f>IF(B42&lt;&gt;"",SUMPRODUCT((Resultados!$B$1:$B$602=19)*(Resultados!$E$1:$E$602=B42)*1),"")</f>
        <v>4</v>
      </c>
      <c r="Y42" s="7">
        <f>IF(B42&lt;&gt;"",SUMPRODUCT((Resultados!$B$1:$B$602=20)*(Resultados!$E$1:$E$602=B42)*1),"")</f>
        <v>3</v>
      </c>
      <c r="Z42" s="7">
        <f>IF(B42&lt;&gt;"",SUMPRODUCT((Resultados!$B$1:$B$602=21)*(Resultados!$E$1:$E$602=B42)*1),"")</f>
        <v>2</v>
      </c>
      <c r="AA42" s="7">
        <f>IF(B42&lt;&gt;"",SUMPRODUCT((Resultados!$B$1:$B$602=22)*(Resultados!$E$1:$E$602=B42)*1),"")</f>
        <v>2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8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12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2</v>
      </c>
      <c r="N43" s="7">
        <f>IF(B43&lt;&gt;"",SUMPRODUCT((Resultados!$B$1:$B$602=9)*(Resultados!$E$1:$E$602=B43)*1),"")</f>
        <v>2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6</v>
      </c>
      <c r="Q43" s="7">
        <f>IF(B43&lt;&gt;"",SUMPRODUCT((Resultados!$B$1:$B$602=12)*(Resultados!$E$1:$E$602=B43)*1),"")</f>
        <v>4</v>
      </c>
      <c r="R43" s="7">
        <f>IF(B43&lt;&gt;"",SUMPRODUCT((Resultados!$B$1:$B$602=13)*(Resultados!$E$1:$ED$602=B43)*1),"")</f>
        <v>6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2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3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6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61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1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3</v>
      </c>
      <c r="M44" s="7">
        <f>IF(B44&lt;&gt;"",SUMPRODUCT((Resultados!$B$1:$B$602=8)*(Resultados!$E$1:$E$602=B44)*1),"")</f>
        <v>2</v>
      </c>
      <c r="N44" s="7">
        <f>IF(B44&lt;&gt;"",SUMPRODUCT((Resultados!$B$1:$B$602=9)*(Resultados!$E$1:$E$602=B44)*1),"")</f>
        <v>2</v>
      </c>
      <c r="O44" s="7">
        <f>IF(B44&lt;&gt;"",SUMPRODUCT((Resultados!$B$1:$B$602=10)*(Resultados!$E$1:$E$602=B44)*1),"")</f>
        <v>6</v>
      </c>
      <c r="P44" s="7">
        <f>IF(B44&lt;&gt;"",SUMPRODUCT((Resultados!$B$1:$B$602=11)*(Resultados!$E$1:$E$602=B44)*1),"")</f>
        <v>3</v>
      </c>
      <c r="Q44" s="7">
        <f>IF(B44&lt;&gt;"",SUMPRODUCT((Resultados!$B$1:$B$602=12)*(Resultados!$E$1:$E$602=B44)*1),"")</f>
        <v>2</v>
      </c>
      <c r="R44" s="7">
        <f>IF(B44&lt;&gt;"",SUMPRODUCT((Resultados!$B$1:$B$602=13)*(Resultados!$E$1:$ED$602=B44)*1),"")</f>
        <v>1</v>
      </c>
      <c r="S44" s="7">
        <f>IF(B44&lt;&gt;"",SUMPRODUCT((Resultados!$B$1:$B$602=14)*(Resultados!$E$1:$E$602=B44)*1),"")</f>
        <v>3</v>
      </c>
      <c r="T44" s="7">
        <f>IF(B44&lt;&gt;"",SUMPRODUCT((Resultados!$B$1:$B$602=15)*(Resultados!$E$1:$E$602=B44)*1),"")</f>
        <v>2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3</v>
      </c>
      <c r="T45" s="7">
        <f>IF(B45&lt;&gt;"",SUMPRODUCT((Resultados!$B$1:$B$602=15)*(Resultados!$E$1:$E$602=B45)*1),"")</f>
        <v>2</v>
      </c>
      <c r="U45" s="7">
        <f>IF(B45&lt;&gt;"",SUMPRODUCT((Resultados!$B$1:$B$602=16)*(Resultados!$E$1:$E$602=B45)*1),"")</f>
        <v>5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2</v>
      </c>
      <c r="X45" s="7">
        <f>IF(B45&lt;&gt;"",SUMPRODUCT((Resultados!$B$1:$B$602=19)*(Resultados!$E$1:$E$602=B45)*1),"")</f>
        <v>5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6</v>
      </c>
      <c r="AA45" s="7">
        <f>IF(B45&lt;&gt;"",SUMPRODUCT((Resultados!$B$1:$B$602=22)*(Resultados!$E$1:$E$602=B45)*1),"")</f>
        <v>3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E12" sqref="E12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415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382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416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430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431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383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417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418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419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420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421</v>
      </c>
      <c r="E12" s="4" t="s">
        <v>433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384</v>
      </c>
      <c r="E13" s="4" t="s">
        <v>344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422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385</v>
      </c>
      <c r="E15" s="4" t="s">
        <v>345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423</v>
      </c>
      <c r="E16" s="4" t="s">
        <v>346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424</v>
      </c>
      <c r="E17" s="4" t="s">
        <v>386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387</v>
      </c>
      <c r="E18" s="4" t="s">
        <v>347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388</v>
      </c>
      <c r="E19" s="4" t="s">
        <v>348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389</v>
      </c>
      <c r="E20" s="4" t="s">
        <v>349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425</v>
      </c>
      <c r="E21" s="4" t="s">
        <v>350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390</v>
      </c>
      <c r="E22" s="4" t="s">
        <v>351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391</v>
      </c>
      <c r="E23" s="4" t="s">
        <v>352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392</v>
      </c>
      <c r="E24" s="4" t="s">
        <v>353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393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60" t="s">
        <v>394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</row>
    <row r="3" spans="1:42" ht="12.75" customHeight="1" x14ac:dyDescent="0.2"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61" t="s">
        <v>412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</row>
    <row r="6" spans="1:42" x14ac:dyDescent="0.2">
      <c r="B6" s="158" t="s">
        <v>244</v>
      </c>
      <c r="C6" s="158" t="s">
        <v>29</v>
      </c>
      <c r="D6" s="158" t="s">
        <v>16</v>
      </c>
      <c r="E6" s="158" t="s">
        <v>17</v>
      </c>
      <c r="F6" s="158" t="s">
        <v>245</v>
      </c>
      <c r="G6" s="158" t="s">
        <v>246</v>
      </c>
      <c r="H6" s="158" t="s">
        <v>358</v>
      </c>
      <c r="I6" s="158" t="s">
        <v>253</v>
      </c>
      <c r="J6" s="159" t="s">
        <v>232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J6" s="110"/>
    </row>
    <row r="7" spans="1:42" x14ac:dyDescent="0.2">
      <c r="B7" s="158"/>
      <c r="C7" s="158"/>
      <c r="D7" s="158"/>
      <c r="E7" s="158"/>
      <c r="F7" s="158"/>
      <c r="G7" s="158"/>
      <c r="H7" s="158"/>
      <c r="I7" s="158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219</v>
      </c>
      <c r="H8" s="123"/>
      <c r="I8" s="126">
        <f>IF(B8="","",SUMIF(Resultados!$M$3:$M$30,C8,Resultados!$O$3:$O$30))</f>
        <v>6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8</v>
      </c>
      <c r="U8" s="121">
        <f>IF(C8&lt;&gt;"",SUMIF(Resultados!$C$412:$C$437,'Temporada 2026'!C8,Resultados!$F$412:$F$437),"")</f>
        <v>25</v>
      </c>
      <c r="V8" s="121">
        <f>IF(C8&lt;&gt;"",SUMIF(Resultados!$C$440:$C$465,'Temporada 2026'!C8,Resultados!$F$440:$F$465),"")</f>
        <v>15</v>
      </c>
      <c r="W8" s="121">
        <f>IF(C8&lt;&gt;"",SUMIF(Resultados!$C$469:$C$518,'Temporada 2026'!C8,Resultados!$F$469:$F$518),"")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Lewis Hamilton</v>
      </c>
      <c r="D9" s="123" t="str">
        <f>VLOOKUP(B9,'Dummy Table'!$A$3:$C$30,3,FALSE)</f>
        <v>Inglaterra</v>
      </c>
      <c r="E9" s="123" t="str">
        <f>VLOOKUP(B9,'Dummy Table'!$A$3:$D$30,4,FALSE)</f>
        <v>Ferrari</v>
      </c>
      <c r="F9" s="124" t="str">
        <f>IF(C9&lt;&gt;"",IF(G9+Resultados!$K$35&gt;$G$8,"J","L"),"")</f>
        <v>J</v>
      </c>
      <c r="G9" s="125">
        <f>VLOOKUP(B9,'Dummy Table'!$A$3:$E$30,5,FALSE)</f>
        <v>169</v>
      </c>
      <c r="H9" s="123">
        <f>IF(C9&lt;&gt;"",G9-G$8,"")</f>
        <v>-50</v>
      </c>
      <c r="I9" s="126">
        <f>IF(B9="","",SUMIF(Resultados!$M$3:$M$30,C9,Resultados!$O$3:$O$30))</f>
        <v>1</v>
      </c>
      <c r="J9" s="121">
        <f>IF(C9&lt;&gt;"",SUMIF(Resultados!$C$4:$C$29,'Temporada 2026'!C9,Resultados!$F$4:$F$29),"")</f>
        <v>12</v>
      </c>
      <c r="K9" s="121">
        <f>IF(C9&lt;&gt;"",SUMIF(Resultados!$C$33:$C$82,'Temporada 2026'!C9,Resultados!$F$33:$F$82),"")</f>
        <v>21</v>
      </c>
      <c r="L9" s="121">
        <f>IF(C9&lt;&gt;"",SUMIF(Resultados!$C$85:$C$110,'Temporada 2026'!C9,Resultados!$F$85:$F$110),"")</f>
        <v>8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10</v>
      </c>
      <c r="P9" s="121">
        <f>IF(C9&lt;&gt;"",SUMIF(Resultados!$C$223:$C$268,'Temporada 2026'!C9,Resultados!$F$223:$F$268),"")</f>
        <v>21</v>
      </c>
      <c r="Q9" s="121">
        <f>IF(C9&lt;&gt;"",SUMIF(Resultados!$C$275:$C$300,'Temporada 2026'!C9,Resultados!$F$275:$F$300),"")</f>
        <v>18</v>
      </c>
      <c r="R9" s="121">
        <f>IF(C9&lt;&gt;"",SUMIF(Resultados!$C$303:$C$328,'Temporada 2026'!C9,Resultados!$F$303:$F$328),"")</f>
        <v>25</v>
      </c>
      <c r="S9" s="121">
        <f>IF(C9&lt;&gt;"",SUMIF(Resultados!$C$331:$C$356,'Temporada 2026'!C9,Resultados!$F$331:$F$356),"")</f>
        <v>10</v>
      </c>
      <c r="T9" s="121">
        <f>IF(C9&lt;&gt;"",SUMIF(Resultados!$C$360:$C$409,'Temporada 2026'!C9,Resultados!$F$360:$F$409),"")</f>
        <v>22</v>
      </c>
      <c r="U9" s="121">
        <f>IF(C9&lt;&gt;"",SUMIF(Resultados!$C$412:$C$437,'Temporada 2026'!C9,Resultados!$F$412:$F$437),"")</f>
        <v>12</v>
      </c>
      <c r="V9" s="121">
        <f>IF(C9&lt;&gt;"",SUMIF(Resultados!$C$440:$C$465,'Temporada 2026'!C9,Resultados!$F$440:$F$465),"")</f>
        <v>10</v>
      </c>
      <c r="W9" s="121">
        <f>IF(C9&lt;&gt;"",SUMIF(Resultados!$C$469:$C$518,'Temporada 2026'!C9,Resultados!$F$469:$F$518),"")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George Russell</v>
      </c>
      <c r="D10" s="123" t="str">
        <f>VLOOKUP(B10,'Dummy Table'!$A$3:$C$30,3,FALSE)</f>
        <v>Inglaterra</v>
      </c>
      <c r="E10" s="123" t="str">
        <f>VLOOKUP(B10,'Dummy Table'!$A$3:$D$30,4,FALSE)</f>
        <v>Mercedes</v>
      </c>
      <c r="F10" s="124" t="str">
        <f>IF(C10&lt;&gt;"",IF(G10+Resultados!$K$35&gt;$G$8,"J","L"),"")</f>
        <v>J</v>
      </c>
      <c r="G10" s="125">
        <f>VLOOKUP(B10,'Dummy Table'!$A$3:$E$30,5,FALSE)</f>
        <v>160</v>
      </c>
      <c r="H10" s="123">
        <f t="shared" ref="H10:H31" si="0">IF(C10&lt;&gt;"",G10-G$8,"")</f>
        <v>-59</v>
      </c>
      <c r="I10" s="126">
        <f>IF(B10="","",SUMIF(Resultados!$M$3:$M$30,C10,Resultados!$O$3:$O$30))</f>
        <v>2</v>
      </c>
      <c r="J10" s="121">
        <f>IF(C10&lt;&gt;"",SUMIF(Resultados!$C$4:$C$29,'Temporada 2026'!C10,Resultados!$F$4:$F$29),"")</f>
        <v>25</v>
      </c>
      <c r="K10" s="121">
        <f>IF(C10&lt;&gt;"",SUMIF(Resultados!$C$33:$C$82,'Temporada 2026'!C10,Resultados!$F$33:$F$82),"")</f>
        <v>26</v>
      </c>
      <c r="L10" s="121">
        <f>IF(C10&lt;&gt;"",SUMIF(Resultados!$C$85:$C$110,'Temporada 2026'!C10,Resultados!$F$85:$F$110),"")</f>
        <v>12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17</v>
      </c>
      <c r="P10" s="121">
        <f>IF(C10&lt;&gt;"",SUMIF(Resultados!$C$223:$C$268,'Temporada 2026'!C10,Resultados!$F$223:$F$268),"")</f>
        <v>8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18</v>
      </c>
      <c r="S10" s="121">
        <f>IF(C10&lt;&gt;"",SUMIF(Resultados!$C$331:$C$356,'Temporada 2026'!C10,Resultados!$F$331:$F$356),"")</f>
        <v>25</v>
      </c>
      <c r="T10" s="121">
        <f>IF(C10&lt;&gt;"",SUMIF(Resultados!$C$360:$C$409,'Temporada 2026'!C10,Resultados!$F$360:$F$409),"")</f>
        <v>23</v>
      </c>
      <c r="U10" s="121">
        <f>IF(C10&lt;&gt;"",SUMIF(Resultados!$C$412:$C$437,'Temporada 2026'!C10,Resultados!$F$412:$F$437),"")</f>
        <v>0</v>
      </c>
      <c r="V10" s="121">
        <f>IF(C10&lt;&gt;"",SUMIF(Resultados!$C$440:$C$465,'Temporada 2026'!C10,Resultados!$F$440:$F$465),"")</f>
        <v>6</v>
      </c>
      <c r="W10" s="121">
        <f>IF(C10&lt;&gt;"",SUMIF(Resultados!$C$469:$C$518,'Temporada 2026'!C10,Resultados!$F$469:$F$518),"")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Charles Leclerc</v>
      </c>
      <c r="D11" s="123" t="str">
        <f>VLOOKUP(B11,'Dummy Table'!$A$3:$C$30,3,FALSE)</f>
        <v>Mônaco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138</v>
      </c>
      <c r="H11" s="123">
        <f t="shared" si="0"/>
        <v>-81</v>
      </c>
      <c r="I11" s="126">
        <f>IF(B11="","",SUMIF(Resultados!$M$3:$M$30,C11,Resultados!$O$3:$O$30))</f>
        <v>1</v>
      </c>
      <c r="J11" s="121">
        <f>IF(C11&lt;&gt;"",SUMIF(Resultados!$C$4:$C$29,'Temporada 2026'!C11,Resultados!$F$4:$F$29),"")</f>
        <v>15</v>
      </c>
      <c r="K11" s="121">
        <f>IF(C11&lt;&gt;"",SUMIF(Resultados!$C$33:$C$82,'Temporada 2026'!C11,Resultados!$F$33:$F$82),"")</f>
        <v>19</v>
      </c>
      <c r="L11" s="121">
        <f>IF(C11&lt;&gt;"",SUMIF(Resultados!$C$85:$C$110,'Temporada 2026'!C11,Resultados!$F$85:$F$110),"")</f>
        <v>15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10</v>
      </c>
      <c r="P11" s="121">
        <f>IF(C11&lt;&gt;"",SUMIF(Resultados!$C$223:$C$268,'Temporada 2026'!C11,Resultados!$F$223:$F$268),"")</f>
        <v>16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4</v>
      </c>
      <c r="T11" s="121">
        <f>IF(C11&lt;&gt;"",SUMIF(Resultados!$C$360:$C$409,'Temporada 2026'!C11,Resultados!$F$360:$F$409),"")</f>
        <v>29</v>
      </c>
      <c r="U11" s="121">
        <f>IF(C11&lt;&gt;"",SUMIF(Resultados!$C$412:$C$437,'Temporada 2026'!C11,Resultados!$F$412:$F$437),"")</f>
        <v>18</v>
      </c>
      <c r="V11" s="121">
        <f>IF(C11&lt;&gt;"",SUMIF(Resultados!$C$440:$C$465,'Temporada 2026'!C11,Resultados!$F$440:$F$465),"")</f>
        <v>12</v>
      </c>
      <c r="W11" s="121">
        <f>IF(C11&lt;&gt;"",SUMIF(Resultados!$C$469:$C$518,'Temporada 2026'!C11,Resultados!$F$469:$F$518),"")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128</v>
      </c>
      <c r="H12" s="123">
        <f t="shared" si="0"/>
        <v>-91</v>
      </c>
      <c r="I12" s="126">
        <f>IF(B12="","",SUMIF(Resultados!$M$3:$M$30,C12,Resultados!$O$3:$O$30))</f>
        <v>1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5</v>
      </c>
      <c r="L12" s="121">
        <f>IF(C12&lt;&gt;"",SUMIF(Resultados!$C$85:$C$110,'Temporada 2026'!C12,Resultados!$F$85:$F$110),"")</f>
        <v>10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26</v>
      </c>
      <c r="P12" s="121">
        <f>IF(C12&lt;&gt;"",SUMIF(Resultados!$C$223:$C$268,'Temporada 2026'!C12,Resultados!$F$223:$F$268),"")</f>
        <v>7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15</v>
      </c>
      <c r="S12" s="121">
        <f>IF(C12&lt;&gt;"",SUMIF(Resultados!$C$331:$C$356,'Temporada 2026'!C12,Resultados!$F$331:$F$356),"")</f>
        <v>6</v>
      </c>
      <c r="T12" s="121">
        <f>IF(C12&lt;&gt;"",SUMIF(Resultados!$C$360:$C$409,'Temporada 2026'!C12,Resultados!$F$360:$F$409),"")</f>
        <v>18</v>
      </c>
      <c r="U12" s="121">
        <f>IF(C12&lt;&gt;"",SUMIF(Resultados!$C$412:$C$437,'Temporada 2026'!C12,Resultados!$F$412:$F$437),"")</f>
        <v>6</v>
      </c>
      <c r="V12" s="121">
        <f>IF(C12&lt;&gt;"",SUMIF(Resultados!$C$440:$C$465,'Temporada 2026'!C12,Resultados!$F$440:$F$465),"")</f>
        <v>25</v>
      </c>
      <c r="W12" s="121">
        <f>IF(C12&lt;&gt;"",SUMIF(Resultados!$C$469:$C$518,'Temporada 2026'!C12,Resultados!$F$469:$F$518),"")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Max Verstappen</v>
      </c>
      <c r="D13" s="123" t="str">
        <f>VLOOKUP(B13,'Dummy Table'!$A$3:$C$30,3,FALSE)</f>
        <v>Holanda</v>
      </c>
      <c r="E13" s="123" t="str">
        <f>VLOOKUP(B13,'Dummy Table'!$A$3:$D$30,4,FALSE)</f>
        <v>Red Bull</v>
      </c>
      <c r="F13" s="124" t="str">
        <f>IF(C13&lt;&gt;"",IF(G13+Resultados!$K$35&gt;$G$8,"J","L"),"")</f>
        <v>J</v>
      </c>
      <c r="G13" s="125">
        <f>VLOOKUP(B13,'Dummy Table'!$A$3:$E$30,5,FALSE)</f>
        <v>109</v>
      </c>
      <c r="H13" s="123">
        <f t="shared" si="0"/>
        <v>-110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8</v>
      </c>
      <c r="K13" s="121">
        <f>IF(C13&lt;&gt;"",SUMIF(Resultados!$C$33:$C$82,'Temporada 2026'!C13,Resultados!$F$33:$F$82),"")</f>
        <v>0</v>
      </c>
      <c r="L13" s="121">
        <f>IF(C13&lt;&gt;"",SUMIF(Resultados!$C$85:$C$110,'Temporada 2026'!C13,Resultados!$F$85:$F$110),"")</f>
        <v>4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14</v>
      </c>
      <c r="P13" s="121">
        <f>IF(C13&lt;&gt;"",SUMIF(Resultados!$C$223:$C$268,'Temporada 2026'!C13,Resultados!$F$223:$F$268),"")</f>
        <v>17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12</v>
      </c>
      <c r="S13" s="121">
        <f>IF(C13&lt;&gt;"",SUMIF(Resultados!$C$331:$C$356,'Temporada 2026'!C13,Resultados!$F$331:$F$356),"")</f>
        <v>18</v>
      </c>
      <c r="T13" s="121">
        <f>IF(C13&lt;&gt;"",SUMIF(Resultados!$C$360:$C$409,'Temporada 2026'!C13,Resultados!$F$360:$F$409),"")</f>
        <v>3</v>
      </c>
      <c r="U13" s="121">
        <f>IF(C13&lt;&gt;"",SUMIF(Resultados!$C$412:$C$437,'Temporada 2026'!C13,Resultados!$F$412:$F$437),"")</f>
        <v>15</v>
      </c>
      <c r="V13" s="121">
        <f>IF(C13&lt;&gt;"",SUMIF(Resultados!$C$440:$C$465,'Temporada 2026'!C13,Resultados!$F$440:$F$465),"")</f>
        <v>18</v>
      </c>
      <c r="W13" s="121">
        <f>IF(C13&lt;&gt;"",SUMIF(Resultados!$C$469:$C$518,'Temporada 2026'!C13,Resultados!$F$469:$F$518),"")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Oscar Piastri</v>
      </c>
      <c r="D14" s="123" t="str">
        <f>VLOOKUP(B14,'Dummy Table'!$A$3:$C$30,3,FALSE)</f>
        <v>Austrália</v>
      </c>
      <c r="E14" s="123" t="str">
        <f>VLOOKUP(B14,'Dummy Table'!$A$3:$D$30,4,FALSE)</f>
        <v>McLaren</v>
      </c>
      <c r="F14" s="124" t="str">
        <f>IF(C14&lt;&gt;"",IF(G14+Resultados!$K$35&gt;$G$8,"J","L"),"")</f>
        <v>J</v>
      </c>
      <c r="G14" s="125">
        <f>VLOOKUP(B14,'Dummy Table'!$A$3:$E$30,5,FALSE)</f>
        <v>92</v>
      </c>
      <c r="H14" s="123">
        <f t="shared" si="0"/>
        <v>-127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0</v>
      </c>
      <c r="K14" s="121">
        <f>IF(C14&lt;&gt;"",SUMIF(Resultados!$C$33:$C$82,'Temporada 2026'!C14,Resultados!$F$33:$F$82),"")</f>
        <v>3</v>
      </c>
      <c r="L14" s="121">
        <f>IF(C14&lt;&gt;"",SUMIF(Resultados!$C$85:$C$110,'Temporada 2026'!C14,Resultados!$F$85:$F$110),"")</f>
        <v>18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22</v>
      </c>
      <c r="P14" s="121">
        <f>IF(C14&lt;&gt;"",SUMIF(Resultados!$C$223:$C$268,'Temporada 2026'!C14,Resultados!$F$223:$F$268),"")</f>
        <v>5</v>
      </c>
      <c r="Q14" s="121">
        <f>IF(C14&lt;&gt;"",SUMIF(Resultados!$C$275:$C$300,'Temporada 2026'!C14,Resultados!$F$275:$F$300),"")</f>
        <v>10</v>
      </c>
      <c r="R14" s="121">
        <f>IF(C14&lt;&gt;"",SUMIF(Resultados!$C$303:$C$328,'Temporada 2026'!C14,Resultados!$F$303:$F$328),"")</f>
        <v>10</v>
      </c>
      <c r="S14" s="121">
        <f>IF(C14&lt;&gt;"",SUMIF(Resultados!$C$331:$C$356,'Temporada 2026'!C14,Resultados!$F$331:$F$356),"")</f>
        <v>12</v>
      </c>
      <c r="T14" s="121">
        <f>IF(C14&lt;&gt;"",SUMIF(Resultados!$C$360:$C$409,'Temporada 2026'!C14,Resultados!$F$360:$F$409),"")</f>
        <v>2</v>
      </c>
      <c r="U14" s="121">
        <f>IF(C14&lt;&gt;"",SUMIF(Resultados!$C$412:$C$437,'Temporada 2026'!C14,Resultados!$F$412:$F$437),"")</f>
        <v>10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68</v>
      </c>
      <c r="H15" s="123">
        <f t="shared" si="0"/>
        <v>-151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12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10</v>
      </c>
      <c r="U15" s="121">
        <f>IF(C15&lt;&gt;"",SUMIF(Resultados!$C$412:$C$437,'Temporada 2026'!C15,Resultados!$F$412:$F$437),"")</f>
        <v>8</v>
      </c>
      <c r="V15" s="121">
        <f>IF(C15&lt;&gt;"",SUMIF(Resultados!$C$440:$C$465,'Temporada 2026'!C15,Resultados!$F$440:$F$465),"")</f>
        <v>8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Liam Lawson</v>
      </c>
      <c r="D16" s="123" t="str">
        <f>VLOOKUP(B16,'Dummy Table'!$A$3:$C$30,3,FALSE)</f>
        <v>Austrália</v>
      </c>
      <c r="E16" s="123" t="str">
        <f>VLOOKUP(B16,'Dummy Table'!$A$3:$D$30,4,FALSE)</f>
        <v>Racing Bulls</v>
      </c>
      <c r="F16" s="124" t="str">
        <f>IF(C16&lt;&gt;"",IF(G16+Resultados!$K$35&gt;$G$8,"J","L"),"")</f>
        <v>J</v>
      </c>
      <c r="G16" s="125">
        <f>VLOOKUP(B16,'Dummy Table'!$A$3:$E$30,5,FALSE)</f>
        <v>43</v>
      </c>
      <c r="H16" s="123">
        <f t="shared" si="0"/>
        <v>-176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2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6</v>
      </c>
      <c r="Q16" s="121">
        <f>IF(C16&lt;&gt;"",SUMIF(Resultados!$C$275:$C$300,'Temporada 2026'!C16,Resultados!$F$275:$F$300),"")</f>
        <v>8</v>
      </c>
      <c r="R16" s="121">
        <f>IF(C16&lt;&gt;"",SUMIF(Resultados!$C$303:$C$328,'Temporada 2026'!C16,Resultados!$F$303:$F$328),"")</f>
        <v>4</v>
      </c>
      <c r="S16" s="121">
        <f>IF(C16&lt;&gt;"",SUMIF(Resultados!$C$331:$C$356,'Temporada 2026'!C16,Resultados!$F$331:$F$356),"")</f>
        <v>2</v>
      </c>
      <c r="T16" s="121">
        <f>IF(C16&lt;&gt;"",SUMIF(Resultados!$C$360:$C$409,'Temporada 2026'!C16,Resultados!$F$360:$F$409),"")</f>
        <v>9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4</v>
      </c>
      <c r="W16" s="121">
        <f>IF(C16&lt;&gt;"",SUMIF(Resultados!$C$469:$C$518,'Temporada 2026'!C16,Resultados!$F$469:$F$518),"")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Pierre Gasly</v>
      </c>
      <c r="D17" s="123" t="str">
        <f>VLOOKUP(B17,'Dummy Table'!$A$3:$C$30,3,FALSE)</f>
        <v>França</v>
      </c>
      <c r="E17" s="123" t="str">
        <f>VLOOKUP(B17,'Dummy Table'!$A$3:$D$30,4,FALSE)</f>
        <v>Alpine</v>
      </c>
      <c r="F17" s="124" t="str">
        <f>IF(C17&lt;&gt;"",IF(G17+Resultados!$K$35&gt;$G$8,"J","L"),"")</f>
        <v>J</v>
      </c>
      <c r="G17" s="125">
        <f>VLOOKUP(B17,'Dummy Table'!$A$3:$E$30,5,FALSE)</f>
        <v>42</v>
      </c>
      <c r="H17" s="123">
        <f t="shared" si="0"/>
        <v>-177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1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6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1</v>
      </c>
      <c r="P17" s="121">
        <f>IF(C17&lt;&gt;"",SUMIF(Resultados!$C$223:$C$268,'Temporada 2026'!C17,Resultados!$F$223:$F$268),"")</f>
        <v>4</v>
      </c>
      <c r="Q17" s="121">
        <f>IF(C17&lt;&gt;"",SUMIF(Resultados!$C$275:$C$300,'Temporada 2026'!C17,Resultados!$F$275:$F$300),"")</f>
        <v>15</v>
      </c>
      <c r="R17" s="121">
        <f>IF(C17&lt;&gt;"",SUMIF(Resultados!$C$303:$C$328,'Temporada 2026'!C17,Resultados!$F$303:$F$328),"")</f>
        <v>6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1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J</v>
      </c>
      <c r="G18" s="125">
        <f>VLOOKUP(B18,'Dummy Table'!$A$3:$E$30,5,FALSE)</f>
        <v>23</v>
      </c>
      <c r="H18" s="123">
        <f t="shared" si="0"/>
        <v>-196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6</v>
      </c>
      <c r="R18" s="121">
        <f>IF(C18&lt;&gt;"",SUMIF(Resultados!$C$303:$C$328,'Temporada 2026'!C18,Resultados!$F$303:$F$328),"")</f>
        <v>2</v>
      </c>
      <c r="S18" s="121">
        <f>IF(C18&lt;&gt;"",SUMIF(Resultados!$C$331:$C$356,'Temporada 2026'!C18,Resultados!$F$331:$F$356),"")</f>
        <v>1</v>
      </c>
      <c r="T18" s="121">
        <f>IF(C18&lt;&gt;"",SUMIF(Resultados!$C$360:$C$409,'Temporada 2026'!C18,Resultados!$F$360:$F$409),"")</f>
        <v>6</v>
      </c>
      <c r="U18" s="121">
        <f>IF(C18&lt;&gt;"",SUMIF(Resultados!$C$412:$C$437,'Temporada 2026'!C18,Resultados!$F$412:$F$437),"")</f>
        <v>2</v>
      </c>
      <c r="V18" s="121">
        <f>IF(C18&lt;&gt;"",SUMIF(Resultados!$C$440:$C$465,'Temporada 2026'!C18,Resultados!$F$440:$F$465),"")</f>
        <v>1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J</v>
      </c>
      <c r="G19" s="125">
        <f>VLOOKUP(B19,'Dummy Table'!$A$3:$E$30,5,FALSE)</f>
        <v>19</v>
      </c>
      <c r="H19" s="123">
        <f t="shared" si="0"/>
        <v>-200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2</v>
      </c>
      <c r="U19" s="121">
        <f>IF(C19&lt;&gt;"",SUMIF(Resultados!$C$412:$C$437,'Temporada 2026'!C19,Resultados!$F$412:$F$437),"")</f>
        <v>1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Oliver Bearman</v>
      </c>
      <c r="D20" s="123" t="str">
        <f>VLOOKUP(B20,'Dummy Table'!$A$3:$C$30,3,FALSE)</f>
        <v>Inglaterra</v>
      </c>
      <c r="E20" s="123" t="str">
        <f>VLOOKUP(B20,'Dummy Table'!$A$3:$D$30,4,FALSE)</f>
        <v>Haas</v>
      </c>
      <c r="F20" s="124" t="str">
        <f>IF(C20&lt;&gt;"",IF(G20+Resultados!$K$35&gt;$G$8,"J","L"),"")</f>
        <v>J</v>
      </c>
      <c r="G20" s="125">
        <f>VLOOKUP(B20,'Dummy Table'!$A$3:$E$30,5,FALSE)</f>
        <v>18</v>
      </c>
      <c r="H20" s="123">
        <f t="shared" si="0"/>
        <v>-201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6</v>
      </c>
      <c r="K20" s="121">
        <f>IF(C20&lt;&gt;"",SUMIF(Resultados!$C$33:$C$82,'Temporada 2026'!C20,Resultados!$F$33:$F$82),"")</f>
        <v>11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J</v>
      </c>
      <c r="G21" s="125">
        <f>VLOOKUP(B21,'Dummy Table'!$A$3:$E$30,5,FALSE)</f>
        <v>10</v>
      </c>
      <c r="H21" s="123">
        <f t="shared" si="0"/>
        <v>-209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4</v>
      </c>
      <c r="U21" s="121">
        <f>IF(C21&lt;&gt;"",SUMIF(Resultados!$C$412:$C$437,'Temporada 2026'!C21,Resultados!$F$412:$F$437),"")</f>
        <v>4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Carlos Sainz</v>
      </c>
      <c r="D22" s="123" t="str">
        <f>VLOOKUP(B22,'Dummy Table'!$A$3:$C$30,3,FALSE)</f>
        <v>Espanha</v>
      </c>
      <c r="E22" s="123" t="str">
        <f>VLOOKUP(B22,'Dummy Table'!$A$3:$D$30,4,FALSE)</f>
        <v>Williams</v>
      </c>
      <c r="F22" s="124" t="str">
        <f>IF(C22&lt;&gt;"",IF(G22+Resultados!$K$35&gt;$G$8,"J","L"),"")</f>
        <v>J</v>
      </c>
      <c r="G22" s="125">
        <f>VLOOKUP(B22,'Dummy Table'!$A$3:$E$30,5,FALSE)</f>
        <v>6</v>
      </c>
      <c r="H22" s="123">
        <f t="shared" si="0"/>
        <v>-213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2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2</v>
      </c>
      <c r="P22" s="121">
        <f>IF(C22&lt;&gt;"",SUMIF(Resultados!$C$223:$C$268,'Temporada 2026'!C22,Resultados!$F$223:$F$268),"")</f>
        <v>2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Alexander Albon</v>
      </c>
      <c r="D23" s="123" t="str">
        <f>VLOOKUP(B23,'Dummy Table'!$A$3:$C$30,3,FALSE)</f>
        <v>Tailandia</v>
      </c>
      <c r="E23" s="123" t="str">
        <f>VLOOKUP(B23,'Dummy Table'!$A$3:$D$30,4,FALSE)</f>
        <v>Williams</v>
      </c>
      <c r="F23" s="124" t="str">
        <f>IF(C23&lt;&gt;"",IF(G23+Resultados!$K$35&gt;$G$8,"J","L"),"")</f>
        <v>J</v>
      </c>
      <c r="G23" s="125">
        <f>VLOOKUP(B23,'Dummy Table'!$A$3:$E$30,5,FALSE)</f>
        <v>5</v>
      </c>
      <c r="H23" s="123">
        <f t="shared" si="0"/>
        <v>-214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1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4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Esteban Ocon</v>
      </c>
      <c r="D24" s="123" t="str">
        <f>VLOOKUP(B24,'Dummy Table'!$A$3:$C$30,3,FALSE)</f>
        <v>França</v>
      </c>
      <c r="E24" s="123" t="str">
        <f>VLOOKUP(B24,'Dummy Table'!$A$3:$D$30,4,FALSE)</f>
        <v>Haas</v>
      </c>
      <c r="F24" s="124" t="str">
        <f>IF(C24&lt;&gt;"",IF(G24+Resultados!$K$35&gt;$G$8,"J","L"),"")</f>
        <v>J</v>
      </c>
      <c r="G24" s="125">
        <f>VLOOKUP(B24,'Dummy Table'!$A$3:$E$30,5,FALSE)</f>
        <v>3</v>
      </c>
      <c r="H24" s="123">
        <f t="shared" si="0"/>
        <v>-216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1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2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Nico Hulkenberg</v>
      </c>
      <c r="D25" s="123" t="str">
        <f>VLOOKUP(B25,'Dummy Table'!$A$3:$C$30,3,FALSE)</f>
        <v>Alemanha</v>
      </c>
      <c r="E25" s="123" t="str">
        <f>VLOOKUP(B25,'Dummy Table'!$A$3:$D$30,4,FALSE)</f>
        <v>Audi</v>
      </c>
      <c r="F25" s="124" t="str">
        <f>IF(C25&lt;&gt;"",IF(G25+Resultados!$K$35&gt;$G$8,"J","L"),"")</f>
        <v>J</v>
      </c>
      <c r="G25" s="125">
        <f>VLOOKUP(B25,'Dummy Table'!$A$3:$E$30,5,FALSE)</f>
        <v>2</v>
      </c>
      <c r="H25" s="123">
        <f t="shared" si="0"/>
        <v>-217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2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Fernando Alonso</v>
      </c>
      <c r="D26" s="123" t="str">
        <f>VLOOKUP(B26,'Dummy Table'!$A$3:$C$30,3,FALSE)</f>
        <v>Espanha</v>
      </c>
      <c r="E26" s="123" t="str">
        <f>VLOOKUP(B26,'Dummy Table'!$A$3:$D$30,4,FALSE)</f>
        <v>Aston Martin</v>
      </c>
      <c r="F26" s="124" t="str">
        <f>IF(C26&lt;&gt;"",IF(G26+Resultados!$K$35&gt;$G$8,"J","L"),"")</f>
        <v>J</v>
      </c>
      <c r="G26" s="125">
        <f>VLOOKUP(B26,'Dummy Table'!$A$3:$E$30,5,FALSE)</f>
        <v>1</v>
      </c>
      <c r="H26" s="123">
        <f t="shared" si="0"/>
        <v>-218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1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Lance Stroll</v>
      </c>
      <c r="D27" s="123" t="str">
        <f>VLOOKUP(B27,'Dummy Table'!$A$3:$C$30,3,FALSE)</f>
        <v>Canadá</v>
      </c>
      <c r="E27" s="123" t="str">
        <f>VLOOKUP(B27,'Dummy Table'!$A$3:$D$30,4,FALSE)</f>
        <v>Aston Martin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-219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Valtteri Bottas</v>
      </c>
      <c r="D28" s="123" t="str">
        <f>VLOOKUP(B28,'Dummy Table'!$A$3:$C$30,3,FALSE)</f>
        <v>Finlândia</v>
      </c>
      <c r="E28" s="123" t="str">
        <f>VLOOKUP(B28,'Dummy Table'!$A$3:$D$30,4,FALSE)</f>
        <v>Cadillac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-219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Sergio Perez</v>
      </c>
      <c r="D29" s="123" t="str">
        <f>VLOOKUP(B29,'Dummy Table'!$A$3:$C$30,3,FALSE)</f>
        <v>México</v>
      </c>
      <c r="E29" s="123" t="str">
        <f>VLOOKUP(B29,'Dummy Table'!$A$3:$D$30,4,FALSE)</f>
        <v>Cadillac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-219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IF(C30&lt;&gt;"",SUMIF(Resultados!$C$223:$C$268,'Temporada 2026'!C30,Resultados!$F$223:$F$268),"")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IF(C30&lt;&gt;"",SUMIF(Resultados!$C$360:$C$409,'Temporada 2026'!C30,Resultados!$F$360:$F$409),"")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IF(C30&lt;&gt;"",SUMIF(Resultados!$C$440:$C$465,'Temporada 2026'!C30,Resultados!$F$440:$F$465),"")</f>
        <v/>
      </c>
      <c r="W30" s="121" t="str">
        <f>IF(C30&lt;&gt;"",SUMIF(Resultados!$C$469:$C$518,'Temporada 2026'!C30,Resultados!$F$469:$F$518),"")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IF(C30&lt;&gt;"",SUMIF(Resultados!$C$606:$C$655,'Temporada 2026'!C30,Resultados!$F$606:$F$655),"")</f>
        <v/>
      </c>
      <c r="AB30" s="121" t="str">
        <f>IF(C30&lt;&gt;"",SUMIF(Resultados!$C$658:$C$683,'Temporada 2026'!C30,Resultados!$F$658:$F$683),"")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IF(C30&lt;&gt;"",SUMIF(Resultados!$C$714:$C$739,'Temporada 2026'!C30,Resultados!$F$714:$F$739),"")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IF(C30&lt;&gt;"",SUMIF(Resultados!$C$770:$C$795,'Temporada 2026'!C30,Resultados!$F$770:$F$795),"")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7" t="s">
        <v>357</v>
      </c>
      <c r="C36" s="157"/>
      <c r="D36" s="157"/>
      <c r="E36" s="157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1" t="s">
        <v>434</v>
      </c>
      <c r="S36" s="151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0"/>
    </row>
    <row r="37" spans="2:33" x14ac:dyDescent="0.2">
      <c r="B37" s="158" t="s">
        <v>244</v>
      </c>
      <c r="C37" s="158" t="s">
        <v>233</v>
      </c>
      <c r="D37" s="158" t="s">
        <v>16</v>
      </c>
      <c r="E37" s="158" t="s">
        <v>236</v>
      </c>
      <c r="F37" s="158" t="s">
        <v>245</v>
      </c>
      <c r="G37" s="158" t="s">
        <v>246</v>
      </c>
      <c r="H37" s="120"/>
      <c r="I37" s="158" t="s">
        <v>253</v>
      </c>
      <c r="J37" s="159" t="s">
        <v>232</v>
      </c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59"/>
      <c r="AG37" s="159"/>
    </row>
    <row r="38" spans="2:33" x14ac:dyDescent="0.2">
      <c r="B38" s="158"/>
      <c r="C38" s="158"/>
      <c r="D38" s="158"/>
      <c r="E38" s="158"/>
      <c r="F38" s="158"/>
      <c r="G38" s="158"/>
      <c r="H38" s="120"/>
      <c r="I38" s="158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379</v>
      </c>
      <c r="H39" s="125"/>
      <c r="I39" s="126">
        <f>IF(B39="","",SUMIF(Resultados!$N$3:$N$30,C39,Resultados!$O$3:$O$30))</f>
        <v>8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31</v>
      </c>
      <c r="U39" s="121">
        <f>IF(C39&lt;&gt;"",SUMIF(Resultados!$E$412:$E$437,'Temporada 2026'!C39,Resultados!$F$412:$F$437),"")</f>
        <v>25</v>
      </c>
      <c r="V39" s="121">
        <f>IF(C39&lt;&gt;"",SUMIF(Resultados!$E$440:$E$465,'Temporada 2026'!C39,Resultados!$F$440:$F$465),"")</f>
        <v>21</v>
      </c>
      <c r="W39" s="121">
        <f>IF(C39&lt;&gt;"",SUMIF(Resultados!$E$469:$E$518,'Temporada 2026'!C39,Resultados!$F$469:$F$518),"")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IF(C39&lt;&gt;"",SUMIF(Resultados!$E$606:$E$655,'Temporada 2026'!C39,Resultados!$F$606:$F$655),"")</f>
        <v>0</v>
      </c>
      <c r="AB39" s="121">
        <f>IF(C39&lt;&gt;"",SUMIF(Resultados!$E$658:$E$683,'Temporada 2026'!C39,Resultados!$F$658:$F$683),"")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307</v>
      </c>
      <c r="H40" s="123">
        <f>IF(C40&lt;&gt;"",G40-G$39,"")</f>
        <v>-72</v>
      </c>
      <c r="I40" s="126">
        <f>IF(B40="","",SUMIF(Resultados!$N$3:$N$30,C40,Resultados!$O$3:$O$30))</f>
        <v>2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51</v>
      </c>
      <c r="U40" s="121">
        <f>IF(C40&lt;&gt;"",SUMIF(Resultados!$E$412:$E$437,'Temporada 2026'!C40,Resultados!$F$412:$F$437),"")</f>
        <v>30</v>
      </c>
      <c r="V40" s="121">
        <f>IF(C40&lt;&gt;"",SUMIF(Resultados!$E$440:$E$465,'Temporada 2026'!C40,Resultados!$F$440:$F$465),"")</f>
        <v>22</v>
      </c>
      <c r="W40" s="121">
        <f>IF(C40&lt;&gt;"",SUMIF(Resultados!$E$469:$E$518,'Temporada 2026'!C40,Resultados!$F$469:$F$518),"")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IF(C40&lt;&gt;"",SUMIF(Resultados!$E$606:$E$655,'Temporada 2026'!C40,Resultados!$F$606:$F$655),"")</f>
        <v>0</v>
      </c>
      <c r="AB40" s="121">
        <f>IF(C40&lt;&gt;"",SUMIF(Resultados!$E$658:$E$683,'Temporada 2026'!C40,Resultados!$F$658:$F$683),"")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220</v>
      </c>
      <c r="H41" s="123">
        <f t="shared" ref="H41:H51" si="1">IF(C41&lt;&gt;"",G41-G$39,"")</f>
        <v>-159</v>
      </c>
      <c r="I41" s="126">
        <f>IF(B41="","",SUMIF(Resultados!$N$3:$N$30,C41,Resultados!$O$3:$O$30))</f>
        <v>1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10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20</v>
      </c>
      <c r="U41" s="121">
        <f>IF(C41&lt;&gt;"",SUMIF(Resultados!$E$412:$E$437,'Temporada 2026'!C41,Resultados!$F$412:$F$437),"")</f>
        <v>16</v>
      </c>
      <c r="V41" s="121">
        <f>IF(C41&lt;&gt;"",SUMIF(Resultados!$E$440:$E$465,'Temporada 2026'!C41,Resultados!$F$440:$F$465),"")</f>
        <v>25</v>
      </c>
      <c r="W41" s="121">
        <f>IF(C41&lt;&gt;"",SUMIF(Resultados!$E$469:$E$518,'Temporada 2026'!C41,Resultados!$F$469:$F$518),"")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0</v>
      </c>
      <c r="AB41" s="121">
        <f>IF(C41&lt;&gt;"",SUMIF(Resultados!$E$658:$E$683,'Temporada 2026'!C41,Resultados!$F$658:$F$683),"")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177</v>
      </c>
      <c r="H42" s="123">
        <f t="shared" si="1"/>
        <v>-202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12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13</v>
      </c>
      <c r="U42" s="121">
        <f>IF(C42&lt;&gt;"",SUMIF(Resultados!$E$412:$E$437,'Temporada 2026'!C42,Resultados!$F$412:$F$437),"")</f>
        <v>23</v>
      </c>
      <c r="V42" s="121">
        <f>IF(C42&lt;&gt;"",SUMIF(Resultados!$E$440:$E$465,'Temporada 2026'!C42,Resultados!$F$440:$F$465),"")</f>
        <v>26</v>
      </c>
      <c r="W42" s="121">
        <f>IF(C42&lt;&gt;"",SUMIF(Resultados!$E$469:$E$518,'Temporada 2026'!C42,Resultados!$F$469:$F$518),"")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IF(C42&lt;&gt;"",SUMIF(Resultados!$E$606:$E$655,'Temporada 2026'!C42,Resultados!$F$606:$F$655),"")</f>
        <v>0</v>
      </c>
      <c r="AB42" s="121">
        <f>IF(C42&lt;&gt;"",SUMIF(Resultados!$E$658:$E$683,'Temporada 2026'!C42,Resultados!$F$658:$F$683),"")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Racing Bulls</v>
      </c>
      <c r="D43" s="123" t="str">
        <f>VLOOKUP(B43,'Dummy Table'!$A$34:$C$47,3,FALSE)</f>
        <v>Itália</v>
      </c>
      <c r="E43" s="123" t="str">
        <f>VLOOKUP(B43,'Dummy Table'!$A$34:$D$47,4,FALSE)</f>
        <v>RB Ford</v>
      </c>
      <c r="F43" s="124" t="str">
        <f>IF(C43&lt;&gt;"",IF(G43+Resultados!$K$30&gt;$G$39,"J","L"),"")</f>
        <v>J</v>
      </c>
      <c r="G43" s="125">
        <f>VLOOKUP(B43,'Dummy Table'!$A$34:$E$47,5,FALSE)</f>
        <v>66</v>
      </c>
      <c r="H43" s="123">
        <f t="shared" si="1"/>
        <v>-313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4</v>
      </c>
      <c r="K43" s="121">
        <f>IF(C43&lt;&gt;"",SUMIF(Resultados!$E$33:$E$82,'Temporada 2026'!C43,Resultados!$F$33:$F$82),"")</f>
        <v>8</v>
      </c>
      <c r="L43" s="121">
        <f>IF(C43&lt;&gt;"",SUMIF(Resultados!$E$85:$E$110,'Temporada 2026'!C43,Resultados!$F$85:$F$110),"")</f>
        <v>2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6</v>
      </c>
      <c r="Q43" s="121">
        <f>IF(C43&lt;&gt;"",SUMIF(Resultados!$E$275:$E$300,'Temporada 2026'!C43,Resultados!$F$275:$F$300),"")</f>
        <v>14</v>
      </c>
      <c r="R43" s="121">
        <f>IF(C43&lt;&gt;"",SUMIF(Resultados!$E$303:$E$328,'Temporada 2026'!C43,Resultados!$F$303:$F$328),"")</f>
        <v>6</v>
      </c>
      <c r="S43" s="121">
        <f>IF(C43&lt;&gt;"",SUMIF(Resultados!$E$331:$E$356,'Temporada 2026'!C43,Resultados!$F$331:$F$356),"")</f>
        <v>3</v>
      </c>
      <c r="T43" s="121">
        <f>IF(C43&lt;&gt;"",SUMIF(Resultados!$E$360:$E$409,'Temporada 2026'!C43,Resultados!$F$360:$F$409),"")</f>
        <v>15</v>
      </c>
      <c r="U43" s="121">
        <f>IF(C43&lt;&gt;"",SUMIF(Resultados!$E$412:$E$437,'Temporada 2026'!C43,Resultados!$F$412:$F$437),"")</f>
        <v>2</v>
      </c>
      <c r="V43" s="121">
        <f>IF(C43&lt;&gt;"",SUMIF(Resultados!$E$440:$E$465,'Temporada 2026'!C43,Resultados!$F$440:$F$465),"")</f>
        <v>5</v>
      </c>
      <c r="W43" s="121">
        <f>IF(C43&lt;&gt;"",SUMIF(Resultados!$E$469:$E$518,'Temporada 2026'!C43,Resultados!$F$469:$F$518),"")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IF(C43&lt;&gt;"",SUMIF(Resultados!$E$606:$E$655,'Temporada 2026'!C43,Resultados!$F$606:$F$655),"")</f>
        <v>0</v>
      </c>
      <c r="AB43" s="121">
        <f>IF(C43&lt;&gt;"",SUMIF(Resultados!$E$658:$E$683,'Temporada 2026'!C43,Resultados!$F$658:$F$683),"")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Alpine</v>
      </c>
      <c r="D44" s="123" t="str">
        <f>VLOOKUP(B44,'Dummy Table'!$A$34:$C$47,3,FALSE)</f>
        <v>França</v>
      </c>
      <c r="E44" s="123" t="str">
        <f>VLOOKUP(B44,'Dummy Table'!$A$34:$D$47,4,FALSE)</f>
        <v>Renault</v>
      </c>
      <c r="F44" s="124" t="str">
        <f>IF(C44&lt;&gt;"",IF(G44+Resultados!$K$30&gt;$G$39,"J","L"),"")</f>
        <v>J</v>
      </c>
      <c r="G44" s="125">
        <f>VLOOKUP(B44,'Dummy Table'!$A$34:$E$47,5,FALSE)</f>
        <v>61</v>
      </c>
      <c r="H44" s="123">
        <f t="shared" si="1"/>
        <v>-318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1</v>
      </c>
      <c r="K44" s="121">
        <f>IF(C44&lt;&gt;"",SUMIF(Resultados!$E$33:$E$82,'Temporada 2026'!C44,Resultados!$F$33:$F$82),"")</f>
        <v>9</v>
      </c>
      <c r="L44" s="121">
        <f>IF(C44&lt;&gt;"",SUMIF(Resultados!$E$85:$E$110,'Temporada 2026'!C44,Resultados!$F$85:$F$110),"")</f>
        <v>6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7</v>
      </c>
      <c r="P44" s="121">
        <f>IF(C44&lt;&gt;"",SUMIF(Resultados!$E$247:$E$272,'Temporada 2026'!C44,Resultados!$F$247:$F$272),"")</f>
        <v>12</v>
      </c>
      <c r="Q44" s="121">
        <f>IF(C44&lt;&gt;"",SUMIF(Resultados!$E$275:$E$300,'Temporada 2026'!C44,Resultados!$F$275:$F$300),"")</f>
        <v>15</v>
      </c>
      <c r="R44" s="121">
        <f>IF(C44&lt;&gt;"",SUMIF(Resultados!$E$303:$E$328,'Temporada 2026'!C44,Resultados!$F$303:$F$328),"")</f>
        <v>7</v>
      </c>
      <c r="S44" s="121">
        <f>IF(C44&lt;&gt;"",SUMIF(Resultados!$E$331:$E$356,'Temporada 2026'!C44,Resultados!$F$331:$F$356),"")</f>
        <v>0</v>
      </c>
      <c r="T44" s="121">
        <f>IF(C44&lt;&gt;"",SUMIF(Resultados!$E$360:$E$409,'Temporada 2026'!C44,Resultados!$F$360:$F$409),"")</f>
        <v>3</v>
      </c>
      <c r="U44" s="121">
        <f>IF(C44&lt;&gt;"",SUMIF(Resultados!$E$412:$E$437,'Temporada 2026'!C44,Resultados!$F$412:$F$437),"")</f>
        <v>1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21</v>
      </c>
      <c r="H45" s="123">
        <f t="shared" si="1"/>
        <v>-358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IF(C45&lt;&gt;"",SUMIF(Resultados!$E$606:$E$655,'Temporada 2026'!C45,Resultados!$F$606:$F$655),"")</f>
        <v>0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Audi</v>
      </c>
      <c r="D46" s="123" t="str">
        <f>VLOOKUP(B46,'Dummy Table'!$A$34:$C$47,3,FALSE)</f>
        <v>Alemanha</v>
      </c>
      <c r="E46" s="123" t="str">
        <f>VLOOKUP(B46,'Dummy Table'!$A$34:$D$47,4,FALSE)</f>
        <v>Audi</v>
      </c>
      <c r="F46" s="124" t="str">
        <f>IF(C46&lt;&gt;"",IF(G46+Resultados!$K$30&gt;$G$39,"J","L"),"")</f>
        <v>J</v>
      </c>
      <c r="G46" s="125">
        <f>VLOOKUP(B46,'Dummy Table'!$A$34:$E$47,5,FALSE)</f>
        <v>12</v>
      </c>
      <c r="H46" s="123">
        <f t="shared" si="1"/>
        <v>-367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2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4</v>
      </c>
      <c r="U46" s="121">
        <f>IF(C46&lt;&gt;"",SUMIF(Resultados!$E$412:$E$437,'Temporada 2026'!C46,Resultados!$F$412:$F$437),"")</f>
        <v>4</v>
      </c>
      <c r="V46" s="121">
        <f>IF(C46&lt;&gt;"",SUMIF(Resultados!$E$440:$E$465,'Temporada 2026'!C46,Resultados!$F$440:$F$465),"")</f>
        <v>2</v>
      </c>
      <c r="W46" s="121">
        <f>IF(C46&lt;&gt;"",SUMIF(Resultados!$E$469:$E$518,'Temporada 2026'!C46,Resultados!$F$469:$F$518),"")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0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J</v>
      </c>
      <c r="G47" s="125">
        <f>VLOOKUP(B47,'Dummy Table'!$A$34:$E$47,5,FALSE)</f>
        <v>11</v>
      </c>
      <c r="H47" s="123">
        <f t="shared" si="1"/>
        <v>-368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2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3</v>
      </c>
      <c r="P47" s="121">
        <f>IF(C47&lt;&gt;"",SUMIF(Resultados!$E$247:$E$272,'Temporada 2026'!C47,Resultados!$F$247:$F$272),"")</f>
        <v>2</v>
      </c>
      <c r="Q47" s="121">
        <f>IF(C47&lt;&gt;"",SUMIF(Resultados!$E$275:$E$300,'Temporada 2026'!C47,Resultados!$F$275:$F$300),"")</f>
        <v>4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J</v>
      </c>
      <c r="G48" s="125">
        <f>VLOOKUP(B48,'Dummy Table'!$A$34:$E$47,5,FALSE)</f>
        <v>1</v>
      </c>
      <c r="H48" s="123">
        <f t="shared" si="1"/>
        <v>-378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-379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62" t="s">
        <v>249</v>
      </c>
      <c r="C54" s="162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358</v>
      </c>
      <c r="C58" s="129" t="s">
        <v>359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KKOkESln/pkSRBC53hDJv7JtmNPGNH/UxfU4fKQkapFmaUIGf0HMR6nMnhPc0rX6oZ9CyJ2FXsdw/srQGurN2w==" saltValue="WvUjPHrbGGB3uHCQqPqJcA==" spinCount="100000" sheet="1" selectLockedCells="1"/>
  <mergeCells count="21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H6:H7"/>
    <mergeCell ref="G6:G7"/>
    <mergeCell ref="F6:F7"/>
    <mergeCell ref="J6:AG6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N29" sqref="N29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360</v>
      </c>
      <c r="D1" t="s">
        <v>361</v>
      </c>
      <c r="E1" t="s">
        <v>362</v>
      </c>
      <c r="F1" t="s">
        <v>363</v>
      </c>
      <c r="G1" s="154" t="s">
        <v>435</v>
      </c>
      <c r="H1" t="s">
        <v>364</v>
      </c>
      <c r="I1" s="153" t="s">
        <v>367</v>
      </c>
      <c r="J1" t="s">
        <v>365</v>
      </c>
      <c r="K1" t="s">
        <v>366</v>
      </c>
      <c r="L1" s="153" t="s">
        <v>380</v>
      </c>
      <c r="M1" s="153" t="s">
        <v>368</v>
      </c>
      <c r="N1" s="153" t="s">
        <v>369</v>
      </c>
      <c r="O1" s="153" t="s">
        <v>370</v>
      </c>
      <c r="P1" s="153" t="s">
        <v>371</v>
      </c>
      <c r="Q1" s="153" t="s">
        <v>436</v>
      </c>
      <c r="R1" t="s">
        <v>372</v>
      </c>
      <c r="S1" t="s">
        <v>373</v>
      </c>
      <c r="T1" t="s">
        <v>374</v>
      </c>
      <c r="U1" t="s">
        <v>302</v>
      </c>
      <c r="V1" t="s">
        <v>375</v>
      </c>
      <c r="W1" t="s">
        <v>376</v>
      </c>
      <c r="X1" t="s">
        <v>377</v>
      </c>
      <c r="Y1" t="s">
        <v>378</v>
      </c>
      <c r="Z1" t="s">
        <v>379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171</v>
      </c>
      <c r="M2">
        <f>L2+'Temporada 2026'!T8</f>
        <v>179</v>
      </c>
      <c r="N2">
        <f>M2+'Temporada 2026'!U8</f>
        <v>204</v>
      </c>
      <c r="O2">
        <f>N2+'Temporada 2026'!V8</f>
        <v>219</v>
      </c>
      <c r="P2">
        <f>O2+'Temporada 2026'!W8</f>
        <v>219</v>
      </c>
      <c r="Q2">
        <f>P2+'Temporada 2026'!X8</f>
        <v>219</v>
      </c>
      <c r="R2">
        <f>Q2+'Temporada 2026'!Y8</f>
        <v>219</v>
      </c>
      <c r="S2">
        <f>R2+'Temporada 2026'!Z8</f>
        <v>219</v>
      </c>
      <c r="T2">
        <f>S2+'Temporada 2026'!AA8</f>
        <v>219</v>
      </c>
      <c r="U2">
        <f>T2+'Temporada 2026'!AB8</f>
        <v>219</v>
      </c>
      <c r="V2">
        <f>U2+'Temporada 2026'!AC8</f>
        <v>219</v>
      </c>
      <c r="W2">
        <f>V2+'Temporada 2026'!AD8</f>
        <v>219</v>
      </c>
      <c r="X2">
        <f>W2+'Temporada 2026'!AE8</f>
        <v>219</v>
      </c>
      <c r="Y2">
        <f>X2+'Temporada 2026'!AF8</f>
        <v>219</v>
      </c>
      <c r="Z2">
        <f>Y2+'Temporada 2026'!AG8</f>
        <v>219</v>
      </c>
    </row>
    <row r="3" spans="1:26" x14ac:dyDescent="0.2">
      <c r="A3">
        <f>'Temporada 2026'!B9</f>
        <v>2</v>
      </c>
      <c r="B3" t="str">
        <f>'Temporada 2026'!C9</f>
        <v>Lewis Hamilton</v>
      </c>
      <c r="C3">
        <f>'Temporada 2026'!J9</f>
        <v>12</v>
      </c>
      <c r="D3">
        <f>C3+'Temporada 2026'!K9</f>
        <v>33</v>
      </c>
      <c r="E3">
        <f>D3+'Temporada 2026'!L9</f>
        <v>41</v>
      </c>
      <c r="F3">
        <f>E3+'Temporada 2026'!M9</f>
        <v>41</v>
      </c>
      <c r="G3">
        <f>F3+'Temporada 2026'!N9</f>
        <v>41</v>
      </c>
      <c r="H3">
        <f>G3+'Temporada 2026'!O9</f>
        <v>51</v>
      </c>
      <c r="I3">
        <f>H3+'Temporada 2026'!P9</f>
        <v>72</v>
      </c>
      <c r="J3">
        <f>I3+'Temporada 2026'!Q9</f>
        <v>90</v>
      </c>
      <c r="K3">
        <f>J3+'Temporada 2026'!R9</f>
        <v>115</v>
      </c>
      <c r="L3">
        <f>K3+'Temporada 2026'!S9</f>
        <v>125</v>
      </c>
      <c r="M3">
        <f>L3+'Temporada 2026'!T9</f>
        <v>147</v>
      </c>
      <c r="N3">
        <f>M3+'Temporada 2026'!U9</f>
        <v>159</v>
      </c>
      <c r="O3">
        <f>N3+'Temporada 2026'!V9</f>
        <v>169</v>
      </c>
      <c r="P3">
        <f>O3+'Temporada 2026'!W9</f>
        <v>169</v>
      </c>
      <c r="Q3">
        <f>P3+'Temporada 2026'!X9</f>
        <v>169</v>
      </c>
      <c r="R3">
        <f>Q3+'Temporada 2026'!Y9</f>
        <v>169</v>
      </c>
      <c r="S3">
        <f>R3+'Temporada 2026'!Z9</f>
        <v>169</v>
      </c>
      <c r="T3">
        <f>S3+'Temporada 2026'!AA9</f>
        <v>169</v>
      </c>
      <c r="U3">
        <f>T3+'Temporada 2026'!AB9</f>
        <v>169</v>
      </c>
      <c r="V3">
        <f>U3+'Temporada 2026'!AC9</f>
        <v>169</v>
      </c>
      <c r="W3">
        <f>V3+'Temporada 2026'!AD9</f>
        <v>169</v>
      </c>
      <c r="X3">
        <f>W3+'Temporada 2026'!AE9</f>
        <v>169</v>
      </c>
      <c r="Y3">
        <f>X3+'Temporada 2026'!AF9</f>
        <v>169</v>
      </c>
      <c r="Z3">
        <f>Y3+'Temporada 2026'!AG9</f>
        <v>169</v>
      </c>
    </row>
    <row r="4" spans="1:26" x14ac:dyDescent="0.2">
      <c r="A4">
        <f>'Temporada 2026'!B10</f>
        <v>3</v>
      </c>
      <c r="B4" t="str">
        <f>'Temporada 2026'!C10</f>
        <v>George Russell</v>
      </c>
      <c r="C4">
        <f>'Temporada 2026'!J10</f>
        <v>25</v>
      </c>
      <c r="D4">
        <f>C4+'Temporada 2026'!K10</f>
        <v>51</v>
      </c>
      <c r="E4">
        <f>D4+'Temporada 2026'!L10</f>
        <v>63</v>
      </c>
      <c r="F4">
        <f>E4+'Temporada 2026'!M10</f>
        <v>63</v>
      </c>
      <c r="G4">
        <f>F4+'Temporada 2026'!N10</f>
        <v>63</v>
      </c>
      <c r="H4">
        <f>G4+'Temporada 2026'!O10</f>
        <v>80</v>
      </c>
      <c r="I4">
        <f>H4+'Temporada 2026'!P10</f>
        <v>88</v>
      </c>
      <c r="J4">
        <f>I4+'Temporada 2026'!Q10</f>
        <v>88</v>
      </c>
      <c r="K4">
        <f>J4+'Temporada 2026'!R10</f>
        <v>106</v>
      </c>
      <c r="L4">
        <f>K4+'Temporada 2026'!S10</f>
        <v>131</v>
      </c>
      <c r="M4">
        <f>L4+'Temporada 2026'!T10</f>
        <v>154</v>
      </c>
      <c r="N4">
        <f>M4+'Temporada 2026'!U10</f>
        <v>154</v>
      </c>
      <c r="O4">
        <f>N4+'Temporada 2026'!V10</f>
        <v>160</v>
      </c>
      <c r="P4">
        <f>O4+'Temporada 2026'!W10</f>
        <v>160</v>
      </c>
      <c r="Q4">
        <f>P4+'Temporada 2026'!X10</f>
        <v>160</v>
      </c>
      <c r="R4">
        <f>Q4+'Temporada 2026'!Y10</f>
        <v>160</v>
      </c>
      <c r="S4">
        <f>R4+'Temporada 2026'!Z10</f>
        <v>160</v>
      </c>
      <c r="T4">
        <f>S4+'Temporada 2026'!AA10</f>
        <v>160</v>
      </c>
      <c r="U4">
        <f>T4+'Temporada 2026'!AB10</f>
        <v>160</v>
      </c>
      <c r="V4">
        <f>U4+'Temporada 2026'!AC10</f>
        <v>160</v>
      </c>
      <c r="W4">
        <f>V4+'Temporada 2026'!AD10</f>
        <v>160</v>
      </c>
      <c r="X4">
        <f>W4+'Temporada 2026'!AE10</f>
        <v>160</v>
      </c>
      <c r="Y4">
        <f>X4+'Temporada 2026'!AF10</f>
        <v>160</v>
      </c>
      <c r="Z4">
        <f>Y4+'Temporada 2026'!AG10</f>
        <v>160</v>
      </c>
    </row>
    <row r="5" spans="1:26" x14ac:dyDescent="0.2">
      <c r="A5">
        <f>'Temporada 2026'!B11</f>
        <v>4</v>
      </c>
      <c r="B5" t="str">
        <f>'Temporada 2026'!C11</f>
        <v>Charles Leclerc</v>
      </c>
      <c r="C5">
        <f>'Temporada 2026'!J11</f>
        <v>15</v>
      </c>
      <c r="D5">
        <f>C5+'Temporada 2026'!K11</f>
        <v>34</v>
      </c>
      <c r="E5">
        <f>D5+'Temporada 2026'!L11</f>
        <v>49</v>
      </c>
      <c r="F5">
        <f>E5+'Temporada 2026'!M11</f>
        <v>49</v>
      </c>
      <c r="G5">
        <f>F5+'Temporada 2026'!N11</f>
        <v>49</v>
      </c>
      <c r="H5">
        <f>G5+'Temporada 2026'!O11</f>
        <v>59</v>
      </c>
      <c r="I5">
        <f>H5+'Temporada 2026'!P11</f>
        <v>75</v>
      </c>
      <c r="J5">
        <f>I5+'Temporada 2026'!Q11</f>
        <v>75</v>
      </c>
      <c r="K5">
        <f>J5+'Temporada 2026'!R11</f>
        <v>75</v>
      </c>
      <c r="L5">
        <f>K5+'Temporada 2026'!S11</f>
        <v>79</v>
      </c>
      <c r="M5">
        <f>L5+'Temporada 2026'!T11</f>
        <v>108</v>
      </c>
      <c r="N5">
        <f>M5+'Temporada 2026'!U11</f>
        <v>126</v>
      </c>
      <c r="O5">
        <f>N5+'Temporada 2026'!V11</f>
        <v>138</v>
      </c>
      <c r="P5">
        <f>O5+'Temporada 2026'!W11</f>
        <v>138</v>
      </c>
      <c r="Q5">
        <f>P5+'Temporada 2026'!X11</f>
        <v>138</v>
      </c>
      <c r="R5">
        <f>Q5+'Temporada 2026'!Y11</f>
        <v>138</v>
      </c>
      <c r="S5">
        <f>R5+'Temporada 2026'!Z11</f>
        <v>138</v>
      </c>
      <c r="T5">
        <f>S5+'Temporada 2026'!AA11</f>
        <v>138</v>
      </c>
      <c r="U5">
        <f>T5+'Temporada 2026'!AB11</f>
        <v>138</v>
      </c>
      <c r="V5">
        <f>U5+'Temporada 2026'!AC11</f>
        <v>138</v>
      </c>
      <c r="W5">
        <f>V5+'Temporada 2026'!AD11</f>
        <v>138</v>
      </c>
      <c r="X5">
        <f>W5+'Temporada 2026'!AE11</f>
        <v>138</v>
      </c>
      <c r="Y5">
        <f>X5+'Temporada 2026'!AF11</f>
        <v>138</v>
      </c>
      <c r="Z5">
        <f>Y5+'Temporada 2026'!AG11</f>
        <v>138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15</v>
      </c>
      <c r="E6">
        <f>D6+'Temporada 2026'!L12</f>
        <v>25</v>
      </c>
      <c r="F6">
        <f>E6+'Temporada 2026'!M12</f>
        <v>25</v>
      </c>
      <c r="G6">
        <f>F6+'Temporada 2026'!N12</f>
        <v>25</v>
      </c>
      <c r="H6">
        <f>G6+'Temporada 2026'!O12</f>
        <v>51</v>
      </c>
      <c r="I6">
        <f>H6+'Temporada 2026'!P12</f>
        <v>58</v>
      </c>
      <c r="J6">
        <f>I6+'Temporada 2026'!Q12</f>
        <v>58</v>
      </c>
      <c r="K6">
        <f>J6+'Temporada 2026'!R12</f>
        <v>73</v>
      </c>
      <c r="L6">
        <f>K6+'Temporada 2026'!S12</f>
        <v>79</v>
      </c>
      <c r="M6">
        <f>L6+'Temporada 2026'!T12</f>
        <v>97</v>
      </c>
      <c r="N6">
        <f>M6+'Temporada 2026'!U12</f>
        <v>103</v>
      </c>
      <c r="O6">
        <f>N6+'Temporada 2026'!V12</f>
        <v>128</v>
      </c>
      <c r="P6">
        <f>O6+'Temporada 2026'!W12</f>
        <v>128</v>
      </c>
      <c r="Q6">
        <f>P6+'Temporada 2026'!X12</f>
        <v>128</v>
      </c>
      <c r="R6">
        <f>Q6+'Temporada 2026'!Y12</f>
        <v>128</v>
      </c>
      <c r="S6">
        <f>R6+'Temporada 2026'!Z12</f>
        <v>128</v>
      </c>
      <c r="T6">
        <f>S6+'Temporada 2026'!AA12</f>
        <v>128</v>
      </c>
      <c r="U6">
        <f>T6+'Temporada 2026'!AB12</f>
        <v>128</v>
      </c>
      <c r="V6">
        <f>U6+'Temporada 2026'!AC12</f>
        <v>128</v>
      </c>
      <c r="W6">
        <f>V6+'Temporada 2026'!AD12</f>
        <v>128</v>
      </c>
      <c r="X6">
        <f>W6+'Temporada 2026'!AE12</f>
        <v>128</v>
      </c>
      <c r="Y6">
        <f>X6+'Temporada 2026'!AF12</f>
        <v>128</v>
      </c>
      <c r="Z6">
        <f>Y6+'Temporada 2026'!AG12</f>
        <v>128</v>
      </c>
    </row>
    <row r="7" spans="1:26" x14ac:dyDescent="0.2">
      <c r="A7">
        <f>'Temporada 2026'!B13</f>
        <v>6</v>
      </c>
      <c r="B7" t="str">
        <f>'Temporada 2026'!C13</f>
        <v>Max Verstappen</v>
      </c>
      <c r="C7">
        <f>'Temporada 2026'!J13</f>
        <v>8</v>
      </c>
      <c r="D7">
        <f>C7+'Temporada 2026'!K13</f>
        <v>8</v>
      </c>
      <c r="E7">
        <f>D7+'Temporada 2026'!L13</f>
        <v>12</v>
      </c>
      <c r="F7">
        <f>E7+'Temporada 2026'!M13</f>
        <v>12</v>
      </c>
      <c r="G7">
        <f>F7+'Temporada 2026'!N13</f>
        <v>12</v>
      </c>
      <c r="H7">
        <f>G7+'Temporada 2026'!O13</f>
        <v>26</v>
      </c>
      <c r="I7">
        <f>H7+'Temporada 2026'!P13</f>
        <v>43</v>
      </c>
      <c r="J7">
        <f>I7+'Temporada 2026'!Q13</f>
        <v>43</v>
      </c>
      <c r="K7">
        <f>J7+'Temporada 2026'!R13</f>
        <v>55</v>
      </c>
      <c r="L7">
        <f>K7+'Temporada 2026'!S13</f>
        <v>73</v>
      </c>
      <c r="M7">
        <f>L7+'Temporada 2026'!T13</f>
        <v>76</v>
      </c>
      <c r="N7">
        <f>M7+'Temporada 2026'!U13</f>
        <v>91</v>
      </c>
      <c r="O7">
        <f>N7+'Temporada 2026'!V13</f>
        <v>109</v>
      </c>
      <c r="P7">
        <f>O7+'Temporada 2026'!W13</f>
        <v>109</v>
      </c>
      <c r="Q7">
        <f>P7+'Temporada 2026'!X13</f>
        <v>109</v>
      </c>
      <c r="R7">
        <f>Q7+'Temporada 2026'!Y13</f>
        <v>109</v>
      </c>
      <c r="S7">
        <f>R7+'Temporada 2026'!Z13</f>
        <v>109</v>
      </c>
      <c r="T7">
        <f>S7+'Temporada 2026'!AA13</f>
        <v>109</v>
      </c>
      <c r="U7">
        <f>T7+'Temporada 2026'!AB13</f>
        <v>109</v>
      </c>
      <c r="V7">
        <f>U7+'Temporada 2026'!AC13</f>
        <v>109</v>
      </c>
      <c r="W7">
        <f>V7+'Temporada 2026'!AD13</f>
        <v>109</v>
      </c>
      <c r="X7">
        <f>W7+'Temporada 2026'!AE13</f>
        <v>109</v>
      </c>
      <c r="Y7">
        <f>X7+'Temporada 2026'!AF13</f>
        <v>109</v>
      </c>
      <c r="Z7">
        <f>Y7+'Temporada 2026'!AG13</f>
        <v>109</v>
      </c>
    </row>
    <row r="8" spans="1:26" x14ac:dyDescent="0.2">
      <c r="A8">
        <f>'Temporada 2026'!B14</f>
        <v>7</v>
      </c>
      <c r="B8" t="str">
        <f>'Temporada 2026'!C14</f>
        <v>Oscar Piastri</v>
      </c>
      <c r="C8">
        <f>'Temporada 2026'!J14</f>
        <v>0</v>
      </c>
      <c r="D8">
        <f>C8+'Temporada 2026'!K14</f>
        <v>3</v>
      </c>
      <c r="E8">
        <f>D8+'Temporada 2026'!L14</f>
        <v>21</v>
      </c>
      <c r="F8">
        <f>E8+'Temporada 2026'!M14</f>
        <v>21</v>
      </c>
      <c r="G8">
        <f>F8+'Temporada 2026'!N14</f>
        <v>21</v>
      </c>
      <c r="H8">
        <f>G8+'Temporada 2026'!O14</f>
        <v>43</v>
      </c>
      <c r="I8">
        <f>H8+'Temporada 2026'!P14</f>
        <v>48</v>
      </c>
      <c r="J8">
        <f>I8+'Temporada 2026'!Q14</f>
        <v>58</v>
      </c>
      <c r="K8">
        <f>J8+'Temporada 2026'!R14</f>
        <v>68</v>
      </c>
      <c r="L8">
        <f>K8+'Temporada 2026'!S14</f>
        <v>80</v>
      </c>
      <c r="M8">
        <f>L8+'Temporada 2026'!T14</f>
        <v>82</v>
      </c>
      <c r="N8">
        <f>M8+'Temporada 2026'!U14</f>
        <v>92</v>
      </c>
      <c r="O8">
        <f>N8+'Temporada 2026'!V14</f>
        <v>92</v>
      </c>
      <c r="P8">
        <f>O8+'Temporada 2026'!W14</f>
        <v>92</v>
      </c>
      <c r="Q8">
        <f>P8+'Temporada 2026'!X14</f>
        <v>92</v>
      </c>
      <c r="R8">
        <f>Q8+'Temporada 2026'!Y14</f>
        <v>92</v>
      </c>
      <c r="S8">
        <f>R8+'Temporada 2026'!Z14</f>
        <v>92</v>
      </c>
      <c r="T8">
        <f>S8+'Temporada 2026'!AA14</f>
        <v>92</v>
      </c>
      <c r="U8">
        <f>T8+'Temporada 2026'!AB14</f>
        <v>92</v>
      </c>
      <c r="V8">
        <f>U8+'Temporada 2026'!AC14</f>
        <v>92</v>
      </c>
      <c r="W8">
        <f>V8+'Temporada 2026'!AD14</f>
        <v>92</v>
      </c>
      <c r="X8">
        <f>W8+'Temporada 2026'!AE14</f>
        <v>92</v>
      </c>
      <c r="Y8">
        <f>X8+'Temporada 2026'!AF14</f>
        <v>92</v>
      </c>
      <c r="Z8">
        <f>Y8+'Temporada 2026'!AG14</f>
        <v>92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14</v>
      </c>
      <c r="J9">
        <f>I9+'Temporada 2026'!Q15</f>
        <v>26</v>
      </c>
      <c r="K9">
        <f>J9+'Temporada 2026'!R15</f>
        <v>34</v>
      </c>
      <c r="L9">
        <f>K9+'Temporada 2026'!S15</f>
        <v>42</v>
      </c>
      <c r="M9">
        <f>L9+'Temporada 2026'!T15</f>
        <v>52</v>
      </c>
      <c r="N9">
        <f>M9+'Temporada 2026'!U15</f>
        <v>60</v>
      </c>
      <c r="O9">
        <f>N9+'Temporada 2026'!V15</f>
        <v>68</v>
      </c>
      <c r="P9">
        <f>O9+'Temporada 2026'!W15</f>
        <v>68</v>
      </c>
      <c r="Q9">
        <f>P9+'Temporada 2026'!X15</f>
        <v>68</v>
      </c>
      <c r="R9">
        <f>Q9+'Temporada 2026'!Y15</f>
        <v>68</v>
      </c>
      <c r="S9">
        <f>R9+'Temporada 2026'!Z15</f>
        <v>68</v>
      </c>
      <c r="T9">
        <f>S9+'Temporada 2026'!AA15</f>
        <v>68</v>
      </c>
      <c r="U9">
        <f>T9+'Temporada 2026'!AB15</f>
        <v>68</v>
      </c>
      <c r="V9">
        <f>U9+'Temporada 2026'!AC15</f>
        <v>68</v>
      </c>
      <c r="W9">
        <f>V9+'Temporada 2026'!AD15</f>
        <v>68</v>
      </c>
      <c r="X9">
        <f>W9+'Temporada 2026'!AE15</f>
        <v>68</v>
      </c>
      <c r="Y9">
        <f>X9+'Temporada 2026'!AF15</f>
        <v>68</v>
      </c>
      <c r="Z9">
        <f>Y9+'Temporada 2026'!AG15</f>
        <v>68</v>
      </c>
    </row>
    <row r="10" spans="1:26" x14ac:dyDescent="0.2">
      <c r="A10">
        <f>'Temporada 2026'!B16</f>
        <v>9</v>
      </c>
      <c r="B10" t="str">
        <f>'Temporada 2026'!C16</f>
        <v>Liam Lawson</v>
      </c>
      <c r="C10">
        <f>'Temporada 2026'!J16</f>
        <v>0</v>
      </c>
      <c r="D10">
        <f>C10+'Temporada 2026'!K16</f>
        <v>8</v>
      </c>
      <c r="E10">
        <f>D10+'Temporada 2026'!L16</f>
        <v>10</v>
      </c>
      <c r="F10">
        <f>E10+'Temporada 2026'!M16</f>
        <v>10</v>
      </c>
      <c r="G10">
        <f>F10+'Temporada 2026'!N16</f>
        <v>10</v>
      </c>
      <c r="H10">
        <f>G10+'Temporada 2026'!O16</f>
        <v>10</v>
      </c>
      <c r="I10">
        <f>H10+'Temporada 2026'!P16</f>
        <v>16</v>
      </c>
      <c r="J10">
        <f>I10+'Temporada 2026'!Q16</f>
        <v>24</v>
      </c>
      <c r="K10">
        <f>J10+'Temporada 2026'!R16</f>
        <v>28</v>
      </c>
      <c r="L10">
        <f>K10+'Temporada 2026'!S16</f>
        <v>30</v>
      </c>
      <c r="M10">
        <f>L10+'Temporada 2026'!T16</f>
        <v>39</v>
      </c>
      <c r="N10">
        <f>M10+'Temporada 2026'!U16</f>
        <v>39</v>
      </c>
      <c r="O10">
        <f>N10+'Temporada 2026'!V16</f>
        <v>43</v>
      </c>
      <c r="P10">
        <f>O10+'Temporada 2026'!W16</f>
        <v>43</v>
      </c>
      <c r="Q10">
        <f>P10+'Temporada 2026'!X16</f>
        <v>43</v>
      </c>
      <c r="R10">
        <f>Q10+'Temporada 2026'!Y16</f>
        <v>43</v>
      </c>
      <c r="S10">
        <f>R10+'Temporada 2026'!Z16</f>
        <v>43</v>
      </c>
      <c r="T10">
        <f>S10+'Temporada 2026'!AA16</f>
        <v>43</v>
      </c>
      <c r="U10">
        <f>T10+'Temporada 2026'!AB16</f>
        <v>43</v>
      </c>
      <c r="V10">
        <f>U10+'Temporada 2026'!AC16</f>
        <v>43</v>
      </c>
      <c r="W10">
        <f>V10+'Temporada 2026'!AD16</f>
        <v>43</v>
      </c>
      <c r="X10">
        <f>W10+'Temporada 2026'!AE16</f>
        <v>43</v>
      </c>
      <c r="Y10">
        <f>X10+'Temporada 2026'!AF16</f>
        <v>43</v>
      </c>
      <c r="Z10">
        <f>Y10+'Temporada 2026'!AG16</f>
        <v>43</v>
      </c>
    </row>
    <row r="11" spans="1:26" x14ac:dyDescent="0.2">
      <c r="A11">
        <f>'Temporada 2026'!B17</f>
        <v>10</v>
      </c>
      <c r="B11" t="str">
        <f>'Temporada 2026'!C17</f>
        <v>Pierre Gasly</v>
      </c>
      <c r="C11">
        <f>'Temporada 2026'!J17</f>
        <v>1</v>
      </c>
      <c r="D11">
        <f>C11+'Temporada 2026'!K17</f>
        <v>9</v>
      </c>
      <c r="E11">
        <f>D11+'Temporada 2026'!L17</f>
        <v>15</v>
      </c>
      <c r="F11">
        <f>E11+'Temporada 2026'!M17</f>
        <v>15</v>
      </c>
      <c r="G11">
        <f>F11+'Temporada 2026'!N17</f>
        <v>15</v>
      </c>
      <c r="H11">
        <f>G11+'Temporada 2026'!O17</f>
        <v>16</v>
      </c>
      <c r="I11">
        <f>H11+'Temporada 2026'!P17</f>
        <v>20</v>
      </c>
      <c r="J11">
        <f>I11+'Temporada 2026'!Q17</f>
        <v>35</v>
      </c>
      <c r="K11">
        <f>J11+'Temporada 2026'!R17</f>
        <v>41</v>
      </c>
      <c r="L11">
        <f>K11+'Temporada 2026'!S17</f>
        <v>41</v>
      </c>
      <c r="M11">
        <f>L11+'Temporada 2026'!T17</f>
        <v>42</v>
      </c>
      <c r="N11">
        <f>M11+'Temporada 2026'!U17</f>
        <v>42</v>
      </c>
      <c r="O11">
        <f>N11+'Temporada 2026'!V17</f>
        <v>42</v>
      </c>
      <c r="P11">
        <f>O11+'Temporada 2026'!W17</f>
        <v>42</v>
      </c>
      <c r="Q11">
        <f>P11+'Temporada 2026'!X17</f>
        <v>42</v>
      </c>
      <c r="R11">
        <f>Q11+'Temporada 2026'!Y17</f>
        <v>42</v>
      </c>
      <c r="S11">
        <f>R11+'Temporada 2026'!Z17</f>
        <v>42</v>
      </c>
      <c r="T11">
        <f>S11+'Temporada 2026'!AA17</f>
        <v>42</v>
      </c>
      <c r="U11">
        <f>T11+'Temporada 2026'!AB17</f>
        <v>42</v>
      </c>
      <c r="V11">
        <f>U11+'Temporada 2026'!AC17</f>
        <v>42</v>
      </c>
      <c r="W11">
        <f>V11+'Temporada 2026'!AD17</f>
        <v>42</v>
      </c>
      <c r="X11">
        <f>W11+'Temporada 2026'!AE17</f>
        <v>42</v>
      </c>
      <c r="Y11">
        <f>X11+'Temporada 2026'!AF17</f>
        <v>42</v>
      </c>
      <c r="Z11">
        <f>Y11+'Temporada 2026'!AG17</f>
        <v>42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4</v>
      </c>
      <c r="G12">
        <f>F12+'Temporada 2026'!N18</f>
        <v>4</v>
      </c>
      <c r="H12">
        <f>G12+'Temporada 2026'!O18</f>
        <v>4</v>
      </c>
      <c r="I12">
        <f>H12+'Temporada 2026'!P18</f>
        <v>5</v>
      </c>
      <c r="J12">
        <f>I12+'Temporada 2026'!Q18</f>
        <v>11</v>
      </c>
      <c r="K12">
        <f>J12+'Temporada 2026'!R18</f>
        <v>13</v>
      </c>
      <c r="L12">
        <f>K12+'Temporada 2026'!S18</f>
        <v>14</v>
      </c>
      <c r="M12">
        <f>L12+'Temporada 2026'!T18</f>
        <v>20</v>
      </c>
      <c r="N12">
        <f>M12+'Temporada 2026'!U18</f>
        <v>22</v>
      </c>
      <c r="O12">
        <f>N12+'Temporada 2026'!V18</f>
        <v>23</v>
      </c>
      <c r="P12">
        <f>O12+'Temporada 2026'!W18</f>
        <v>23</v>
      </c>
      <c r="Q12">
        <f>P12+'Temporada 2026'!X18</f>
        <v>23</v>
      </c>
      <c r="R12">
        <f>Q12+'Temporada 2026'!Y18</f>
        <v>23</v>
      </c>
      <c r="S12">
        <f>R12+'Temporada 2026'!Z18</f>
        <v>23</v>
      </c>
      <c r="T12">
        <f>S12+'Temporada 2026'!AA18</f>
        <v>23</v>
      </c>
      <c r="U12">
        <f>T12+'Temporada 2026'!AB18</f>
        <v>23</v>
      </c>
      <c r="V12">
        <f>U12+'Temporada 2026'!AC18</f>
        <v>23</v>
      </c>
      <c r="W12">
        <f>V12+'Temporada 2026'!AD18</f>
        <v>23</v>
      </c>
      <c r="X12">
        <f>W12+'Temporada 2026'!AE18</f>
        <v>23</v>
      </c>
      <c r="Y12">
        <f>X12+'Temporada 2026'!AF18</f>
        <v>23</v>
      </c>
      <c r="Z12">
        <f>Y12+'Temporada 2026'!AG18</f>
        <v>23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18</v>
      </c>
      <c r="N13">
        <f>M13+'Temporada 2026'!U19</f>
        <v>19</v>
      </c>
      <c r="O13">
        <f>N13+'Temporada 2026'!V19</f>
        <v>19</v>
      </c>
      <c r="P13">
        <f>O13+'Temporada 2026'!W19</f>
        <v>19</v>
      </c>
      <c r="Q13">
        <f>P13+'Temporada 2026'!X19</f>
        <v>19</v>
      </c>
      <c r="R13">
        <f>Q13+'Temporada 2026'!Y19</f>
        <v>19</v>
      </c>
      <c r="S13">
        <f>R13+'Temporada 2026'!Z19</f>
        <v>19</v>
      </c>
      <c r="T13">
        <f>S13+'Temporada 2026'!AA19</f>
        <v>19</v>
      </c>
      <c r="U13">
        <f>T13+'Temporada 2026'!AB19</f>
        <v>19</v>
      </c>
      <c r="V13">
        <f>U13+'Temporada 2026'!AC19</f>
        <v>19</v>
      </c>
      <c r="W13">
        <f>V13+'Temporada 2026'!AD19</f>
        <v>19</v>
      </c>
      <c r="X13">
        <f>W13+'Temporada 2026'!AE19</f>
        <v>19</v>
      </c>
      <c r="Y13">
        <f>X13+'Temporada 2026'!AF19</f>
        <v>19</v>
      </c>
      <c r="Z13">
        <f>Y13+'Temporada 2026'!AG19</f>
        <v>19</v>
      </c>
    </row>
    <row r="14" spans="1:26" x14ac:dyDescent="0.2">
      <c r="A14">
        <f>'Temporada 2026'!B20</f>
        <v>13</v>
      </c>
      <c r="B14" t="str">
        <f>'Temporada 2026'!C20</f>
        <v>Oliver Bearman</v>
      </c>
      <c r="C14">
        <f>'Temporada 2026'!J20</f>
        <v>6</v>
      </c>
      <c r="D14">
        <f>C14+'Temporada 2026'!K20</f>
        <v>17</v>
      </c>
      <c r="E14">
        <f>D14+'Temporada 2026'!L20</f>
        <v>17</v>
      </c>
      <c r="F14">
        <f>E14+'Temporada 2026'!M20</f>
        <v>17</v>
      </c>
      <c r="G14">
        <f>F14+'Temporada 2026'!N20</f>
        <v>17</v>
      </c>
      <c r="H14">
        <f>G14+'Temporada 2026'!O20</f>
        <v>17</v>
      </c>
      <c r="I14">
        <f>H14+'Temporada 2026'!P20</f>
        <v>18</v>
      </c>
      <c r="J14">
        <f>I14+'Temporada 2026'!Q20</f>
        <v>18</v>
      </c>
      <c r="K14">
        <f>J14+'Temporada 2026'!R20</f>
        <v>18</v>
      </c>
      <c r="L14">
        <f>K14+'Temporada 2026'!S20</f>
        <v>18</v>
      </c>
      <c r="M14">
        <f>L14+'Temporada 2026'!T20</f>
        <v>18</v>
      </c>
      <c r="N14">
        <f>M14+'Temporada 2026'!U20</f>
        <v>18</v>
      </c>
      <c r="O14">
        <f>N14+'Temporada 2026'!V20</f>
        <v>18</v>
      </c>
      <c r="P14">
        <f>O14+'Temporada 2026'!W20</f>
        <v>18</v>
      </c>
      <c r="Q14">
        <f>P14+'Temporada 2026'!X20</f>
        <v>18</v>
      </c>
      <c r="R14">
        <f>Q14+'Temporada 2026'!Y20</f>
        <v>18</v>
      </c>
      <c r="S14">
        <f>R14+'Temporada 2026'!Z20</f>
        <v>18</v>
      </c>
      <c r="T14">
        <f>S14+'Temporada 2026'!AA20</f>
        <v>18</v>
      </c>
      <c r="U14">
        <f>T14+'Temporada 2026'!AB20</f>
        <v>18</v>
      </c>
      <c r="V14">
        <f>U14+'Temporada 2026'!AC20</f>
        <v>18</v>
      </c>
      <c r="W14">
        <f>V14+'Temporada 2026'!AD20</f>
        <v>18</v>
      </c>
      <c r="X14">
        <f>W14+'Temporada 2026'!AE20</f>
        <v>18</v>
      </c>
      <c r="Y14">
        <f>X14+'Temporada 2026'!AF20</f>
        <v>18</v>
      </c>
      <c r="Z14">
        <f>Y14+'Temporada 2026'!AG20</f>
        <v>18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6</v>
      </c>
      <c r="N15">
        <f>M15+'Temporada 2026'!U21</f>
        <v>10</v>
      </c>
      <c r="O15">
        <f>N15+'Temporada 2026'!V21</f>
        <v>10</v>
      </c>
      <c r="P15">
        <f>O15+'Temporada 2026'!W21</f>
        <v>10</v>
      </c>
      <c r="Q15">
        <f>P15+'Temporada 2026'!X21</f>
        <v>10</v>
      </c>
      <c r="R15">
        <f>Q15+'Temporada 2026'!Y21</f>
        <v>10</v>
      </c>
      <c r="S15">
        <f>R15+'Temporada 2026'!Z21</f>
        <v>10</v>
      </c>
      <c r="T15">
        <f>S15+'Temporada 2026'!AA21</f>
        <v>10</v>
      </c>
      <c r="U15">
        <f>T15+'Temporada 2026'!AB21</f>
        <v>10</v>
      </c>
      <c r="V15">
        <f>U15+'Temporada 2026'!AC21</f>
        <v>10</v>
      </c>
      <c r="W15">
        <f>V15+'Temporada 2026'!AD21</f>
        <v>10</v>
      </c>
      <c r="X15">
        <f>W15+'Temporada 2026'!AE21</f>
        <v>10</v>
      </c>
      <c r="Y15">
        <f>X15+'Temporada 2026'!AF21</f>
        <v>10</v>
      </c>
      <c r="Z15">
        <f>Y15+'Temporada 2026'!AG21</f>
        <v>10</v>
      </c>
    </row>
    <row r="16" spans="1:26" x14ac:dyDescent="0.2">
      <c r="A16">
        <f>'Temporada 2026'!B22</f>
        <v>15</v>
      </c>
      <c r="B16" t="str">
        <f>'Temporada 2026'!C22</f>
        <v>Carlos Sainz</v>
      </c>
      <c r="C16">
        <f>'Temporada 2026'!J22</f>
        <v>0</v>
      </c>
      <c r="D16">
        <f>C16+'Temporada 2026'!K22</f>
        <v>2</v>
      </c>
      <c r="E16">
        <f>D16+'Temporada 2026'!L22</f>
        <v>2</v>
      </c>
      <c r="F16">
        <f>E16+'Temporada 2026'!M22</f>
        <v>2</v>
      </c>
      <c r="G16">
        <f>F16+'Temporada 2026'!N22</f>
        <v>2</v>
      </c>
      <c r="H16">
        <f>G16+'Temporada 2026'!O22</f>
        <v>4</v>
      </c>
      <c r="I16">
        <f>H16+'Temporada 2026'!P22</f>
        <v>6</v>
      </c>
      <c r="J16">
        <f>I16+'Temporada 2026'!Q22</f>
        <v>6</v>
      </c>
      <c r="K16">
        <f>J16+'Temporada 2026'!R22</f>
        <v>6</v>
      </c>
      <c r="L16">
        <f>K16+'Temporada 2026'!S22</f>
        <v>6</v>
      </c>
      <c r="M16">
        <f>L16+'Temporada 2026'!T22</f>
        <v>6</v>
      </c>
      <c r="N16">
        <f>M16+'Temporada 2026'!U22</f>
        <v>6</v>
      </c>
      <c r="O16">
        <f>N16+'Temporada 2026'!V22</f>
        <v>6</v>
      </c>
      <c r="P16">
        <f>O16+'Temporada 2026'!W22</f>
        <v>6</v>
      </c>
      <c r="Q16">
        <f>P16+'Temporada 2026'!X22</f>
        <v>6</v>
      </c>
      <c r="R16">
        <f>Q16+'Temporada 2026'!Y22</f>
        <v>6</v>
      </c>
      <c r="S16">
        <f>R16+'Temporada 2026'!Z22</f>
        <v>6</v>
      </c>
      <c r="T16">
        <f>S16+'Temporada 2026'!AA22</f>
        <v>6</v>
      </c>
      <c r="U16">
        <f>T16+'Temporada 2026'!AB22</f>
        <v>6</v>
      </c>
      <c r="V16">
        <f>U16+'Temporada 2026'!AC22</f>
        <v>6</v>
      </c>
      <c r="W16">
        <f>V16+'Temporada 2026'!AD22</f>
        <v>6</v>
      </c>
      <c r="X16">
        <f>W16+'Temporada 2026'!AE22</f>
        <v>6</v>
      </c>
      <c r="Y16">
        <f>X16+'Temporada 2026'!AF22</f>
        <v>6</v>
      </c>
      <c r="Z16">
        <f>Y16+'Temporada 2026'!AG22</f>
        <v>6</v>
      </c>
    </row>
    <row r="17" spans="1:26" x14ac:dyDescent="0.2">
      <c r="A17">
        <f>'Temporada 2026'!B23</f>
        <v>16</v>
      </c>
      <c r="B17" t="str">
        <f>'Temporada 2026'!C23</f>
        <v>Alexander Albon</v>
      </c>
      <c r="C17">
        <f>'Temporada 2026'!J23</f>
        <v>0</v>
      </c>
      <c r="D17">
        <f>C17+'Temporada 2026'!K23</f>
        <v>0</v>
      </c>
      <c r="E17">
        <f>D17+'Temporada 2026'!L23</f>
        <v>0</v>
      </c>
      <c r="F17">
        <f>E17+'Temporada 2026'!M23</f>
        <v>0</v>
      </c>
      <c r="G17">
        <f>F17+'Temporada 2026'!N23</f>
        <v>0</v>
      </c>
      <c r="H17">
        <f>G17+'Temporada 2026'!O23</f>
        <v>1</v>
      </c>
      <c r="I17">
        <f>H17+'Temporada 2026'!P23</f>
        <v>1</v>
      </c>
      <c r="J17">
        <f>I17+'Temporada 2026'!Q23</f>
        <v>5</v>
      </c>
      <c r="K17">
        <f>J17+'Temporada 2026'!R23</f>
        <v>5</v>
      </c>
      <c r="L17">
        <f>K17+'Temporada 2026'!S23</f>
        <v>5</v>
      </c>
      <c r="M17">
        <f>L17+'Temporada 2026'!T23</f>
        <v>5</v>
      </c>
      <c r="N17">
        <f>M17+'Temporada 2026'!U23</f>
        <v>5</v>
      </c>
      <c r="O17">
        <f>N17+'Temporada 2026'!V23</f>
        <v>5</v>
      </c>
      <c r="P17">
        <f>O17+'Temporada 2026'!W23</f>
        <v>5</v>
      </c>
      <c r="Q17">
        <f>P17+'Temporada 2026'!X23</f>
        <v>5</v>
      </c>
      <c r="R17">
        <f>Q17+'Temporada 2026'!Y23</f>
        <v>5</v>
      </c>
      <c r="S17">
        <f>R17+'Temporada 2026'!Z23</f>
        <v>5</v>
      </c>
      <c r="T17">
        <f>S17+'Temporada 2026'!AA23</f>
        <v>5</v>
      </c>
      <c r="U17">
        <f>T17+'Temporada 2026'!AB23</f>
        <v>5</v>
      </c>
      <c r="V17">
        <f>U17+'Temporada 2026'!AC23</f>
        <v>5</v>
      </c>
      <c r="W17">
        <f>V17+'Temporada 2026'!AD23</f>
        <v>5</v>
      </c>
      <c r="X17">
        <f>W17+'Temporada 2026'!AE23</f>
        <v>5</v>
      </c>
      <c r="Y17">
        <f>X17+'Temporada 2026'!AF23</f>
        <v>5</v>
      </c>
      <c r="Z17">
        <f>Y17+'Temporada 2026'!AG23</f>
        <v>5</v>
      </c>
    </row>
    <row r="18" spans="1:26" x14ac:dyDescent="0.2">
      <c r="A18">
        <f>'Temporada 2026'!B24</f>
        <v>17</v>
      </c>
      <c r="B18" t="str">
        <f>'Temporada 2026'!C24</f>
        <v>Esteban Ocon</v>
      </c>
      <c r="C18">
        <f>'Temporada 2026'!J24</f>
        <v>0</v>
      </c>
      <c r="D18">
        <f>C18+'Temporada 2026'!K24</f>
        <v>0</v>
      </c>
      <c r="E18">
        <f>D18+'Temporada 2026'!L24</f>
        <v>1</v>
      </c>
      <c r="F18">
        <f>E18+'Temporada 2026'!M24</f>
        <v>1</v>
      </c>
      <c r="G18">
        <f>F18+'Temporada 2026'!N24</f>
        <v>1</v>
      </c>
      <c r="H18">
        <f>G18+'Temporada 2026'!O24</f>
        <v>1</v>
      </c>
      <c r="I18">
        <f>H18+'Temporada 2026'!P24</f>
        <v>1</v>
      </c>
      <c r="J18">
        <f>I18+'Temporada 2026'!Q24</f>
        <v>3</v>
      </c>
      <c r="K18">
        <f>J18+'Temporada 2026'!R24</f>
        <v>3</v>
      </c>
      <c r="L18">
        <f>K18+'Temporada 2026'!S24</f>
        <v>3</v>
      </c>
      <c r="M18">
        <f>L18+'Temporada 2026'!T24</f>
        <v>3</v>
      </c>
      <c r="N18">
        <f>M18+'Temporada 2026'!U24</f>
        <v>3</v>
      </c>
      <c r="O18">
        <f>N18+'Temporada 2026'!V24</f>
        <v>3</v>
      </c>
      <c r="P18">
        <f>O18+'Temporada 2026'!W24</f>
        <v>3</v>
      </c>
      <c r="Q18">
        <f>P18+'Temporada 2026'!X24</f>
        <v>3</v>
      </c>
      <c r="R18">
        <f>Q18+'Temporada 2026'!Y24</f>
        <v>3</v>
      </c>
      <c r="S18">
        <f>R18+'Temporada 2026'!Z24</f>
        <v>3</v>
      </c>
      <c r="T18">
        <f>S18+'Temporada 2026'!AA24</f>
        <v>3</v>
      </c>
      <c r="U18">
        <f>T18+'Temporada 2026'!AB24</f>
        <v>3</v>
      </c>
      <c r="V18">
        <f>U18+'Temporada 2026'!AC24</f>
        <v>3</v>
      </c>
      <c r="W18">
        <f>V18+'Temporada 2026'!AD24</f>
        <v>3</v>
      </c>
      <c r="X18">
        <f>W18+'Temporada 2026'!AE24</f>
        <v>3</v>
      </c>
      <c r="Y18">
        <f>X18+'Temporada 2026'!AF24</f>
        <v>3</v>
      </c>
      <c r="Z18">
        <f>Y18+'Temporada 2026'!AG24</f>
        <v>3</v>
      </c>
    </row>
    <row r="19" spans="1:26" x14ac:dyDescent="0.2">
      <c r="A19">
        <f>'Temporada 2026'!B25</f>
        <v>18</v>
      </c>
      <c r="B19" t="str">
        <f>'Temporada 2026'!C25</f>
        <v>Nico Hulkenberg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0</v>
      </c>
      <c r="K19">
        <f>J19+'Temporada 2026'!R25</f>
        <v>0</v>
      </c>
      <c r="L19">
        <f>K19+'Temporada 2026'!S25</f>
        <v>0</v>
      </c>
      <c r="M19">
        <f>L19+'Temporada 2026'!T25</f>
        <v>0</v>
      </c>
      <c r="N19">
        <f>M19+'Temporada 2026'!U25</f>
        <v>0</v>
      </c>
      <c r="O19">
        <f>N19+'Temporada 2026'!V25</f>
        <v>2</v>
      </c>
      <c r="P19">
        <f>O19+'Temporada 2026'!W25</f>
        <v>2</v>
      </c>
      <c r="Q19">
        <f>P19+'Temporada 2026'!X25</f>
        <v>2</v>
      </c>
      <c r="R19">
        <f>Q19+'Temporada 2026'!Y25</f>
        <v>2</v>
      </c>
      <c r="S19">
        <f>R19+'Temporada 2026'!Z25</f>
        <v>2</v>
      </c>
      <c r="T19">
        <f>S19+'Temporada 2026'!AA25</f>
        <v>2</v>
      </c>
      <c r="U19">
        <f>T19+'Temporada 2026'!AB25</f>
        <v>2</v>
      </c>
      <c r="V19">
        <f>U19+'Temporada 2026'!AC25</f>
        <v>2</v>
      </c>
      <c r="W19">
        <f>V19+'Temporada 2026'!AD25</f>
        <v>2</v>
      </c>
      <c r="X19">
        <f>W19+'Temporada 2026'!AE25</f>
        <v>2</v>
      </c>
      <c r="Y19">
        <f>X19+'Temporada 2026'!AF25</f>
        <v>2</v>
      </c>
      <c r="Z19">
        <f>Y19+'Temporada 2026'!AG25</f>
        <v>2</v>
      </c>
    </row>
    <row r="20" spans="1:26" x14ac:dyDescent="0.2">
      <c r="A20">
        <f>'Temporada 2026'!B26</f>
        <v>19</v>
      </c>
      <c r="B20" t="str">
        <f>'Temporada 2026'!C26</f>
        <v>Fernando Alonso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1</v>
      </c>
      <c r="K20">
        <f>J20+'Temporada 2026'!R26</f>
        <v>1</v>
      </c>
      <c r="L20">
        <f>K20+'Temporada 2026'!S26</f>
        <v>1</v>
      </c>
      <c r="M20">
        <f>L20+'Temporada 2026'!T26</f>
        <v>1</v>
      </c>
      <c r="N20">
        <f>M20+'Temporada 2026'!U26</f>
        <v>1</v>
      </c>
      <c r="O20">
        <f>N20+'Temporada 2026'!V26</f>
        <v>1</v>
      </c>
      <c r="P20">
        <f>O20+'Temporada 2026'!W26</f>
        <v>1</v>
      </c>
      <c r="Q20">
        <f>P20+'Temporada 2026'!X26</f>
        <v>1</v>
      </c>
      <c r="R20">
        <f>Q20+'Temporada 2026'!Y26</f>
        <v>1</v>
      </c>
      <c r="S20">
        <f>R20+'Temporada 2026'!Z26</f>
        <v>1</v>
      </c>
      <c r="T20">
        <f>S20+'Temporada 2026'!AA26</f>
        <v>1</v>
      </c>
      <c r="U20">
        <f>T20+'Temporada 2026'!AB26</f>
        <v>1</v>
      </c>
      <c r="V20">
        <f>U20+'Temporada 2026'!AC26</f>
        <v>1</v>
      </c>
      <c r="W20">
        <f>V20+'Temporada 2026'!AD26</f>
        <v>1</v>
      </c>
      <c r="X20">
        <f>W20+'Temporada 2026'!AE26</f>
        <v>1</v>
      </c>
      <c r="Y20">
        <f>X20+'Temporada 2026'!AF26</f>
        <v>1</v>
      </c>
      <c r="Z20">
        <f>Y20+'Temporada 2026'!AG26</f>
        <v>1</v>
      </c>
    </row>
    <row r="21" spans="1:26" x14ac:dyDescent="0.2">
      <c r="A21">
        <f>'Temporada 2026'!B27</f>
        <v>20</v>
      </c>
      <c r="B21" t="str">
        <f>'Temporada 2026'!C27</f>
        <v>Lance Stroll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Valtteri Bottas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Sergio Perez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381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Row],[SAU]]</f>
        <v>0</v>
      </c>
      <c r="I26">
        <f>Tabela1[[#This Row],[MIA]]</f>
        <v>0</v>
      </c>
      <c r="J26">
        <f>Tabela1[[#This Row],[CAN]]</f>
        <v>0</v>
      </c>
      <c r="K26">
        <f>Tabela1[[#This Row],[MON]]</f>
        <v>0</v>
      </c>
      <c r="L26">
        <f>Tabela1[[#This Row],[ESP]]</f>
        <v>0</v>
      </c>
      <c r="M26">
        <f>Tabela1[[#This Row],[AUT]]</f>
        <v>0</v>
      </c>
      <c r="N26">
        <f>Tabela1[[#This Row],[ING]]</f>
        <v>0</v>
      </c>
      <c r="O26">
        <f>Tabela1[[#This Row],[BEL]]</f>
        <v>0</v>
      </c>
      <c r="P26">
        <f>Tabela1[[#This Row],[HUN]]</f>
        <v>0</v>
      </c>
      <c r="Q26">
        <f>Tabela1[[#This Row],[HOL]]</f>
        <v>0</v>
      </c>
      <c r="R26">
        <f>Tabela1[[#This Row],[MAD]]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8" spans="1:26" x14ac:dyDescent="0.2"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v>7</v>
      </c>
      <c r="J28">
        <v>8</v>
      </c>
      <c r="K28">
        <v>9</v>
      </c>
      <c r="L28">
        <v>10</v>
      </c>
      <c r="M28">
        <v>11</v>
      </c>
      <c r="N28">
        <v>12</v>
      </c>
      <c r="O28">
        <v>13</v>
      </c>
      <c r="P28">
        <v>14</v>
      </c>
      <c r="Q28">
        <v>15</v>
      </c>
      <c r="R28">
        <v>16</v>
      </c>
      <c r="S28">
        <v>17</v>
      </c>
      <c r="T28">
        <v>18</v>
      </c>
      <c r="U28">
        <v>19</v>
      </c>
      <c r="V28">
        <v>20</v>
      </c>
      <c r="W28">
        <v>21</v>
      </c>
      <c r="X28">
        <v>22</v>
      </c>
      <c r="Y28">
        <v>23</v>
      </c>
      <c r="Z28">
        <v>24</v>
      </c>
    </row>
    <row r="29" spans="1:26" ht="13.5" thickBot="1" x14ac:dyDescent="0.25">
      <c r="A29" s="21" t="s">
        <v>244</v>
      </c>
      <c r="B29" s="21" t="s">
        <v>17</v>
      </c>
      <c r="C29" s="21" t="s">
        <v>360</v>
      </c>
      <c r="D29" s="21" t="s">
        <v>361</v>
      </c>
      <c r="E29" s="21" t="s">
        <v>362</v>
      </c>
      <c r="F29" s="21" t="s">
        <v>363</v>
      </c>
      <c r="G29" s="152" t="s">
        <v>435</v>
      </c>
      <c r="H29" s="21" t="s">
        <v>364</v>
      </c>
      <c r="I29" s="152" t="s">
        <v>367</v>
      </c>
      <c r="J29" s="21" t="s">
        <v>365</v>
      </c>
      <c r="K29" s="21" t="s">
        <v>366</v>
      </c>
      <c r="L29" s="152" t="s">
        <v>380</v>
      </c>
      <c r="M29" s="152" t="s">
        <v>368</v>
      </c>
      <c r="N29" s="152" t="s">
        <v>369</v>
      </c>
      <c r="O29" s="152" t="s">
        <v>370</v>
      </c>
      <c r="P29" s="152" t="s">
        <v>371</v>
      </c>
      <c r="Q29" s="152" t="s">
        <v>436</v>
      </c>
      <c r="R29" s="21" t="s">
        <v>372</v>
      </c>
      <c r="S29" s="21" t="s">
        <v>373</v>
      </c>
      <c r="T29" s="21" t="s">
        <v>374</v>
      </c>
      <c r="U29" s="21" t="s">
        <v>302</v>
      </c>
      <c r="V29" s="21" t="s">
        <v>375</v>
      </c>
      <c r="W29" s="21" t="s">
        <v>376</v>
      </c>
      <c r="X29" s="21" t="s">
        <v>377</v>
      </c>
      <c r="Y29" s="21" t="s">
        <v>378</v>
      </c>
      <c r="Z29" s="21" t="s">
        <v>379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Row],[SAU]]+'Temporada 2026'!O39</f>
        <v>180</v>
      </c>
      <c r="I30">
        <f>Tabela2[[#This Row],[MIA]]+'Temporada 2026'!P39</f>
        <v>205</v>
      </c>
      <c r="J30">
        <f>Tabela2[[#This Row],[CAN]]+'Temporada 2026'!Q39</f>
        <v>230</v>
      </c>
      <c r="K30">
        <f>Tabela2[[#This Row],[MON]]+'Temporada 2026'!R39</f>
        <v>248</v>
      </c>
      <c r="L30">
        <f>Tabela2[[#This Row],[ESP]]+'Temporada 2026'!S39</f>
        <v>288</v>
      </c>
      <c r="M30">
        <f>Tabela2[[#This Row],[AUT]]+'Temporada 2026'!T39</f>
        <v>319</v>
      </c>
      <c r="N30">
        <f>Tabela2[[#This Row],[ING]]+'Temporada 2026'!U39</f>
        <v>344</v>
      </c>
      <c r="O30">
        <f>Tabela2[[#This Row],[BEL]]+'Temporada 2026'!V39</f>
        <v>365</v>
      </c>
      <c r="P30">
        <f>Tabela2[[#This Row],[HUN]]+'Temporada 2026'!W39</f>
        <v>365</v>
      </c>
      <c r="Q30">
        <f>Tabela2[[#This Row],[HOL]]+'Temporada 2026'!X39</f>
        <v>365</v>
      </c>
      <c r="R30">
        <f>Tabela2[[#This Row],[MAD]]+'Temporada 2026'!Y39</f>
        <v>365</v>
      </c>
      <c r="S30">
        <f>Tabela2[[#This Row],[ITA]]+'Temporada 2026'!Z39</f>
        <v>365</v>
      </c>
      <c r="T30">
        <f>Tabela2[[#This Row],[AZE]]+'Temporada 2026'!AA39</f>
        <v>365</v>
      </c>
      <c r="U30">
        <f>Tabela2[[#This Row],[SIN]]+'Temporada 2026'!AB39</f>
        <v>365</v>
      </c>
      <c r="V30">
        <f>Tabela2[[#This Row],[USA]]+'Temporada 2026'!AC39</f>
        <v>365</v>
      </c>
      <c r="W30">
        <f>Tabela2[[#This Row],[MEX]]+'Temporada 2026'!AD39</f>
        <v>365</v>
      </c>
      <c r="X30">
        <f>Tabela2[[#This Row],[SÃO]]+'Temporada 2026'!AE39</f>
        <v>365</v>
      </c>
      <c r="Y30">
        <f>Tabela2[[#This Row],[VEG]]+'Temporada 2026'!AF39</f>
        <v>365</v>
      </c>
      <c r="Z30">
        <f>Tabela2[[#This Row],[QAT]]+'Temporada 2026'!AG39</f>
        <v>365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Row],[SAU]]+'Temporada 2026'!O40</f>
        <v>110</v>
      </c>
      <c r="I31">
        <f>Tabela2[[#This Row],[MIA]]+'Temporada 2026'!P40</f>
        <v>140</v>
      </c>
      <c r="J31">
        <f>Tabela2[[#This Row],[CAN]]+'Temporada 2026'!Q40</f>
        <v>158</v>
      </c>
      <c r="K31">
        <f>Tabela2[[#This Row],[MON]]+'Temporada 2026'!R40</f>
        <v>183</v>
      </c>
      <c r="L31">
        <f>Tabela2[[#This Row],[ESP]]+'Temporada 2026'!S40</f>
        <v>197</v>
      </c>
      <c r="M31">
        <f>Tabela2[[#This Row],[AUT]]+'Temporada 2026'!T40</f>
        <v>248</v>
      </c>
      <c r="N31">
        <f>Tabela2[[#This Row],[ING]]+'Temporada 2026'!U40</f>
        <v>278</v>
      </c>
      <c r="O31">
        <f>Tabela2[[#This Row],[BEL]]+'Temporada 2026'!V40</f>
        <v>300</v>
      </c>
      <c r="P31">
        <f>Tabela2[[#This Row],[HUN]]+'Temporada 2026'!W40</f>
        <v>300</v>
      </c>
      <c r="Q31">
        <f>Tabela2[[#This Row],[HOL]]+'Temporada 2026'!X40</f>
        <v>300</v>
      </c>
      <c r="R31">
        <f>Tabela2[[#This Row],[MAD]]+'Temporada 2026'!Y40</f>
        <v>300</v>
      </c>
      <c r="S31">
        <f>Tabela2[[#This Row],[ITA]]+'Temporada 2026'!Z40</f>
        <v>300</v>
      </c>
      <c r="T31">
        <f>Tabela2[[#This Row],[AZE]]+'Temporada 2026'!AA40</f>
        <v>300</v>
      </c>
      <c r="U31">
        <f>Tabela2[[#This Row],[SIN]]+'Temporada 2026'!AB40</f>
        <v>300</v>
      </c>
      <c r="V31">
        <f>Tabela2[[#This Row],[USA]]+'Temporada 2026'!AC40</f>
        <v>300</v>
      </c>
      <c r="W31">
        <f>Tabela2[[#This Row],[MEX]]+'Temporada 2026'!AD40</f>
        <v>300</v>
      </c>
      <c r="X31">
        <f>Tabela2[[#This Row],[SÃO]]+'Temporada 2026'!AE40</f>
        <v>300</v>
      </c>
      <c r="Y31">
        <f>Tabela2[[#This Row],[VEG]]+'Temporada 2026'!AF40</f>
        <v>300</v>
      </c>
      <c r="Z31">
        <f>Tabela2[[#This Row],[QAT]]+'Temporada 2026'!AG40</f>
        <v>300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Row],[SAU]]+'Temporada 2026'!O41</f>
        <v>94</v>
      </c>
      <c r="I32">
        <f>Tabela2[[#This Row],[MIA]]+'Temporada 2026'!P41</f>
        <v>94</v>
      </c>
      <c r="J32">
        <f>Tabela2[[#This Row],[CAN]]+'Temporada 2026'!Q41</f>
        <v>104</v>
      </c>
      <c r="K32">
        <f>Tabela2[[#This Row],[MON]]+'Temporada 2026'!R41</f>
        <v>129</v>
      </c>
      <c r="L32">
        <f>Tabela2[[#This Row],[ESP]]+'Temporada 2026'!S41</f>
        <v>147</v>
      </c>
      <c r="M32">
        <f>Tabela2[[#This Row],[AUT]]+'Temporada 2026'!T41</f>
        <v>167</v>
      </c>
      <c r="N32">
        <f>Tabela2[[#This Row],[ING]]+'Temporada 2026'!U41</f>
        <v>183</v>
      </c>
      <c r="O32">
        <f>Tabela2[[#This Row],[BEL]]+'Temporada 2026'!V41</f>
        <v>208</v>
      </c>
      <c r="P32">
        <f>Tabela2[[#This Row],[HUN]]+'Temporada 2026'!W41</f>
        <v>208</v>
      </c>
      <c r="Q32">
        <f>Tabela2[[#This Row],[HOL]]+'Temporada 2026'!X41</f>
        <v>208</v>
      </c>
      <c r="R32">
        <f>Tabela2[[#This Row],[MAD]]+'Temporada 2026'!Y41</f>
        <v>208</v>
      </c>
      <c r="S32">
        <f>Tabela2[[#This Row],[ITA]]+'Temporada 2026'!Z41</f>
        <v>208</v>
      </c>
      <c r="T32">
        <f>Tabela2[[#This Row],[AZE]]+'Temporada 2026'!AA41</f>
        <v>208</v>
      </c>
      <c r="U32">
        <f>Tabela2[[#This Row],[SIN]]+'Temporada 2026'!AB41</f>
        <v>208</v>
      </c>
      <c r="V32">
        <f>Tabela2[[#This Row],[USA]]+'Temporada 2026'!AC41</f>
        <v>208</v>
      </c>
      <c r="W32">
        <f>Tabela2[[#This Row],[MEX]]+'Temporada 2026'!AD41</f>
        <v>208</v>
      </c>
      <c r="X32">
        <f>Tabela2[[#This Row],[SÃO]]+'Temporada 2026'!AE41</f>
        <v>208</v>
      </c>
      <c r="Y32">
        <f>Tabela2[[#This Row],[VEG]]+'Temporada 2026'!AF41</f>
        <v>208</v>
      </c>
      <c r="Z32">
        <f>Tabela2[[#This Row],[QAT]]+'Temporada 2026'!AG41</f>
        <v>208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Row],[SAU]]+'Temporada 2026'!O42</f>
        <v>30</v>
      </c>
      <c r="I33">
        <f>Tabela2[[#This Row],[MIA]]+'Temporada 2026'!P42</f>
        <v>55</v>
      </c>
      <c r="J33">
        <f>Tabela2[[#This Row],[CAN]]+'Temporada 2026'!Q42</f>
        <v>67</v>
      </c>
      <c r="K33">
        <f>Tabela2[[#This Row],[MON]]+'Temporada 2026'!R42</f>
        <v>87</v>
      </c>
      <c r="L33">
        <f>Tabela2[[#This Row],[ESP]]+'Temporada 2026'!S42</f>
        <v>113</v>
      </c>
      <c r="M33">
        <f>Tabela2[[#This Row],[AUT]]+'Temporada 2026'!T42</f>
        <v>126</v>
      </c>
      <c r="N33">
        <f>Tabela2[[#This Row],[ING]]+'Temporada 2026'!U42</f>
        <v>149</v>
      </c>
      <c r="O33">
        <f>Tabela2[[#This Row],[BEL]]+'Temporada 2026'!V42</f>
        <v>175</v>
      </c>
      <c r="P33">
        <f>Tabela2[[#This Row],[HUN]]+'Temporada 2026'!W42</f>
        <v>175</v>
      </c>
      <c r="Q33">
        <f>Tabela2[[#This Row],[HOL]]+'Temporada 2026'!X42</f>
        <v>175</v>
      </c>
      <c r="R33">
        <f>Tabela2[[#This Row],[MAD]]+'Temporada 2026'!Y42</f>
        <v>175</v>
      </c>
      <c r="S33">
        <f>Tabela2[[#This Row],[ITA]]+'Temporada 2026'!Z42</f>
        <v>175</v>
      </c>
      <c r="T33">
        <f>Tabela2[[#This Row],[AZE]]+'Temporada 2026'!AA42</f>
        <v>175</v>
      </c>
      <c r="U33">
        <f>Tabela2[[#This Row],[SIN]]+'Temporada 2026'!AB42</f>
        <v>175</v>
      </c>
      <c r="V33">
        <f>Tabela2[[#This Row],[USA]]+'Temporada 2026'!AC42</f>
        <v>175</v>
      </c>
      <c r="W33">
        <f>Tabela2[[#This Row],[MEX]]+'Temporada 2026'!AD42</f>
        <v>175</v>
      </c>
      <c r="X33">
        <f>Tabela2[[#This Row],[SÃO]]+'Temporada 2026'!AE42</f>
        <v>175</v>
      </c>
      <c r="Y33">
        <f>Tabela2[[#This Row],[VEG]]+'Temporada 2026'!AF42</f>
        <v>175</v>
      </c>
      <c r="Z33">
        <f>Tabela2[[#This Row],[QAT]]+'Temporada 2026'!AG42</f>
        <v>175</v>
      </c>
    </row>
    <row r="34" spans="1:26" x14ac:dyDescent="0.2">
      <c r="A34">
        <f>'Temporada 2026'!B43</f>
        <v>5</v>
      </c>
      <c r="B34" t="str">
        <f>'Temporada 2026'!C43</f>
        <v>Racing Bulls</v>
      </c>
      <c r="C34">
        <f>'Temporada 2026'!J43</f>
        <v>4</v>
      </c>
      <c r="D34">
        <f>Tabela2[[#This Row],[AUS]]+'Temporada 2026'!K43</f>
        <v>12</v>
      </c>
      <c r="E34">
        <f>Tabela2[[#This Row],[CHI]]+'Temporada 2026'!L43</f>
        <v>14</v>
      </c>
      <c r="F34">
        <f>Tabela2[[#This Row],[JAP]]+'Temporada 2026'!M43</f>
        <v>14</v>
      </c>
      <c r="G34">
        <f>Tabela2[[#This Row],[BAH]]+'Temporada 2026'!N43</f>
        <v>14</v>
      </c>
      <c r="H34">
        <f>Tabela2[[#This Row],[SAU]]+'Temporada 2026'!O43</f>
        <v>14</v>
      </c>
      <c r="I34">
        <f>Tabela2[[#This Row],[MIA]]+'Temporada 2026'!P43</f>
        <v>20</v>
      </c>
      <c r="J34">
        <f>Tabela2[[#This Row],[CAN]]+'Temporada 2026'!Q43</f>
        <v>34</v>
      </c>
      <c r="K34">
        <f>Tabela2[[#This Row],[MON]]+'Temporada 2026'!R43</f>
        <v>40</v>
      </c>
      <c r="L34">
        <f>Tabela2[[#This Row],[ESP]]+'Temporada 2026'!S43</f>
        <v>43</v>
      </c>
      <c r="M34">
        <f>Tabela2[[#This Row],[AUT]]+'Temporada 2026'!T43</f>
        <v>58</v>
      </c>
      <c r="N34">
        <f>Tabela2[[#This Row],[ING]]+'Temporada 2026'!U43</f>
        <v>60</v>
      </c>
      <c r="O34">
        <f>Tabela2[[#This Row],[BEL]]+'Temporada 2026'!V43</f>
        <v>65</v>
      </c>
      <c r="P34">
        <f>Tabela2[[#This Row],[HUN]]+'Temporada 2026'!W43</f>
        <v>65</v>
      </c>
      <c r="Q34">
        <f>Tabela2[[#This Row],[HOL]]+'Temporada 2026'!X43</f>
        <v>65</v>
      </c>
      <c r="R34">
        <f>Tabela2[[#This Row],[MAD]]+'Temporada 2026'!Y43</f>
        <v>65</v>
      </c>
      <c r="S34">
        <f>Tabela2[[#This Row],[ITA]]+'Temporada 2026'!Z43</f>
        <v>65</v>
      </c>
      <c r="T34">
        <f>Tabela2[[#This Row],[AZE]]+'Temporada 2026'!AA43</f>
        <v>65</v>
      </c>
      <c r="U34">
        <f>Tabela2[[#This Row],[SIN]]+'Temporada 2026'!AB43</f>
        <v>65</v>
      </c>
      <c r="V34">
        <f>Tabela2[[#This Row],[USA]]+'Temporada 2026'!AC43</f>
        <v>65</v>
      </c>
      <c r="W34">
        <f>Tabela2[[#This Row],[MEX]]+'Temporada 2026'!AD43</f>
        <v>65</v>
      </c>
      <c r="X34">
        <f>Tabela2[[#This Row],[SÃO]]+'Temporada 2026'!AE43</f>
        <v>65</v>
      </c>
      <c r="Y34">
        <f>Tabela2[[#This Row],[VEG]]+'Temporada 2026'!AF43</f>
        <v>65</v>
      </c>
      <c r="Z34">
        <f>Tabela2[[#This Row],[QAT]]+'Temporada 2026'!AG43</f>
        <v>65</v>
      </c>
    </row>
    <row r="35" spans="1:26" x14ac:dyDescent="0.2">
      <c r="A35">
        <f>'Temporada 2026'!B44</f>
        <v>6</v>
      </c>
      <c r="B35" t="str">
        <f>'Temporada 2026'!C44</f>
        <v>Alpine</v>
      </c>
      <c r="C35">
        <f>'Temporada 2026'!J44</f>
        <v>1</v>
      </c>
      <c r="D35">
        <f>Tabela2[[#This Row],[AUS]]+'Temporada 2026'!K44</f>
        <v>10</v>
      </c>
      <c r="E35">
        <f>Tabela2[[#This Row],[CHI]]+'Temporada 2026'!L44</f>
        <v>16</v>
      </c>
      <c r="F35">
        <f>Tabela2[[#This Row],[JAP]]+'Temporada 2026'!M44</f>
        <v>16</v>
      </c>
      <c r="G35">
        <f>Tabela2[[#This Row],[BAH]]+'Temporada 2026'!N44</f>
        <v>16</v>
      </c>
      <c r="H35">
        <f>Tabela2[[#This Row],[SAU]]+'Temporada 2026'!O44</f>
        <v>23</v>
      </c>
      <c r="I35">
        <f>Tabela2[[#This Row],[MIA]]+'Temporada 2026'!P44</f>
        <v>35</v>
      </c>
      <c r="J35">
        <f>Tabela2[[#This Row],[CAN]]+'Temporada 2026'!Q44</f>
        <v>50</v>
      </c>
      <c r="K35">
        <f>Tabela2[[#This Row],[MON]]+'Temporada 2026'!R44</f>
        <v>57</v>
      </c>
      <c r="L35">
        <f>Tabela2[[#This Row],[ESP]]+'Temporada 2026'!S44</f>
        <v>57</v>
      </c>
      <c r="M35">
        <f>Tabela2[[#This Row],[AUT]]+'Temporada 2026'!T44</f>
        <v>60</v>
      </c>
      <c r="N35">
        <f>Tabela2[[#This Row],[ING]]+'Temporada 2026'!U44</f>
        <v>61</v>
      </c>
      <c r="O35">
        <f>Tabela2[[#This Row],[BEL]]+'Temporada 2026'!V44</f>
        <v>61</v>
      </c>
      <c r="P35">
        <f>Tabela2[[#This Row],[HUN]]+'Temporada 2026'!W44</f>
        <v>61</v>
      </c>
      <c r="Q35">
        <f>Tabela2[[#This Row],[HOL]]+'Temporada 2026'!X44</f>
        <v>61</v>
      </c>
      <c r="R35">
        <f>Tabela2[[#This Row],[MAD]]+'Temporada 2026'!Y44</f>
        <v>61</v>
      </c>
      <c r="S35">
        <f>Tabela2[[#This Row],[ITA]]+'Temporada 2026'!Z44</f>
        <v>61</v>
      </c>
      <c r="T35">
        <f>Tabela2[[#This Row],[AZE]]+'Temporada 2026'!AA44</f>
        <v>61</v>
      </c>
      <c r="U35">
        <f>Tabela2[[#This Row],[SIN]]+'Temporada 2026'!AB44</f>
        <v>61</v>
      </c>
      <c r="V35">
        <f>Tabela2[[#This Row],[USA]]+'Temporada 2026'!AC44</f>
        <v>61</v>
      </c>
      <c r="W35">
        <f>Tabela2[[#This Row],[MEX]]+'Temporada 2026'!AD44</f>
        <v>61</v>
      </c>
      <c r="X35">
        <f>Tabela2[[#This Row],[SÃO]]+'Temporada 2026'!AE44</f>
        <v>61</v>
      </c>
      <c r="Y35">
        <f>Tabela2[[#This Row],[VEG]]+'Temporada 2026'!AF44</f>
        <v>61</v>
      </c>
      <c r="Z35">
        <f>Tabela2[[#This Row],[QAT]]+'Temporada 2026'!AG44</f>
        <v>61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Row],[SAU]]+'Temporada 2026'!O45</f>
        <v>18</v>
      </c>
      <c r="I36">
        <f>Tabela2[[#This Row],[MIA]]+'Temporada 2026'!P45</f>
        <v>19</v>
      </c>
      <c r="J36">
        <f>Tabela2[[#This Row],[CAN]]+'Temporada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Row],[AUT]]+'Temporada 2026'!T45</f>
        <v>21</v>
      </c>
      <c r="N36">
        <f>Tabela2[[#This Row],[ING]]+'Temporada 2026'!U45</f>
        <v>21</v>
      </c>
      <c r="O36">
        <f>Tabela2[[#This Row],[BEL]]+'Temporada 2026'!V45</f>
        <v>21</v>
      </c>
      <c r="P36">
        <f>Tabela2[[#This Row],[HUN]]+'Temporada 2026'!W45</f>
        <v>21</v>
      </c>
      <c r="Q36">
        <f>Tabela2[[#This Row],[HOL]]+'Temporada 2026'!X45</f>
        <v>21</v>
      </c>
      <c r="R36">
        <f>Tabela2[[#This Row],[MAD]]+'Temporada 2026'!Y45</f>
        <v>21</v>
      </c>
      <c r="S36">
        <f>Tabela2[[#This Row],[ITA]]+'Temporada 2026'!Z45</f>
        <v>21</v>
      </c>
      <c r="T36">
        <f>Tabela2[[#This Row],[AZE]]+'Temporada 2026'!AA45</f>
        <v>21</v>
      </c>
      <c r="U36">
        <f>Tabela2[[#This Row],[SIN]]+'Temporada 2026'!AB45</f>
        <v>21</v>
      </c>
      <c r="V36">
        <f>Tabela2[[#This Row],[USA]]+'Temporada 2026'!AC45</f>
        <v>21</v>
      </c>
      <c r="W36">
        <f>Tabela2[[#This Row],[MEX]]+'Temporada 2026'!AD45</f>
        <v>21</v>
      </c>
      <c r="X36">
        <f>Tabela2[[#This Row],[SÃO]]+'Temporada 2026'!AE45</f>
        <v>21</v>
      </c>
      <c r="Y36">
        <f>Tabela2[[#This Row],[VEG]]+'Temporada 2026'!AF45</f>
        <v>21</v>
      </c>
      <c r="Z36">
        <f>Tabela2[[#This Row],[QAT]]+'Temporada 2026'!AG45</f>
        <v>21</v>
      </c>
    </row>
    <row r="37" spans="1:26" x14ac:dyDescent="0.2">
      <c r="A37">
        <f>'Temporada 2026'!B46</f>
        <v>8</v>
      </c>
      <c r="B37" t="str">
        <f>'Temporada 2026'!C46</f>
        <v>Audi</v>
      </c>
      <c r="C37">
        <f>'Temporada 2026'!J46</f>
        <v>2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Row],[SAU]]+'Temporada 2026'!O46</f>
        <v>2</v>
      </c>
      <c r="I37">
        <f>Tabela2[[#This Row],[MIA]]+'Temporada 2026'!P46</f>
        <v>2</v>
      </c>
      <c r="J37">
        <f>Tabela2[[#This Row],[CAN]]+'Temporada 2026'!Q46</f>
        <v>2</v>
      </c>
      <c r="K37">
        <f>Tabela2[[#This Row],[MON]]+'Temporada 2026'!R46</f>
        <v>2</v>
      </c>
      <c r="L37">
        <f>Tabela2[[#This Row],[ESP]]+'Temporada 2026'!S46</f>
        <v>2</v>
      </c>
      <c r="M37">
        <f>Tabela2[[#This Row],[AUT]]+'Temporada 2026'!T46</f>
        <v>6</v>
      </c>
      <c r="N37">
        <f>Tabela2[[#This Row],[ING]]+'Temporada 2026'!U46</f>
        <v>10</v>
      </c>
      <c r="O37">
        <f>Tabela2[[#This Row],[BEL]]+'Temporada 2026'!V46</f>
        <v>12</v>
      </c>
      <c r="P37">
        <f>Tabela2[[#This Row],[HUN]]+'Temporada 2026'!W46</f>
        <v>12</v>
      </c>
      <c r="Q37">
        <f>Tabela2[[#This Row],[HOL]]+'Temporada 2026'!X46</f>
        <v>12</v>
      </c>
      <c r="R37">
        <f>Tabela2[[#This Row],[MAD]]+'Temporada 2026'!Y46</f>
        <v>12</v>
      </c>
      <c r="S37">
        <f>Tabela2[[#This Row],[ITA]]+'Temporada 2026'!Z46</f>
        <v>12</v>
      </c>
      <c r="T37">
        <f>Tabela2[[#This Row],[AZE]]+'Temporada 2026'!AA46</f>
        <v>12</v>
      </c>
      <c r="U37">
        <f>Tabela2[[#This Row],[SIN]]+'Temporada 2026'!AB46</f>
        <v>12</v>
      </c>
      <c r="V37">
        <f>Tabela2[[#This Row],[USA]]+'Temporada 2026'!AC46</f>
        <v>12</v>
      </c>
      <c r="W37">
        <f>Tabela2[[#This Row],[MEX]]+'Temporada 2026'!AD46</f>
        <v>12</v>
      </c>
      <c r="X37">
        <f>Tabela2[[#This Row],[SÃO]]+'Temporada 2026'!AE46</f>
        <v>12</v>
      </c>
      <c r="Y37">
        <f>Tabela2[[#This Row],[VEG]]+'Temporada 2026'!AF46</f>
        <v>12</v>
      </c>
      <c r="Z37">
        <f>Tabela2[[#This Row],[QAT]]+'Temporada 2026'!AG46</f>
        <v>12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Row],[SAU]]+'Temporada 2026'!O47</f>
        <v>5</v>
      </c>
      <c r="I38">
        <f>Tabela2[[#This Row],[MIA]]+'Temporada 2026'!P47</f>
        <v>7</v>
      </c>
      <c r="J38">
        <f>Tabela2[[#This Row],[CAN]]+'Temporada 2026'!Q47</f>
        <v>11</v>
      </c>
      <c r="K38">
        <f>Tabela2[[#This Row],[MON]]+'Temporada 2026'!R47</f>
        <v>11</v>
      </c>
      <c r="L38">
        <f>Tabela2[[#This Row],[ESP]]+'Temporada 2026'!S47</f>
        <v>11</v>
      </c>
      <c r="M38">
        <f>Tabela2[[#This Row],[AUT]]+'Temporada 2026'!T47</f>
        <v>11</v>
      </c>
      <c r="N38">
        <f>Tabela2[[#This Row],[ING]]+'Temporada 2026'!U47</f>
        <v>11</v>
      </c>
      <c r="O38">
        <f>Tabela2[[#This Row],[BEL]]+'Temporada 2026'!V47</f>
        <v>11</v>
      </c>
      <c r="P38">
        <f>Tabela2[[#This Row],[HUN]]+'Temporada 2026'!W47</f>
        <v>11</v>
      </c>
      <c r="Q38">
        <f>Tabela2[[#This Row],[HOL]]+'Temporada 2026'!X47</f>
        <v>11</v>
      </c>
      <c r="R38">
        <f>Tabela2[[#This Row],[MAD]]+'Temporada 2026'!Y47</f>
        <v>11</v>
      </c>
      <c r="S38">
        <f>Tabela2[[#This Row],[ITA]]+'Temporada 2026'!Z47</f>
        <v>11</v>
      </c>
      <c r="T38">
        <f>Tabela2[[#This Row],[AZE]]+'Temporada 2026'!AA47</f>
        <v>11</v>
      </c>
      <c r="U38">
        <f>Tabela2[[#This Row],[SIN]]+'Temporada 2026'!AB47</f>
        <v>11</v>
      </c>
      <c r="V38">
        <f>Tabela2[[#This Row],[USA]]+'Temporada 2026'!AC47</f>
        <v>11</v>
      </c>
      <c r="W38">
        <f>Tabela2[[#This Row],[MEX]]+'Temporada 2026'!AD47</f>
        <v>11</v>
      </c>
      <c r="X38">
        <f>Tabela2[[#This Row],[SÃO]]+'Temporada 2026'!AE47</f>
        <v>11</v>
      </c>
      <c r="Y38">
        <f>Tabela2[[#This Row],[VEG]]+'Temporada 2026'!AF47</f>
        <v>11</v>
      </c>
      <c r="Z38">
        <f>Tabela2[[#This Row],[QAT]]+'Temporada 2026'!AG47</f>
        <v>11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Row],[SAU]]+'Temporada 2026'!O48</f>
        <v>0</v>
      </c>
      <c r="I39">
        <f>Tabela2[[#This Row],[MIA]]+'Temporada 2026'!P48</f>
        <v>0</v>
      </c>
      <c r="J39">
        <f>Tabela2[[#This Row],[CAN]]+'Temporada 2026'!Q48</f>
        <v>1</v>
      </c>
      <c r="K39">
        <f>Tabela2[[#This Row],[MON]]+'Temporada 2026'!R48</f>
        <v>1</v>
      </c>
      <c r="L39">
        <f>Tabela2[[#This Row],[ESP]]+'Temporada 2026'!S48</f>
        <v>1</v>
      </c>
      <c r="M39">
        <f>Tabela2[[#This Row],[AUT]]+'Temporada 2026'!T48</f>
        <v>1</v>
      </c>
      <c r="N39">
        <f>Tabela2[[#This Row],[ING]]+'Temporada 2026'!U48</f>
        <v>1</v>
      </c>
      <c r="O39">
        <f>Tabela2[[#This Row],[BEL]]+'Temporada 2026'!V48</f>
        <v>1</v>
      </c>
      <c r="P39">
        <f>Tabela2[[#This Row],[HUN]]+'Temporada 2026'!W48</f>
        <v>1</v>
      </c>
      <c r="Q39">
        <f>Tabela2[[#This Row],[HOL]]+'Temporada 2026'!X48</f>
        <v>1</v>
      </c>
      <c r="R39">
        <f>Tabela2[[#This Row],[MAD]]+'Temporada 2026'!Y48</f>
        <v>1</v>
      </c>
      <c r="S39">
        <f>Tabela2[[#This Row],[ITA]]+'Temporada 2026'!Z48</f>
        <v>1</v>
      </c>
      <c r="T39">
        <f>Tabela2[[#This Row],[AZE]]+'Temporada 2026'!AA48</f>
        <v>1</v>
      </c>
      <c r="U39">
        <f>Tabela2[[#This Row],[SIN]]+'Temporada 2026'!AB48</f>
        <v>1</v>
      </c>
      <c r="V39">
        <f>Tabela2[[#This Row],[USA]]+'Temporada 2026'!AC48</f>
        <v>1</v>
      </c>
      <c r="W39">
        <f>Tabela2[[#This Row],[MEX]]+'Temporada 2026'!AD48</f>
        <v>1</v>
      </c>
      <c r="X39">
        <f>Tabela2[[#This Row],[SÃO]]+'Temporada 2026'!AE48</f>
        <v>1</v>
      </c>
      <c r="Y39">
        <f>Tabela2[[#This Row],[VEG]]+'Temporada 2026'!AF48</f>
        <v>1</v>
      </c>
      <c r="Z39">
        <f>Tabela2[[#This Row],[QAT]]+'Temporada 2026'!AG48</f>
        <v>1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Row],[SAU]]+'Temporada 2026'!O49</f>
        <v>0</v>
      </c>
      <c r="I40">
        <f>Tabela2[[#This Row],[MIA]]+'Temporada 2026'!P49</f>
        <v>0</v>
      </c>
      <c r="J40">
        <f>Tabela2[[#This Row],[CAN]]+'Temporada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Row],[AUT]]+'Temporada 2026'!T49</f>
        <v>0</v>
      </c>
      <c r="N40">
        <f>Tabela2[[#This Row],[ING]]+'Temporada 2026'!U49</f>
        <v>0</v>
      </c>
      <c r="O40">
        <f>Tabela2[[#This Row],[BEL]]+'Temporada 2026'!V49</f>
        <v>0</v>
      </c>
      <c r="P40">
        <f>Tabela2[[#This Row],[HUN]]+'Temporada 2026'!W49</f>
        <v>0</v>
      </c>
      <c r="Q40">
        <f>Tabela2[[#This Row],[HOL]]+'Temporada 2026'!X49</f>
        <v>0</v>
      </c>
      <c r="R40">
        <f>Tabela2[[#This Row],[MAD]]+'Temporada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Row],[SAU]]+'Temporada 2026'!O50</f>
        <v>#VALUE!</v>
      </c>
      <c r="I41" t="e">
        <f>Tabela2[[#This Row],[MIA]]+'Temporada 2026'!P50</f>
        <v>#VALUE!</v>
      </c>
      <c r="J41" t="e">
        <f>Tabela2[[#This Row],[CAN]]+'Temporada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Row],[AUT]]+'Temporada 2026'!T50</f>
        <v>#VALUE!</v>
      </c>
      <c r="N41" t="e">
        <f>Tabela2[[#This Row],[ING]]+'Temporada 2026'!U50</f>
        <v>#VALUE!</v>
      </c>
      <c r="O41" t="e">
        <f>Tabela2[[#This Row],[BEL]]+'Temporada 2026'!V50</f>
        <v>#VALUE!</v>
      </c>
      <c r="P41" t="e">
        <f>Tabela2[[#This Row],[HUN]]+'Temporada 2026'!W50</f>
        <v>#VALUE!</v>
      </c>
      <c r="Q41" t="e">
        <f>Tabela2[[#This Row],[HOL]]+'Temporada 2026'!X50</f>
        <v>#VALUE!</v>
      </c>
      <c r="R41" t="e">
        <f>Tabela2[[#This Row],[MAD]]+'Temporada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Row],[SAU]]+'Temporada 2026'!O51</f>
        <v>#VALUE!</v>
      </c>
      <c r="I42" t="e">
        <f>Tabela2[[#This Row],[MIA]]+'Temporada 2026'!P51</f>
        <v>#VALUE!</v>
      </c>
      <c r="J42" t="e">
        <f>Tabela2[[#This Row],[CAN]]+'Temporada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Row],[AUT]]+'Temporada 2026'!T51</f>
        <v>#VALUE!</v>
      </c>
      <c r="N42" t="e">
        <f>Tabela2[[#This Row],[ING]]+'Temporada 2026'!U51</f>
        <v>#VALUE!</v>
      </c>
      <c r="O42" t="e">
        <f>Tabela2[[#This Row],[BEL]]+'Temporada 2026'!V51</f>
        <v>#VALUE!</v>
      </c>
      <c r="P42" t="e">
        <f>Tabela2[[#This Row],[HUN]]+'Temporada 2026'!W51</f>
        <v>#VALUE!</v>
      </c>
      <c r="Q42" t="e">
        <f>Tabela2[[#This Row],[HOL]]+'Temporada 2026'!X51</f>
        <v>#VALUE!</v>
      </c>
      <c r="R42" t="e">
        <f>Tabela2[[#This Row],[MAD]]+'Temporada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381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Row],[SAU]]</f>
        <v>0</v>
      </c>
      <c r="I43" s="23">
        <f>Tabela2[[#This Row],[MIA]]</f>
        <v>0</v>
      </c>
      <c r="J43" s="23">
        <f>Tabela2[[#This Row],[CAN]]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Row],[AUT]]</f>
        <v>0</v>
      </c>
      <c r="N43" s="23">
        <f>Tabela2[[#This Row],[ING]]</f>
        <v>0</v>
      </c>
      <c r="O43" s="23">
        <f>Tabela2[[#This Row],[BEL]]</f>
        <v>0</v>
      </c>
      <c r="P43" s="23">
        <f>Tabela2[[#This Row],[HUN]]</f>
        <v>0</v>
      </c>
      <c r="Q43" s="23">
        <f>Tabela2[[#This Row],[HOL]]</f>
        <v>0</v>
      </c>
      <c r="R43" s="23">
        <f>Tabela2[[#This Row],[MAD]]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63" t="s">
        <v>28</v>
      </c>
      <c r="C2" s="163"/>
      <c r="D2" s="163"/>
      <c r="E2" s="163"/>
      <c r="F2" s="163"/>
      <c r="G2" s="163"/>
      <c r="H2" s="163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73" t="s">
        <v>27</v>
      </c>
      <c r="H4" s="173"/>
    </row>
    <row r="5" spans="2:8" x14ac:dyDescent="0.2">
      <c r="B5" s="171">
        <v>1</v>
      </c>
      <c r="C5" s="170">
        <f>'Calendário atual'!B2</f>
        <v>46089</v>
      </c>
      <c r="D5" s="167" t="str">
        <f>'Calendário atual'!C2</f>
        <v>Australia</v>
      </c>
      <c r="E5" s="164" t="str">
        <f>'Calendário atual'!D2</f>
        <v>FORMULA 1 QATAR AIRWAYS AUSTRALIAN GRAND PRIX 2026</v>
      </c>
      <c r="F5" s="167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71"/>
      <c r="C6" s="170"/>
      <c r="D6" s="168"/>
      <c r="E6" s="165"/>
      <c r="F6" s="168"/>
      <c r="G6" s="105">
        <v>2</v>
      </c>
      <c r="H6" s="103" t="str">
        <f>IF(Resultados!C5&lt;&gt;"",Resultados!C5,"")</f>
        <v>Kimi Antonelli</v>
      </c>
    </row>
    <row r="7" spans="2:8" x14ac:dyDescent="0.2">
      <c r="B7" s="171"/>
      <c r="C7" s="170"/>
      <c r="D7" s="169"/>
      <c r="E7" s="166"/>
      <c r="F7" s="169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4">
        <v>2</v>
      </c>
      <c r="C8" s="170">
        <f>'Calendário atual'!B3</f>
        <v>46096</v>
      </c>
      <c r="D8" s="169" t="str">
        <f>'Calendário atual'!C3</f>
        <v>China</v>
      </c>
      <c r="E8" s="164" t="str">
        <f>'Calendário atual'!D3</f>
        <v>FORMULA 1 HEINEKEN CHINESE GRAND PRIX 2026</v>
      </c>
      <c r="F8" s="167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71"/>
      <c r="C9" s="170"/>
      <c r="D9" s="172"/>
      <c r="E9" s="165"/>
      <c r="F9" s="168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71"/>
      <c r="C10" s="170"/>
      <c r="D10" s="172"/>
      <c r="E10" s="166"/>
      <c r="F10" s="169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71">
        <v>3</v>
      </c>
      <c r="C11" s="170">
        <f>'Calendário atual'!B4</f>
        <v>46110</v>
      </c>
      <c r="D11" s="172" t="str">
        <f>'Calendário atual'!C4</f>
        <v>Japão</v>
      </c>
      <c r="E11" s="164" t="str">
        <f>'Calendário atual'!D4</f>
        <v>FORMULA 1 ARAMCO JAPANESE GRAND PRIX 2026</v>
      </c>
      <c r="F11" s="167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71"/>
      <c r="C12" s="170"/>
      <c r="D12" s="172"/>
      <c r="E12" s="165"/>
      <c r="F12" s="168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71"/>
      <c r="C13" s="170"/>
      <c r="D13" s="172"/>
      <c r="E13" s="166"/>
      <c r="F13" s="169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71">
        <v>4</v>
      </c>
      <c r="C14" s="170">
        <f>'Calendário atual'!B5</f>
        <v>46124</v>
      </c>
      <c r="D14" s="172" t="str">
        <f>'Calendário atual'!C5</f>
        <v>Bahrein</v>
      </c>
      <c r="E14" s="164" t="str">
        <f>'Calendário atual'!D5</f>
        <v>SUSPENSA - FORMULA 1 GULF AIR BAHRAIN GRAND PRIX 2026 - SUSPENSA</v>
      </c>
      <c r="F14" s="167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71"/>
      <c r="C15" s="170"/>
      <c r="D15" s="172"/>
      <c r="E15" s="165"/>
      <c r="F15" s="168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71"/>
      <c r="C16" s="170"/>
      <c r="D16" s="172"/>
      <c r="E16" s="166"/>
      <c r="F16" s="169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71">
        <v>5</v>
      </c>
      <c r="C17" s="170">
        <f>'Calendário atual'!B6</f>
        <v>46131</v>
      </c>
      <c r="D17" s="172" t="str">
        <f>'Calendário atual'!C6</f>
        <v>Arabia Saudita</v>
      </c>
      <c r="E17" s="164" t="str">
        <f>'Calendário atual'!D6</f>
        <v>SUSPENSA - FORMULA 1 STC SAUDI ARABIAN GRAND PRIX 2026 - SUSPENSA</v>
      </c>
      <c r="F17" s="167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71"/>
      <c r="C18" s="170"/>
      <c r="D18" s="172"/>
      <c r="E18" s="165"/>
      <c r="F18" s="168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71"/>
      <c r="C19" s="170"/>
      <c r="D19" s="172"/>
      <c r="E19" s="166"/>
      <c r="F19" s="169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71">
        <v>6</v>
      </c>
      <c r="C20" s="170">
        <f>'Calendário atual'!B7</f>
        <v>46145</v>
      </c>
      <c r="D20" s="172" t="str">
        <f>'Calendário atual'!C7</f>
        <v>USA</v>
      </c>
      <c r="E20" s="164" t="str">
        <f>'Calendário atual'!D7</f>
        <v>FORMULA 1 CRYPTO.COM MIAMI GRAND PRIX 2026</v>
      </c>
      <c r="F20" s="172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71"/>
      <c r="C21" s="170"/>
      <c r="D21" s="172"/>
      <c r="E21" s="165"/>
      <c r="F21" s="172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71"/>
      <c r="C22" s="170"/>
      <c r="D22" s="172"/>
      <c r="E22" s="166"/>
      <c r="F22" s="172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71">
        <v>7</v>
      </c>
      <c r="C23" s="170">
        <f>'Calendário atual'!B8</f>
        <v>46166</v>
      </c>
      <c r="D23" s="172" t="str">
        <f>'Calendário atual'!C8</f>
        <v>Canadá</v>
      </c>
      <c r="E23" s="164" t="str">
        <f>'Calendário atual'!D8</f>
        <v>FORMULA 1 LENOVO GRAND PRIX DU CANADA 2026</v>
      </c>
      <c r="F23" s="172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71"/>
      <c r="C24" s="170"/>
      <c r="D24" s="172"/>
      <c r="E24" s="165"/>
      <c r="F24" s="172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71"/>
      <c r="C25" s="170"/>
      <c r="D25" s="172"/>
      <c r="E25" s="166"/>
      <c r="F25" s="172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71">
        <v>8</v>
      </c>
      <c r="C26" s="170">
        <f>'Calendário atual'!B9</f>
        <v>46180</v>
      </c>
      <c r="D26" s="172" t="str">
        <f>'Calendário atual'!C9</f>
        <v>Mônaco</v>
      </c>
      <c r="E26" s="164" t="str">
        <f>'Calendário atual'!D9</f>
        <v>FORMULA 1 LOUIS VUITTON GRAND PRIX DE MONACO 2026</v>
      </c>
      <c r="F26" s="172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71"/>
      <c r="C27" s="170"/>
      <c r="D27" s="172"/>
      <c r="E27" s="165"/>
      <c r="F27" s="172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71"/>
      <c r="C28" s="170"/>
      <c r="D28" s="172"/>
      <c r="E28" s="166"/>
      <c r="F28" s="172"/>
      <c r="G28" s="106">
        <v>3</v>
      </c>
      <c r="H28" s="104" t="str">
        <f>IF(Resultados!C277&lt;&gt;"",Resultados!C277,"")</f>
        <v>Pierre Gasly</v>
      </c>
    </row>
    <row r="29" spans="2:8" ht="12.75" customHeight="1" x14ac:dyDescent="0.2">
      <c r="B29" s="171">
        <v>9</v>
      </c>
      <c r="C29" s="170">
        <f>'Calendário atual'!B10</f>
        <v>46187</v>
      </c>
      <c r="D29" s="172" t="str">
        <f>'Calendário atual'!C10</f>
        <v>Espanha</v>
      </c>
      <c r="E29" s="164" t="str">
        <f>'Calendário atual'!D10</f>
        <v>FORMULA 1 MSC CRUISES GRAN PREMIO DE BARCELONA-CATALUNYA 2026</v>
      </c>
      <c r="F29" s="172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71"/>
      <c r="C30" s="170"/>
      <c r="D30" s="172"/>
      <c r="E30" s="165"/>
      <c r="F30" s="172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71"/>
      <c r="C31" s="170"/>
      <c r="D31" s="172"/>
      <c r="E31" s="166"/>
      <c r="F31" s="172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71">
        <v>10</v>
      </c>
      <c r="C32" s="170">
        <f>'Calendário atual'!B11</f>
        <v>46201</v>
      </c>
      <c r="D32" s="167" t="str">
        <f>'Calendário atual'!C11</f>
        <v>Austria</v>
      </c>
      <c r="E32" s="164" t="str">
        <f>'Calendário atual'!D11</f>
        <v>FORMULA 1 LENOVO AUSTRIAN GRAND PRIX 2026</v>
      </c>
      <c r="F32" s="167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71"/>
      <c r="C33" s="170"/>
      <c r="D33" s="168"/>
      <c r="E33" s="165"/>
      <c r="F33" s="168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71"/>
      <c r="C34" s="170"/>
      <c r="D34" s="169"/>
      <c r="E34" s="166"/>
      <c r="F34" s="169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71">
        <v>11</v>
      </c>
      <c r="C35" s="170">
        <f>'Calendário atual'!B12</f>
        <v>46208</v>
      </c>
      <c r="D35" s="172" t="str">
        <f>'Calendário atual'!C12</f>
        <v>Inglaterra</v>
      </c>
      <c r="E35" s="164" t="str">
        <f>'Calendário atual'!D12</f>
        <v>FORMULA 1 PIRELLI BRITISH GRAND PRIX 2026</v>
      </c>
      <c r="F35" s="172" t="str">
        <f>'Calendário atual'!E12</f>
        <v>Silverstone</v>
      </c>
      <c r="G35" s="101">
        <v>1</v>
      </c>
      <c r="H35" s="102" t="str">
        <f>IF(Resultados!C384&lt;&gt;"",Resultados!C384,"")</f>
        <v>Charles Leclerc</v>
      </c>
    </row>
    <row r="36" spans="2:8" ht="12.75" customHeight="1" x14ac:dyDescent="0.2">
      <c r="B36" s="171"/>
      <c r="C36" s="170"/>
      <c r="D36" s="172"/>
      <c r="E36" s="165"/>
      <c r="F36" s="172"/>
      <c r="G36" s="105">
        <v>2</v>
      </c>
      <c r="H36" s="103" t="str">
        <f>IF(Resultados!C385&lt;&gt;"",Resultados!C385,"")</f>
        <v>George Russell</v>
      </c>
    </row>
    <row r="37" spans="2:8" ht="12.75" customHeight="1" x14ac:dyDescent="0.2">
      <c r="B37" s="171"/>
      <c r="C37" s="170"/>
      <c r="D37" s="172"/>
      <c r="E37" s="166"/>
      <c r="F37" s="172"/>
      <c r="G37" s="106">
        <v>3</v>
      </c>
      <c r="H37" s="104" t="str">
        <f>IF(Resultados!C386&lt;&gt;"",Resultados!C386,"")</f>
        <v>Lewis Hamilton</v>
      </c>
    </row>
    <row r="38" spans="2:8" ht="12.75" customHeight="1" x14ac:dyDescent="0.2">
      <c r="B38" s="171">
        <v>12</v>
      </c>
      <c r="C38" s="170">
        <f>'Calendário atual'!B13</f>
        <v>46222</v>
      </c>
      <c r="D38" s="172" t="str">
        <f>'Calendário atual'!C13</f>
        <v>Bélgica</v>
      </c>
      <c r="E38" s="164" t="str">
        <f>'Calendário atual'!D13</f>
        <v>FORMULA 1 MOËT &amp; CHANDON BELGIAN GRAND PRIX 2026</v>
      </c>
      <c r="F38" s="172" t="str">
        <f>'Calendário atual'!E13</f>
        <v>Spa-Francorchamps</v>
      </c>
      <c r="G38" s="101">
        <v>1</v>
      </c>
      <c r="H38" s="102" t="str">
        <f>IF(Resultados!C412&lt;&gt;"",Resultados!C412,"")</f>
        <v>Kimi Antonelli</v>
      </c>
    </row>
    <row r="39" spans="2:8" ht="12.75" customHeight="1" x14ac:dyDescent="0.2">
      <c r="B39" s="171"/>
      <c r="C39" s="170"/>
      <c r="D39" s="172"/>
      <c r="E39" s="165"/>
      <c r="F39" s="172"/>
      <c r="G39" s="105">
        <v>2</v>
      </c>
      <c r="H39" s="103" t="str">
        <f>IF(Resultados!C413&lt;&gt;"",Resultados!C413,"")</f>
        <v>Charles Leclerc</v>
      </c>
    </row>
    <row r="40" spans="2:8" ht="12.75" customHeight="1" x14ac:dyDescent="0.2">
      <c r="B40" s="171"/>
      <c r="C40" s="170"/>
      <c r="D40" s="172"/>
      <c r="E40" s="166"/>
      <c r="F40" s="172"/>
      <c r="G40" s="106">
        <v>3</v>
      </c>
      <c r="H40" s="104" t="str">
        <f>IF(Resultados!C414&lt;&gt;"",Resultados!C414,"")</f>
        <v>Max Verstappen</v>
      </c>
    </row>
    <row r="41" spans="2:8" ht="12.75" customHeight="1" x14ac:dyDescent="0.2">
      <c r="B41" s="171">
        <v>13</v>
      </c>
      <c r="C41" s="170">
        <f>'Calendário atual'!B14</f>
        <v>46229</v>
      </c>
      <c r="D41" s="172" t="str">
        <f>'Calendário atual'!C14</f>
        <v>Hungria</v>
      </c>
      <c r="E41" s="164" t="str">
        <f>'Calendário atual'!D14</f>
        <v>FORMULA 1 AWS HUNGARIAN GRAND PRIX 2026</v>
      </c>
      <c r="F41" s="172" t="str">
        <f>'Calendário atual'!E14</f>
        <v>Hungaroring</v>
      </c>
      <c r="G41" s="101">
        <v>1</v>
      </c>
      <c r="H41" s="102" t="str">
        <f>IF(Resultados!C440&lt;&gt;"",Resultados!C440,"")</f>
        <v>Lando Norris</v>
      </c>
    </row>
    <row r="42" spans="2:8" ht="12.75" customHeight="1" x14ac:dyDescent="0.2">
      <c r="B42" s="171"/>
      <c r="C42" s="170"/>
      <c r="D42" s="172"/>
      <c r="E42" s="165"/>
      <c r="F42" s="172"/>
      <c r="G42" s="105">
        <v>2</v>
      </c>
      <c r="H42" s="103" t="str">
        <f>IF(Resultados!C441&lt;&gt;"",Resultados!C441,"")</f>
        <v>Max Verstappen</v>
      </c>
    </row>
    <row r="43" spans="2:8" ht="12.75" customHeight="1" x14ac:dyDescent="0.2">
      <c r="B43" s="171"/>
      <c r="C43" s="170"/>
      <c r="D43" s="172"/>
      <c r="E43" s="166"/>
      <c r="F43" s="172"/>
      <c r="G43" s="106">
        <v>3</v>
      </c>
      <c r="H43" s="104" t="str">
        <f>IF(Resultados!C442&lt;&gt;"",Resultados!C442,"")</f>
        <v>Kimi Antonelli</v>
      </c>
    </row>
    <row r="44" spans="2:8" ht="12.75" customHeight="1" x14ac:dyDescent="0.2">
      <c r="B44" s="171">
        <v>14</v>
      </c>
      <c r="C44" s="170">
        <f>'Calendário atual'!B15</f>
        <v>46257</v>
      </c>
      <c r="D44" s="172" t="str">
        <f>'Calendário atual'!C15</f>
        <v>Holanda</v>
      </c>
      <c r="E44" s="164" t="str">
        <f>'Calendário atual'!D15</f>
        <v>FORMULA 1 HEINEKEN DUTCH GRAND PRIX 2026</v>
      </c>
      <c r="F44" s="172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71"/>
      <c r="C45" s="170"/>
      <c r="D45" s="172"/>
      <c r="E45" s="165"/>
      <c r="F45" s="172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71"/>
      <c r="C46" s="170"/>
      <c r="D46" s="172"/>
      <c r="E46" s="166"/>
      <c r="F46" s="172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71">
        <v>15</v>
      </c>
      <c r="C47" s="170">
        <f>'Calendário atual'!B16</f>
        <v>46271</v>
      </c>
      <c r="D47" s="172" t="str">
        <f>'Calendário atual'!C16</f>
        <v>Itália</v>
      </c>
      <c r="E47" s="164" t="str">
        <f>'Calendário atual'!D16</f>
        <v>FORMULA 1 PIRELLI GRAN PREMIO D’ITALIA 2026</v>
      </c>
      <c r="F47" s="172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71"/>
      <c r="C48" s="170"/>
      <c r="D48" s="172"/>
      <c r="E48" s="165"/>
      <c r="F48" s="172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71"/>
      <c r="C49" s="170"/>
      <c r="D49" s="172"/>
      <c r="E49" s="166"/>
      <c r="F49" s="172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71">
        <v>16</v>
      </c>
      <c r="C50" s="170">
        <f>'Calendário atual'!B17</f>
        <v>46278</v>
      </c>
      <c r="D50" s="172" t="str">
        <f>'Calendário atual'!C17</f>
        <v>Espanha</v>
      </c>
      <c r="E50" s="164" t="str">
        <f>'Calendário atual'!D17</f>
        <v>FORMULA 1 TAG HEUER GRAN PREMIO DE ESPAÑA 2026</v>
      </c>
      <c r="F50" s="172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71"/>
      <c r="C51" s="170"/>
      <c r="D51" s="172"/>
      <c r="E51" s="165"/>
      <c r="F51" s="172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71"/>
      <c r="C52" s="170"/>
      <c r="D52" s="172"/>
      <c r="E52" s="166"/>
      <c r="F52" s="172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71">
        <v>17</v>
      </c>
      <c r="C53" s="170">
        <f>'Calendário atual'!B18</f>
        <v>46292</v>
      </c>
      <c r="D53" s="172" t="str">
        <f>'Calendário atual'!C18</f>
        <v>Azerbaijão</v>
      </c>
      <c r="E53" s="164" t="str">
        <f>'Calendário atual'!D18</f>
        <v>FORMULA 1 QATAR AIRWAYS AZERBAIJAN GRAND PRIX 2026</v>
      </c>
      <c r="F53" s="172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71"/>
      <c r="C54" s="170"/>
      <c r="D54" s="172"/>
      <c r="E54" s="165"/>
      <c r="F54" s="172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71"/>
      <c r="C55" s="170"/>
      <c r="D55" s="172"/>
      <c r="E55" s="166"/>
      <c r="F55" s="172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71">
        <v>18</v>
      </c>
      <c r="C56" s="170">
        <f>'Calendário atual'!B19</f>
        <v>46306</v>
      </c>
      <c r="D56" s="172" t="str">
        <f>'Calendário atual'!C19</f>
        <v>Singapura</v>
      </c>
      <c r="E56" s="164" t="str">
        <f>'Calendário atual'!D19</f>
        <v>FORMULA 1 SINGAPORE AIRLINES SINGAPORE GRAND PRIX 2026</v>
      </c>
      <c r="F56" s="172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71"/>
      <c r="C57" s="170"/>
      <c r="D57" s="172"/>
      <c r="E57" s="165"/>
      <c r="F57" s="172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71"/>
      <c r="C58" s="170"/>
      <c r="D58" s="172"/>
      <c r="E58" s="166"/>
      <c r="F58" s="172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71">
        <v>19</v>
      </c>
      <c r="C59" s="170">
        <f>'Calendário atual'!B20</f>
        <v>46320</v>
      </c>
      <c r="D59" s="172" t="str">
        <f>'Calendário atual'!C20</f>
        <v>USA</v>
      </c>
      <c r="E59" s="164" t="str">
        <f>'Calendário atual'!D20</f>
        <v>FORMULA 1 MSC CRUISES UNITED STATES GRAND PRIX 2026</v>
      </c>
      <c r="F59" s="172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71"/>
      <c r="C60" s="170"/>
      <c r="D60" s="172"/>
      <c r="E60" s="165"/>
      <c r="F60" s="172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71"/>
      <c r="C61" s="170"/>
      <c r="D61" s="172"/>
      <c r="E61" s="166"/>
      <c r="F61" s="172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71">
        <v>20</v>
      </c>
      <c r="C62" s="170">
        <f>'Calendário atual'!B21</f>
        <v>46327</v>
      </c>
      <c r="D62" s="172" t="str">
        <f>'Calendário atual'!C21</f>
        <v>México</v>
      </c>
      <c r="E62" s="164" t="str">
        <f>'Calendário atual'!D21</f>
        <v>FORMULA 1 GRAN PREMIO DE LA CIUDAD DE MÉXICO 2026</v>
      </c>
      <c r="F62" s="172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71"/>
      <c r="C63" s="170"/>
      <c r="D63" s="172"/>
      <c r="E63" s="165"/>
      <c r="F63" s="172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71"/>
      <c r="C64" s="170"/>
      <c r="D64" s="172"/>
      <c r="E64" s="166"/>
      <c r="F64" s="172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71">
        <v>21</v>
      </c>
      <c r="C65" s="170">
        <f>'Calendário atual'!B22</f>
        <v>46334</v>
      </c>
      <c r="D65" s="172" t="str">
        <f>'Calendário atual'!C22</f>
        <v>Brasil</v>
      </c>
      <c r="E65" s="164" t="str">
        <f>'Calendário atual'!D22</f>
        <v>FORMULA 1 MSC CRUISES GRANDE PRÊMIO DE SÃO PAULO 2026</v>
      </c>
      <c r="F65" s="172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71"/>
      <c r="C66" s="170"/>
      <c r="D66" s="172"/>
      <c r="E66" s="165"/>
      <c r="F66" s="172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71"/>
      <c r="C67" s="170"/>
      <c r="D67" s="172"/>
      <c r="E67" s="166"/>
      <c r="F67" s="172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71">
        <v>22</v>
      </c>
      <c r="C68" s="170">
        <f>'Calendário atual'!B23</f>
        <v>46347</v>
      </c>
      <c r="D68" s="172" t="str">
        <f>'Calendário atual'!C23</f>
        <v>USA</v>
      </c>
      <c r="E68" s="164" t="str">
        <f>'Calendário atual'!D23</f>
        <v>FORMULA 1 HEINEKEN LAS VEGAS GRAND PRIX 2026</v>
      </c>
      <c r="F68" s="172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71"/>
      <c r="C69" s="170"/>
      <c r="D69" s="172"/>
      <c r="E69" s="165"/>
      <c r="F69" s="172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71"/>
      <c r="C70" s="170"/>
      <c r="D70" s="172"/>
      <c r="E70" s="166"/>
      <c r="F70" s="172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71">
        <v>23</v>
      </c>
      <c r="C71" s="170">
        <f>'Calendário atual'!B24</f>
        <v>46355</v>
      </c>
      <c r="D71" s="172" t="str">
        <f>'Calendário atual'!C24</f>
        <v>Qatar</v>
      </c>
      <c r="E71" s="164" t="str">
        <f>'Calendário atual'!D24</f>
        <v>FORMULA 1 QATAR AIRWAYS QATAR GRAND PRIX 2026</v>
      </c>
      <c r="F71" s="172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71"/>
      <c r="C72" s="170"/>
      <c r="D72" s="172"/>
      <c r="E72" s="165"/>
      <c r="F72" s="172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71"/>
      <c r="C73" s="170"/>
      <c r="D73" s="172"/>
      <c r="E73" s="166"/>
      <c r="F73" s="172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71">
        <v>24</v>
      </c>
      <c r="C74" s="170">
        <f>'Calendário atual'!B25</f>
        <v>46362</v>
      </c>
      <c r="D74" s="172" t="str">
        <f>'Calendário atual'!C25</f>
        <v>Abu Dhabi</v>
      </c>
      <c r="E74" s="164" t="str">
        <f>'Calendário atual'!D25</f>
        <v>FORMULA 1 ETIHAD AIRWAYS ABU DHABI GRAND PRIX 2026</v>
      </c>
      <c r="F74" s="172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71"/>
      <c r="C75" s="170"/>
      <c r="D75" s="172"/>
      <c r="E75" s="165"/>
      <c r="F75" s="172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71"/>
      <c r="C76" s="170"/>
      <c r="D76" s="172"/>
      <c r="E76" s="166"/>
      <c r="F76" s="172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466" workbookViewId="0">
      <selection activeCell="C469" sqref="C469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5" t="str">
        <f>VLOOKUP($A2,'Calendário atual'!$A$2:$E$30,4,FALSE)</f>
        <v>FORMULA 1 QATAR AIRWAYS AUSTRALIAN GRAND PRIX 2026</v>
      </c>
      <c r="D2" s="175"/>
      <c r="E2" s="175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7" t="s">
        <v>229</v>
      </c>
      <c r="N2" s="177"/>
      <c r="O2" s="177"/>
      <c r="P2" s="177" t="s">
        <v>230</v>
      </c>
      <c r="Q2" s="177"/>
      <c r="R2" s="177"/>
      <c r="S2" s="176" t="s">
        <v>263</v>
      </c>
      <c r="T2" s="176"/>
      <c r="U2" s="176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354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408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 t="str">
        <f>C384</f>
        <v>Charles Leclerc</v>
      </c>
      <c r="N13" s="77" t="str">
        <f>E384</f>
        <v>Ferrari</v>
      </c>
      <c r="O13" s="77">
        <v>1</v>
      </c>
      <c r="P13" s="77" t="str">
        <f>C408</f>
        <v>Kimi Antonelli</v>
      </c>
      <c r="Q13" s="77" t="str">
        <f>E408</f>
        <v>Mercedes</v>
      </c>
      <c r="R13" s="77">
        <v>1</v>
      </c>
      <c r="S13" s="77" t="str">
        <f>C409</f>
        <v>Kimi Antonelli</v>
      </c>
      <c r="T13" s="77" t="str">
        <f>E409</f>
        <v>Mercedes</v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 t="str">
        <f>C412</f>
        <v>Kimi Antonelli</v>
      </c>
      <c r="N14" s="77" t="str">
        <f>E412</f>
        <v>Mercedes</v>
      </c>
      <c r="O14" s="77">
        <v>1</v>
      </c>
      <c r="P14" s="77" t="str">
        <f>C436</f>
        <v>Kimi Antonelli</v>
      </c>
      <c r="Q14" s="77" t="str">
        <f>E436</f>
        <v>Mercedes</v>
      </c>
      <c r="R14" s="77">
        <v>1</v>
      </c>
      <c r="S14" s="77" t="str">
        <f>C437</f>
        <v>Lando Norris</v>
      </c>
      <c r="T14" s="77" t="str">
        <f>E437</f>
        <v>McLaren</v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 t="str">
        <f>C440</f>
        <v>Lando Norris</v>
      </c>
      <c r="N15" s="77" t="str">
        <f>E440</f>
        <v>McLaren</v>
      </c>
      <c r="O15" s="77">
        <v>1</v>
      </c>
      <c r="P15" s="77" t="str">
        <f>C464</f>
        <v>Lando Norris</v>
      </c>
      <c r="Q15" s="77" t="str">
        <f>E464</f>
        <v>McLaren</v>
      </c>
      <c r="R15" s="77">
        <v>1</v>
      </c>
      <c r="S15" s="77" t="str">
        <f>C465</f>
        <v>Charles Leclerc</v>
      </c>
      <c r="T15" s="77" t="str">
        <f>E465</f>
        <v>Ferrari</v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409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413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397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428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428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398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428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407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428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429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429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354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5" t="str">
        <f>VLOOKUP($A30,'Calendário atual'!$A$2:$E$30,4,FALSE)</f>
        <v>FORMULA 1 HEINEKEN CHINESE GRAND PRIX 2026</v>
      </c>
      <c r="D30" s="175"/>
      <c r="E30" s="175"/>
      <c r="F30" s="133" t="str">
        <f>VLOOKUP($A30,'Calendário atual'!$A$2:$E$30,3,FALSE)</f>
        <v>China</v>
      </c>
      <c r="G30" s="75"/>
      <c r="H30" s="75"/>
      <c r="I30" s="75"/>
      <c r="K30" s="81">
        <f>SUM(H:H)</f>
        <v>589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355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354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341</v>
      </c>
      <c r="L35" s="77">
        <f>SUM(H:H)</f>
        <v>589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409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413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407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397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428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398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428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408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428</v>
      </c>
      <c r="G54" s="75"/>
      <c r="H54" s="75"/>
      <c r="I54" s="75"/>
      <c r="K54" s="74"/>
    </row>
    <row r="55" spans="2:24" x14ac:dyDescent="0.2">
      <c r="B55" s="147"/>
      <c r="C55" s="93" t="s">
        <v>356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354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409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407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413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408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398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397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428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428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428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429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429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429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429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5" t="str">
        <f>VLOOKUP(A83,'Calendário atual'!$A$2:$E$30,4,FALSE)</f>
        <v>FORMULA 1 ARAMCO JAPANESE GRAND PRIX 2026</v>
      </c>
      <c r="D83" s="175"/>
      <c r="E83" s="175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354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409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407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408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413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397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398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428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428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5" t="str">
        <f>VLOOKUP($A111,'Calendário atual'!$A$2:$E$30,4,FALSE)</f>
        <v>SUSPENSA - FORMULA 1 GULF AIR BAHRAIN GRAND PRIX 2026 - SUSPENSA</v>
      </c>
      <c r="D111" s="175"/>
      <c r="E111" s="175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5" t="str">
        <f>VLOOKUP(A139,'Calendário atual'!$A$2:$E$30,4,FALSE)</f>
        <v>SUSPENSA - FORMULA 1 STC SAUDI ARABIAN GRAND PRIX 2026 - SUSPENSA</v>
      </c>
      <c r="D139" s="175"/>
      <c r="E139" s="175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5" t="str">
        <f>VLOOKUP($A167,'Calendário atual'!$A$2:$E$30,4,FALSE)</f>
        <v>FORMULA 1 CRYPTO.COM MIAMI GRAND PRIX 2026</v>
      </c>
      <c r="D167" s="175"/>
      <c r="E167" s="175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355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354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407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413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409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397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398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429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408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429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432</v>
      </c>
      <c r="G191" s="75"/>
      <c r="H191" s="75"/>
      <c r="I191" s="75"/>
      <c r="K191" s="74"/>
    </row>
    <row r="192" spans="1:26" x14ac:dyDescent="0.2">
      <c r="B192" s="147"/>
      <c r="C192" s="93" t="s">
        <v>356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354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413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408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397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398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428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409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428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428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407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428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5" t="str">
        <f>VLOOKUP($A220,'Calendário atual'!$A$2:$E$30,4,FALSE)</f>
        <v>FORMULA 1 LENOVO GRAND PRIX DU CANADA 2026</v>
      </c>
      <c r="D220" s="175"/>
      <c r="E220" s="175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355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354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408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413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409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397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398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407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428</v>
      </c>
      <c r="G244" s="75"/>
      <c r="H244" s="75"/>
      <c r="I244" s="75"/>
      <c r="K244" s="74"/>
    </row>
    <row r="245" spans="1:26" x14ac:dyDescent="0.2">
      <c r="B245" s="147"/>
      <c r="C245" s="93" t="s">
        <v>356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407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413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409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398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397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428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428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354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428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428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428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408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429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354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5" t="str">
        <f>VLOOKUP($A273,'Calendário atual'!$A$2:$E$30,4,FALSE)</f>
        <v>FORMULA 1 LOUIS VUITTON GRAND PRIX DE MONACO 2026</v>
      </c>
      <c r="D273" s="175"/>
      <c r="E273" s="175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307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Alpine</v>
      </c>
      <c r="F277" s="137">
        <v>15</v>
      </c>
    </row>
    <row r="278" spans="1:26" x14ac:dyDescent="0.2">
      <c r="B278" s="138">
        <f>$J$5</f>
        <v>4</v>
      </c>
      <c r="C278" s="86" t="s">
        <v>407</v>
      </c>
      <c r="D278" s="87" t="str">
        <f>IF(C278&lt;&gt;"",VLOOKUP(C278,'Dummy Table'!$B$3:$C$30,2,FALSE),"")</f>
        <v>França</v>
      </c>
      <c r="E278" s="87" t="str">
        <f>IF(C278&lt;&gt;"",VLOOKUP(C278,'Dummy Table'!$B$3:$D$30,3,FALSE),"")</f>
        <v>Red Bull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324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McLaren</v>
      </c>
      <c r="F279" s="137">
        <v>10</v>
      </c>
    </row>
    <row r="280" spans="1:26" x14ac:dyDescent="0.2">
      <c r="B280" s="138">
        <f>$J$7</f>
        <v>6</v>
      </c>
      <c r="C280" s="86" t="s">
        <v>409</v>
      </c>
      <c r="D280" s="87" t="str">
        <f>IF(C280&lt;&gt;"",VLOOKUP(C280,'Dummy Table'!$B$3:$C$30,2,FALSE),"")</f>
        <v>Austrália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408</v>
      </c>
      <c r="D281" s="87" t="str">
        <f>IF(C281&lt;&gt;"",VLOOKUP(C281,'Dummy Table'!$B$3:$C$30,2,FALSE),"")</f>
        <v>Inglaterra</v>
      </c>
      <c r="E281" s="87" t="str">
        <f>IF(C281&lt;&gt;"",VLOOKUP(C281,'Dummy Table'!$B$3:$D$30,3,FALSE),"")</f>
        <v>Racing Bulls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354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413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397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428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428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428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428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428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398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428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428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5" t="str">
        <f>VLOOKUP($A301,'Calendário atual'!$A$2:$E$30,4,FALSE)</f>
        <v>FORMULA 1 MSC CRUISES GRAN PREMIO DE BARCELONA-CATALUNYA 2026</v>
      </c>
      <c r="D301" s="175"/>
      <c r="E301" s="175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354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311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300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324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407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307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409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408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413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330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329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314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397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308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428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325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428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326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428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310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428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428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428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398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428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306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428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354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5" t="str">
        <f>VLOOKUP($A329,'Calendário atual'!$A$2:$E$30,4,FALSE)</f>
        <v>FORMULA 1 LENOVO AUSTRIAN GRAND PRIX 2026</v>
      </c>
      <c r="D329" s="175"/>
      <c r="E329" s="175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354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300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325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324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407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311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308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409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408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330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307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326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413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314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310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306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428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329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428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397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428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398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428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354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325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5" t="str">
        <f>VLOOKUP($A357,'Calendário atual'!$A$2:$E$30,4,FALSE)</f>
        <v>FORMULA 1 PIRELLI BRITISH GRAND PRIX 2026</v>
      </c>
      <c r="D357" s="175"/>
      <c r="E357" s="175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355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 t="s">
        <v>325</v>
      </c>
      <c r="D360" s="87" t="str">
        <f>IF(C360&lt;&gt;"",VLOOKUP(C360,'Dummy Table'!$B$3:$C$30,2,FALSE),"")</f>
        <v>Itália</v>
      </c>
      <c r="E360" s="87" t="str">
        <f>IF(C360&lt;&gt;"",VLOOKUP(C360,'Dummy Table'!$B$3:$D$30,3,FALSE),"")</f>
        <v>Mercedes</v>
      </c>
      <c r="F360" s="137">
        <v>8</v>
      </c>
      <c r="G360" s="69">
        <f>IF(C360="",F360,0)</f>
        <v>0</v>
      </c>
      <c r="H360" s="69">
        <f>IF(C360="",F360,0)</f>
        <v>0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 t="s">
        <v>1</v>
      </c>
      <c r="D361" s="87" t="str">
        <f>IF(C361&lt;&gt;"",VLOOKUP(C361,'Dummy Table'!$B$3:$C$30,2,FALSE),"")</f>
        <v>Inglaterra</v>
      </c>
      <c r="E361" s="87" t="str">
        <f>IF(C361&lt;&gt;"",VLOOKUP(C361,'Dummy Table'!$B$3:$D$30,3,FALSE),"")</f>
        <v>Ferrari</v>
      </c>
      <c r="F361" s="137">
        <v>7</v>
      </c>
      <c r="H361" s="69">
        <f>IF(C361="",F361,0)</f>
        <v>0</v>
      </c>
      <c r="K361" s="74"/>
    </row>
    <row r="362" spans="1:26" x14ac:dyDescent="0.2">
      <c r="B362" s="138">
        <f>$J$4</f>
        <v>3</v>
      </c>
      <c r="C362" s="86" t="s">
        <v>311</v>
      </c>
      <c r="D362" s="87" t="str">
        <f>IF(C362&lt;&gt;"",VLOOKUP(C362,'Dummy Table'!$B$3:$C$30,2,FALSE),"")</f>
        <v>Inglaterra</v>
      </c>
      <c r="E362" s="87" t="str">
        <f>IF(C362&lt;&gt;"",VLOOKUP(C362,'Dummy Table'!$B$3:$D$30,3,FALSE),"")</f>
        <v>McLaren</v>
      </c>
      <c r="F362" s="137">
        <v>6</v>
      </c>
    </row>
    <row r="363" spans="1:26" x14ac:dyDescent="0.2">
      <c r="B363" s="138">
        <f>$J$5</f>
        <v>4</v>
      </c>
      <c r="C363" s="86" t="s">
        <v>354</v>
      </c>
      <c r="D363" s="87" t="str">
        <f>IF(C363&lt;&gt;"",VLOOKUP(C363,'Dummy Table'!$B$3:$C$30,2,FALSE),"")</f>
        <v>Inglaterra</v>
      </c>
      <c r="E363" s="87" t="str">
        <f>IF(C363&lt;&gt;"",VLOOKUP(C363,'Dummy Table'!$B$3:$D$30,3,FALSE),"")</f>
        <v>Mercedes</v>
      </c>
      <c r="F363" s="137">
        <v>5</v>
      </c>
      <c r="K363" s="79"/>
    </row>
    <row r="364" spans="1:26" x14ac:dyDescent="0.2">
      <c r="B364" s="138">
        <f>$J$6</f>
        <v>5</v>
      </c>
      <c r="C364" s="86" t="s">
        <v>308</v>
      </c>
      <c r="D364" s="87" t="str">
        <f>IF(C364&lt;&gt;"",VLOOKUP(C364,'Dummy Table'!$B$3:$C$30,2,FALSE),"")</f>
        <v>Mônaco</v>
      </c>
      <c r="E364" s="87" t="str">
        <f>IF(C364&lt;&gt;"",VLOOKUP(C364,'Dummy Table'!$B$3:$D$30,3,FALSE),"")</f>
        <v>Ferrari</v>
      </c>
      <c r="F364" s="137">
        <v>4</v>
      </c>
    </row>
    <row r="365" spans="1:26" x14ac:dyDescent="0.2">
      <c r="B365" s="138">
        <f>$J$7</f>
        <v>6</v>
      </c>
      <c r="C365" s="86" t="s">
        <v>300</v>
      </c>
      <c r="D365" s="87" t="str">
        <f>IF(C365&lt;&gt;"",VLOOKUP(C365,'Dummy Table'!$B$3:$C$30,2,FALSE),"")</f>
        <v>Holanda</v>
      </c>
      <c r="E365" s="87" t="str">
        <f>IF(C365&lt;&gt;"",VLOOKUP(C365,'Dummy Table'!$B$3:$D$30,3,FALSE),"")</f>
        <v>Red Bull</v>
      </c>
      <c r="F365" s="137">
        <v>3</v>
      </c>
      <c r="K365" s="74"/>
    </row>
    <row r="366" spans="1:26" x14ac:dyDescent="0.2">
      <c r="B366" s="138">
        <f>$J$8</f>
        <v>7</v>
      </c>
      <c r="C366" s="86" t="s">
        <v>324</v>
      </c>
      <c r="D366" s="87" t="str">
        <f>IF(C366&lt;&gt;"",VLOOKUP(C366,'Dummy Table'!$B$3:$C$30,2,FALSE),"")</f>
        <v>Austrália</v>
      </c>
      <c r="E366" s="87" t="str">
        <f>IF(C366&lt;&gt;"",VLOOKUP(C366,'Dummy Table'!$B$3:$D$30,3,FALSE),"")</f>
        <v>McLaren</v>
      </c>
      <c r="F366" s="137">
        <v>2</v>
      </c>
      <c r="K366" s="74"/>
    </row>
    <row r="367" spans="1:26" x14ac:dyDescent="0.2">
      <c r="B367" s="138">
        <f>$J$9</f>
        <v>8</v>
      </c>
      <c r="C367" s="86" t="s">
        <v>409</v>
      </c>
      <c r="D367" s="87" t="str">
        <f>IF(C367&lt;&gt;"",VLOOKUP(C367,'Dummy Table'!$B$3:$C$30,2,FALSE),"")</f>
        <v>Austrália</v>
      </c>
      <c r="E367" s="87" t="str">
        <f>IF(C367&lt;&gt;"",VLOOKUP(C367,'Dummy Table'!$B$3:$D$30,3,FALSE),"")</f>
        <v>Racing Bulls</v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 t="s">
        <v>407</v>
      </c>
      <c r="D368" s="87" t="str">
        <f>IF(C368&lt;&gt;"",VLOOKUP(C368,'Dummy Table'!$B$3:$C$30,2,FALSE),"")</f>
        <v>França</v>
      </c>
      <c r="E368" s="87" t="str">
        <f>IF(C368&lt;&gt;"",VLOOKUP(C368,'Dummy Table'!$B$3:$D$30,3,FALSE),"")</f>
        <v>Red Bull</v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 t="s">
        <v>408</v>
      </c>
      <c r="D369" s="87" t="str">
        <f>IF(C369&lt;&gt;"",VLOOKUP(C369,'Dummy Table'!$B$3:$C$30,2,FALSE),"")</f>
        <v>Inglaterra</v>
      </c>
      <c r="E369" s="87" t="str">
        <f>IF(C369&lt;&gt;"",VLOOKUP(C369,'Dummy Table'!$B$3:$D$30,3,FALSE),"")</f>
        <v>Racing Bulls</v>
      </c>
      <c r="F369" s="137"/>
      <c r="K369" s="74"/>
    </row>
    <row r="370" spans="2:24" x14ac:dyDescent="0.2">
      <c r="B370" s="138">
        <f>$J$12</f>
        <v>11</v>
      </c>
      <c r="C370" s="86" t="s">
        <v>307</v>
      </c>
      <c r="D370" s="87" t="str">
        <f>IF(C370&lt;&gt;"",VLOOKUP(C370,'Dummy Table'!$B$3:$C$30,2,FALSE),"")</f>
        <v>França</v>
      </c>
      <c r="E370" s="87" t="str">
        <f>IF(C370&lt;&gt;"",VLOOKUP(C370,'Dummy Table'!$B$3:$D$30,3,FALSE),"")</f>
        <v>Alpine</v>
      </c>
      <c r="F370" s="139"/>
      <c r="K370" s="74"/>
    </row>
    <row r="371" spans="2:24" x14ac:dyDescent="0.2">
      <c r="B371" s="138">
        <f>$J$13</f>
        <v>12</v>
      </c>
      <c r="C371" s="86" t="s">
        <v>413</v>
      </c>
      <c r="D371" s="87" t="str">
        <f>IF(C371&lt;&gt;"",VLOOKUP(C371,'Dummy Table'!$B$3:$C$30,2,FALSE),"")</f>
        <v>Argentina</v>
      </c>
      <c r="E371" s="87" t="str">
        <f>IF(C371&lt;&gt;"",VLOOKUP(C371,'Dummy Table'!$B$3:$D$30,3,FALSE),"")</f>
        <v>Alpine</v>
      </c>
      <c r="F371" s="139"/>
      <c r="K371" s="74"/>
    </row>
    <row r="372" spans="2:24" x14ac:dyDescent="0.2">
      <c r="B372" s="138">
        <f>$J$14</f>
        <v>13</v>
      </c>
      <c r="C372" s="86" t="s">
        <v>330</v>
      </c>
      <c r="D372" s="87" t="str">
        <f>IF(C372&lt;&gt;"",VLOOKUP(C372,'Dummy Table'!$B$3:$C$30,2,FALSE),"")</f>
        <v>Brasil</v>
      </c>
      <c r="E372" s="87" t="str">
        <f>IF(C372&lt;&gt;"",VLOOKUP(C372,'Dummy Table'!$B$3:$D$30,3,FALSE),"")</f>
        <v>Audi</v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 t="s">
        <v>326</v>
      </c>
      <c r="D373" s="87" t="str">
        <f>IF(C373&lt;&gt;"",VLOOKUP(C373,'Dummy Table'!$B$3:$C$30,2,FALSE),"")</f>
        <v>Inglaterra</v>
      </c>
      <c r="E373" s="87" t="str">
        <f>IF(C373&lt;&gt;"",VLOOKUP(C373,'Dummy Table'!$B$3:$D$30,3,FALSE),"")</f>
        <v>Haas</v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 t="s">
        <v>252</v>
      </c>
      <c r="D374" s="87" t="str">
        <f>IF(C374&lt;&gt;"",VLOOKUP(C374,'Dummy Table'!$B$3:$C$30,2,FALSE),"")</f>
        <v>Alemanha</v>
      </c>
      <c r="E374" s="87" t="str">
        <f>IF(C374&lt;&gt;"",VLOOKUP(C374,'Dummy Table'!$B$3:$D$30,3,FALSE),"")</f>
        <v>Audi</v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 t="s">
        <v>314</v>
      </c>
      <c r="D375" s="87" t="str">
        <f>IF(C375&lt;&gt;"",VLOOKUP(C375,'Dummy Table'!$B$3:$C$30,2,FALSE),"")</f>
        <v>França</v>
      </c>
      <c r="E375" s="87" t="str">
        <f>IF(C375&lt;&gt;"",VLOOKUP(C375,'Dummy Table'!$B$3:$D$30,3,FALSE),"")</f>
        <v>Haas</v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 t="s">
        <v>329</v>
      </c>
      <c r="D376" s="87" t="str">
        <f>IF(C376&lt;&gt;"",VLOOKUP(C376,'Dummy Table'!$B$3:$C$30,2,FALSE),"")</f>
        <v>Espanha</v>
      </c>
      <c r="E376" s="87" t="str">
        <f>IF(C376&lt;&gt;"",VLOOKUP(C376,'Dummy Table'!$B$3:$D$30,3,FALSE),"")</f>
        <v>Williams</v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 t="s">
        <v>310</v>
      </c>
      <c r="D377" s="87" t="str">
        <f>IF(C377&lt;&gt;"",VLOOKUP(C377,'Dummy Table'!$B$3:$C$30,2,FALSE),"")</f>
        <v>Tailandia</v>
      </c>
      <c r="E377" s="87" t="str">
        <f>IF(C377&lt;&gt;"",VLOOKUP(C377,'Dummy Table'!$B$3:$D$30,3,FALSE),"")</f>
        <v>Williams</v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 t="s">
        <v>398</v>
      </c>
      <c r="D378" s="87" t="str">
        <f>IF(C378&lt;&gt;"",VLOOKUP(C378,'Dummy Table'!$B$3:$C$30,2,FALSE),"")</f>
        <v>Finlândia</v>
      </c>
      <c r="E378" s="87" t="str">
        <f>IF(C378&lt;&gt;"",VLOOKUP(C378,'Dummy Table'!$B$3:$D$30,3,FALSE),"")</f>
        <v>Cadillac</v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 t="s">
        <v>30</v>
      </c>
      <c r="D379" s="87" t="str">
        <f>IF(C379&lt;&gt;"",VLOOKUP(C379,'Dummy Table'!$B$3:$C$30,2,FALSE),"")</f>
        <v>Espanha</v>
      </c>
      <c r="E379" s="87" t="str">
        <f>IF(C379&lt;&gt;"",VLOOKUP(C379,'Dummy Table'!$B$3:$D$30,3,FALSE),"")</f>
        <v>Aston Martin</v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 t="s">
        <v>306</v>
      </c>
      <c r="D380" s="87" t="str">
        <f>IF(C380&lt;&gt;"",VLOOKUP(C380,'Dummy Table'!$B$3:$C$30,2,FALSE),"")</f>
        <v>Canadá</v>
      </c>
      <c r="E380" s="87" t="str">
        <f>IF(C380&lt;&gt;"",VLOOKUP(C380,'Dummy Table'!$B$3:$D$30,3,FALSE),"")</f>
        <v>Aston Martin</v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 t="s">
        <v>397</v>
      </c>
      <c r="D381" s="87" t="str">
        <f>IF(C381&lt;&gt;"",VLOOKUP(C381,'Dummy Table'!$B$3:$C$30,2,FALSE),"")</f>
        <v>México</v>
      </c>
      <c r="E381" s="87" t="str">
        <f>IF(C381&lt;&gt;"",VLOOKUP(C381,'Dummy Table'!$B$3:$D$30,3,FALSE),"")</f>
        <v>Cadillac</v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356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 t="s">
        <v>308</v>
      </c>
      <c r="D384" s="87" t="str">
        <f>IF(C384&lt;&gt;"",VLOOKUP(C384,'Dummy Table'!$B$3:$C$30,2,FALSE),"")</f>
        <v>Mônaco</v>
      </c>
      <c r="E384" s="87" t="str">
        <f>IF(C384&lt;&gt;"",VLOOKUP(C384,'Dummy Table'!$B$3:$D$30,3,FALSE),"")</f>
        <v>Ferrari</v>
      </c>
      <c r="F384" s="137">
        <v>25</v>
      </c>
      <c r="G384" s="69">
        <f>IF(C384="",F384,0)</f>
        <v>0</v>
      </c>
      <c r="H384" s="69">
        <f>IF(C384="",F384,0)</f>
        <v>0</v>
      </c>
      <c r="I384" s="69">
        <f>IF(C384="",1,0)</f>
        <v>0</v>
      </c>
      <c r="K384" s="74"/>
    </row>
    <row r="385" spans="1:26" x14ac:dyDescent="0.2">
      <c r="B385" s="138">
        <f>$J$3</f>
        <v>2</v>
      </c>
      <c r="C385" s="86" t="s">
        <v>354</v>
      </c>
      <c r="D385" s="87" t="str">
        <f>IF(C385&lt;&gt;"",VLOOKUP(C385,'Dummy Table'!$B$3:$C$30,2,FALSE),"")</f>
        <v>Inglaterra</v>
      </c>
      <c r="E385" s="87" t="str">
        <f>IF(C385&lt;&gt;"",VLOOKUP(C385,'Dummy Table'!$B$3:$D$30,3,FALSE),"")</f>
        <v>Mercedes</v>
      </c>
      <c r="F385" s="137">
        <v>18</v>
      </c>
      <c r="H385" s="69">
        <f>IF(C385="",F385,0)</f>
        <v>0</v>
      </c>
      <c r="K385" s="74"/>
    </row>
    <row r="386" spans="1:26" x14ac:dyDescent="0.2">
      <c r="B386" s="138">
        <f>$J$4</f>
        <v>3</v>
      </c>
      <c r="C386" s="86" t="s">
        <v>1</v>
      </c>
      <c r="D386" s="87" t="str">
        <f>IF(C386&lt;&gt;"",VLOOKUP(C386,'Dummy Table'!$B$3:$C$30,2,FALSE),"")</f>
        <v>Inglaterra</v>
      </c>
      <c r="E386" s="87" t="str">
        <f>IF(C386&lt;&gt;"",VLOOKUP(C386,'Dummy Table'!$B$3:$D$30,3,FALSE),"")</f>
        <v>Ferrari</v>
      </c>
      <c r="F386" s="137">
        <v>15</v>
      </c>
    </row>
    <row r="387" spans="1:26" x14ac:dyDescent="0.2">
      <c r="B387" s="138">
        <f>$J$5</f>
        <v>4</v>
      </c>
      <c r="C387" s="86" t="s">
        <v>311</v>
      </c>
      <c r="D387" s="87" t="str">
        <f>IF(C387&lt;&gt;"",VLOOKUP(C387,'Dummy Table'!$B$3:$C$30,2,FALSE),"")</f>
        <v>Inglaterra</v>
      </c>
      <c r="E387" s="87" t="str">
        <f>IF(C387&lt;&gt;"",VLOOKUP(C387,'Dummy Table'!$B$3:$D$30,3,FALSE),"")</f>
        <v>McLaren</v>
      </c>
      <c r="F387" s="137">
        <v>12</v>
      </c>
      <c r="K387" s="79"/>
    </row>
    <row r="388" spans="1:26" x14ac:dyDescent="0.2">
      <c r="B388" s="138">
        <f>$J$6</f>
        <v>5</v>
      </c>
      <c r="C388" s="86" t="s">
        <v>407</v>
      </c>
      <c r="D388" s="87" t="str">
        <f>IF(C388&lt;&gt;"",VLOOKUP(C388,'Dummy Table'!$B$3:$C$30,2,FALSE),"")</f>
        <v>França</v>
      </c>
      <c r="E388" s="87" t="str">
        <f>IF(C388&lt;&gt;"",VLOOKUP(C388,'Dummy Table'!$B$3:$D$30,3,FALSE),"")</f>
        <v>Red Bull</v>
      </c>
      <c r="F388" s="137">
        <v>10</v>
      </c>
    </row>
    <row r="389" spans="1:26" x14ac:dyDescent="0.2">
      <c r="B389" s="138">
        <f>$J$7</f>
        <v>6</v>
      </c>
      <c r="C389" s="86" t="s">
        <v>409</v>
      </c>
      <c r="D389" s="87" t="str">
        <f>IF(C389&lt;&gt;"",VLOOKUP(C389,'Dummy Table'!$B$3:$C$30,2,FALSE),"")</f>
        <v>Austrália</v>
      </c>
      <c r="E389" s="87" t="str">
        <f>IF(C389&lt;&gt;"",VLOOKUP(C389,'Dummy Table'!$B$3:$D$30,3,FALSE),"")</f>
        <v>Racing Bulls</v>
      </c>
      <c r="F389" s="137">
        <v>8</v>
      </c>
      <c r="K389" s="74"/>
    </row>
    <row r="390" spans="1:26" x14ac:dyDescent="0.2">
      <c r="B390" s="138">
        <f>$J$8</f>
        <v>7</v>
      </c>
      <c r="C390" s="86" t="s">
        <v>408</v>
      </c>
      <c r="D390" s="87" t="str">
        <f>IF(C390&lt;&gt;"",VLOOKUP(C390,'Dummy Table'!$B$3:$C$30,2,FALSE),"")</f>
        <v>Inglaterra</v>
      </c>
      <c r="E390" s="87" t="str">
        <f>IF(C390&lt;&gt;"",VLOOKUP(C390,'Dummy Table'!$B$3:$D$30,3,FALSE),"")</f>
        <v>Racing Bulls</v>
      </c>
      <c r="F390" s="137">
        <v>6</v>
      </c>
      <c r="K390" s="74"/>
    </row>
    <row r="391" spans="1:26" x14ac:dyDescent="0.2">
      <c r="B391" s="138">
        <f>$J$9</f>
        <v>8</v>
      </c>
      <c r="C391" s="86" t="s">
        <v>330</v>
      </c>
      <c r="D391" s="87" t="str">
        <f>IF(C391&lt;&gt;"",VLOOKUP(C391,'Dummy Table'!$B$3:$C$30,2,FALSE),"")</f>
        <v>Brasil</v>
      </c>
      <c r="E391" s="87" t="str">
        <f>IF(C391&lt;&gt;"",VLOOKUP(C391,'Dummy Table'!$B$3:$D$30,3,FALSE),"")</f>
        <v>Audi</v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 t="s">
        <v>413</v>
      </c>
      <c r="D392" s="87" t="str">
        <f>IF(C392&lt;&gt;"",VLOOKUP(C392,'Dummy Table'!$B$3:$C$30,2,FALSE),"")</f>
        <v>Argentina</v>
      </c>
      <c r="E392" s="87" t="str">
        <f>IF(C392&lt;&gt;"",VLOOKUP(C392,'Dummy Table'!$B$3:$D$30,3,FALSE),"")</f>
        <v>Alpine</v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 t="s">
        <v>307</v>
      </c>
      <c r="D393" s="87" t="str">
        <f>IF(C393&lt;&gt;"",VLOOKUP(C393,'Dummy Table'!$B$3:$C$30,2,FALSE),"")</f>
        <v>França</v>
      </c>
      <c r="E393" s="87" t="str">
        <f>IF(C393&lt;&gt;"",VLOOKUP(C393,'Dummy Table'!$B$3:$D$30,3,FALSE),"")</f>
        <v>Alpine</v>
      </c>
      <c r="F393" s="137">
        <v>1</v>
      </c>
      <c r="K393" s="74"/>
    </row>
    <row r="394" spans="1:26" x14ac:dyDescent="0.2">
      <c r="B394" s="138">
        <f>$J$12</f>
        <v>11</v>
      </c>
      <c r="C394" s="86" t="s">
        <v>324</v>
      </c>
      <c r="D394" s="87" t="str">
        <f>IF(C394&lt;&gt;"",VLOOKUP(C394,'Dummy Table'!$B$3:$C$30,2,FALSE),"")</f>
        <v>Austrália</v>
      </c>
      <c r="E394" s="87" t="str">
        <f>IF(C394&lt;&gt;"",VLOOKUP(C394,'Dummy Table'!$B$3:$D$30,3,FALSE),"")</f>
        <v>McLaren</v>
      </c>
      <c r="F394" s="139"/>
      <c r="K394" s="74"/>
    </row>
    <row r="395" spans="1:26" x14ac:dyDescent="0.2">
      <c r="B395" s="138">
        <f>$J$13</f>
        <v>12</v>
      </c>
      <c r="C395" s="86" t="s">
        <v>326</v>
      </c>
      <c r="D395" s="87" t="str">
        <f>IF(C395&lt;&gt;"",VLOOKUP(C395,'Dummy Table'!$B$3:$C$30,2,FALSE),"")</f>
        <v>Inglaterra</v>
      </c>
      <c r="E395" s="87" t="str">
        <f>IF(C395&lt;&gt;"",VLOOKUP(C395,'Dummy Table'!$B$3:$D$30,3,FALSE),"")</f>
        <v>Haas</v>
      </c>
      <c r="F395" s="139"/>
      <c r="K395" s="74"/>
    </row>
    <row r="396" spans="1:26" x14ac:dyDescent="0.2">
      <c r="B396" s="138">
        <f>$J$14</f>
        <v>13</v>
      </c>
      <c r="C396" s="86" t="s">
        <v>314</v>
      </c>
      <c r="D396" s="87" t="str">
        <f>IF(C396&lt;&gt;"",VLOOKUP(C396,'Dummy Table'!$B$3:$C$30,2,FALSE),"")</f>
        <v>França</v>
      </c>
      <c r="E396" s="87" t="str">
        <f>IF(C396&lt;&gt;"",VLOOKUP(C396,'Dummy Table'!$B$3:$D$30,3,FALSE),"")</f>
        <v>Haas</v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 t="s">
        <v>397</v>
      </c>
      <c r="D397" s="87" t="str">
        <f>IF(C397&lt;&gt;"",VLOOKUP(C397,'Dummy Table'!$B$3:$C$30,2,FALSE),"")</f>
        <v>México</v>
      </c>
      <c r="E397" s="87" t="str">
        <f>IF(C397&lt;&gt;"",VLOOKUP(C397,'Dummy Table'!$B$3:$D$30,3,FALSE),"")</f>
        <v>Cadillac</v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 t="s">
        <v>325</v>
      </c>
      <c r="D398" s="87" t="str">
        <f>IF(C398&lt;&gt;"",VLOOKUP(C398,'Dummy Table'!$B$3:$C$30,2,FALSE),"")</f>
        <v>Itália</v>
      </c>
      <c r="E398" s="87" t="str">
        <f>IF(C398&lt;&gt;"",VLOOKUP(C398,'Dummy Table'!$B$3:$D$30,3,FALSE),"")</f>
        <v>Mercedes</v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 t="s">
        <v>398</v>
      </c>
      <c r="D399" s="87" t="str">
        <f>IF(C399&lt;&gt;"",VLOOKUP(C399,'Dummy Table'!$B$3:$C$30,2,FALSE),"")</f>
        <v>Finlândia</v>
      </c>
      <c r="E399" s="87" t="str">
        <f>IF(C399&lt;&gt;"",VLOOKUP(C399,'Dummy Table'!$B$3:$D$30,3,FALSE),"")</f>
        <v>Cadillac</v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 t="s">
        <v>329</v>
      </c>
      <c r="D400" s="87" t="str">
        <f>IF(C400&lt;&gt;"",VLOOKUP(C400,'Dummy Table'!$B$3:$C$30,2,FALSE),"")</f>
        <v>Espanha</v>
      </c>
      <c r="E400" s="87" t="str">
        <f>IF(C400&lt;&gt;"",VLOOKUP(C400,'Dummy Table'!$B$3:$D$30,3,FALSE),"")</f>
        <v>Williams</v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 t="s">
        <v>30</v>
      </c>
      <c r="D401" s="87" t="str">
        <f>IF(C401&lt;&gt;"",VLOOKUP(C401,'Dummy Table'!$B$3:$C$30,2,FALSE),"")</f>
        <v>Espanha</v>
      </c>
      <c r="E401" s="87" t="str">
        <f>IF(C401&lt;&gt;"",VLOOKUP(C401,'Dummy Table'!$B$3:$D$30,3,FALSE),"")</f>
        <v>Aston Martin</v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 t="s">
        <v>306</v>
      </c>
      <c r="D402" s="87" t="str">
        <f>IF(C402&lt;&gt;"",VLOOKUP(C402,'Dummy Table'!$B$3:$C$30,2,FALSE),"")</f>
        <v>Canadá</v>
      </c>
      <c r="E402" s="87" t="str">
        <f>IF(C402&lt;&gt;"",VLOOKUP(C402,'Dummy Table'!$B$3:$D$30,3,FALSE),"")</f>
        <v>Aston Martin</v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 t="s">
        <v>300</v>
      </c>
      <c r="D403" s="87" t="str">
        <f>IF(C403&lt;&gt;"",VLOOKUP(C403,'Dummy Table'!$B$3:$C$30,2,FALSE),"")</f>
        <v>Holanda</v>
      </c>
      <c r="E403" s="87" t="str">
        <f>IF(C403&lt;&gt;"",VLOOKUP(C403,'Dummy Table'!$B$3:$D$30,3,FALSE),"")</f>
        <v>Red Bull</v>
      </c>
      <c r="F403" s="139" t="s">
        <v>428</v>
      </c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 t="s">
        <v>310</v>
      </c>
      <c r="D404" s="87" t="str">
        <f>IF(C404&lt;&gt;"",VLOOKUP(C404,'Dummy Table'!$B$3:$C$30,2,FALSE),"")</f>
        <v>Tailandia</v>
      </c>
      <c r="E404" s="87" t="str">
        <f>IF(C404&lt;&gt;"",VLOOKUP(C404,'Dummy Table'!$B$3:$D$30,3,FALSE),"")</f>
        <v>Williams</v>
      </c>
      <c r="F404" s="139" t="s">
        <v>428</v>
      </c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 t="s">
        <v>252</v>
      </c>
      <c r="D405" s="87" t="str">
        <f>IF(C405&lt;&gt;"",VLOOKUP(C405,'Dummy Table'!$B$3:$C$30,2,FALSE),"")</f>
        <v>Alemanha</v>
      </c>
      <c r="E405" s="87" t="str">
        <f>IF(C405&lt;&gt;"",VLOOKUP(C405,'Dummy Table'!$B$3:$D$30,3,FALSE),"")</f>
        <v>Audi</v>
      </c>
      <c r="F405" s="139" t="s">
        <v>428</v>
      </c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 t="s">
        <v>325</v>
      </c>
      <c r="D408" s="89" t="str">
        <f>IF(C408&lt;&gt;"",VLOOKUP(C408,'Dummy Table'!$B$3:$C$30,2,FALSE),"")</f>
        <v>Itália</v>
      </c>
      <c r="E408" s="89" t="str">
        <f>IF(C408&lt;&gt;"",VLOOKUP(C408,'Dummy Table'!$B$3:$D$30,3,FALSE),"")</f>
        <v>Mercedes</v>
      </c>
      <c r="F408" s="142"/>
      <c r="H408" s="75"/>
      <c r="K408" s="74"/>
    </row>
    <row r="409" spans="1:26" ht="13.5" thickBot="1" x14ac:dyDescent="0.25">
      <c r="B409" s="143" t="s">
        <v>234</v>
      </c>
      <c r="C409" s="144" t="s">
        <v>325</v>
      </c>
      <c r="D409" s="145" t="str">
        <f>IF(C409&lt;&gt;"",VLOOKUP(C409,'Dummy Table'!$B$3:$C$30,2,FALSE),"")</f>
        <v>Itália</v>
      </c>
      <c r="E409" s="145" t="str">
        <f>IF(C409&lt;&gt;"",VLOOKUP(C409,'Dummy Table'!$B$3:$D$30,3,FALSE),"")</f>
        <v>Mercedes</v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5" t="str">
        <f>VLOOKUP($A410,'Calendário atual'!$A$2:$E$30,4,FALSE)</f>
        <v>FORMULA 1 MOËT &amp; CHANDON BELGIAN GRAND PRIX 2026</v>
      </c>
      <c r="D410" s="175"/>
      <c r="E410" s="175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 t="s">
        <v>325</v>
      </c>
      <c r="D412" s="87" t="str">
        <f>IF(C412&lt;&gt;"",VLOOKUP(C412,'Dummy Table'!$B$3:$C$30,2,FALSE),"")</f>
        <v>Itália</v>
      </c>
      <c r="E412" s="87" t="str">
        <f>IF(C412&lt;&gt;"",VLOOKUP(C412,'Dummy Table'!$B$3:$D$30,3,FALSE),"")</f>
        <v>Mercedes</v>
      </c>
      <c r="F412" s="137">
        <v>25</v>
      </c>
      <c r="G412" s="69">
        <f>IF(C412="",F412,0)</f>
        <v>0</v>
      </c>
      <c r="H412" s="69">
        <f>IF(C412="",F412,0)</f>
        <v>0</v>
      </c>
      <c r="I412" s="69">
        <f>IF(C412="",1,0)</f>
        <v>0</v>
      </c>
      <c r="K412" s="74"/>
    </row>
    <row r="413" spans="1:26" x14ac:dyDescent="0.2">
      <c r="B413" s="138">
        <f>$J$3</f>
        <v>2</v>
      </c>
      <c r="C413" s="86" t="s">
        <v>308</v>
      </c>
      <c r="D413" s="87" t="str">
        <f>IF(C413&lt;&gt;"",VLOOKUP(C413,'Dummy Table'!$B$3:$C$30,2,FALSE),"")</f>
        <v>Mônaco</v>
      </c>
      <c r="E413" s="87" t="str">
        <f>IF(C413&lt;&gt;"",VLOOKUP(C413,'Dummy Table'!$B$3:$D$30,3,FALSE),"")</f>
        <v>Ferrari</v>
      </c>
      <c r="F413" s="137">
        <v>18</v>
      </c>
      <c r="H413" s="69">
        <f>IF(C413="",F413,0)</f>
        <v>0</v>
      </c>
      <c r="K413" s="74"/>
    </row>
    <row r="414" spans="1:26" x14ac:dyDescent="0.2">
      <c r="B414" s="138">
        <f>$J$4</f>
        <v>3</v>
      </c>
      <c r="C414" s="86" t="s">
        <v>300</v>
      </c>
      <c r="D414" s="87" t="str">
        <f>IF(C414&lt;&gt;"",VLOOKUP(C414,'Dummy Table'!$B$3:$C$30,2,FALSE),"")</f>
        <v>Holanda</v>
      </c>
      <c r="E414" s="87" t="str">
        <f>IF(C414&lt;&gt;"",VLOOKUP(C414,'Dummy Table'!$B$3:$D$30,3,FALSE),"")</f>
        <v>Red Bull</v>
      </c>
      <c r="F414" s="137">
        <v>15</v>
      </c>
    </row>
    <row r="415" spans="1:26" x14ac:dyDescent="0.2">
      <c r="B415" s="138">
        <f>$J$5</f>
        <v>4</v>
      </c>
      <c r="C415" s="86" t="s">
        <v>1</v>
      </c>
      <c r="D415" s="87" t="str">
        <f>IF(C415&lt;&gt;"",VLOOKUP(C415,'Dummy Table'!$B$3:$C$30,2,FALSE),"")</f>
        <v>Inglaterra</v>
      </c>
      <c r="E415" s="87" t="str">
        <f>IF(C415&lt;&gt;"",VLOOKUP(C415,'Dummy Table'!$B$3:$D$30,3,FALSE),"")</f>
        <v>Ferrari</v>
      </c>
      <c r="F415" s="137">
        <v>12</v>
      </c>
      <c r="K415" s="79"/>
    </row>
    <row r="416" spans="1:26" x14ac:dyDescent="0.2">
      <c r="B416" s="138">
        <f>$J$6</f>
        <v>5</v>
      </c>
      <c r="C416" s="86" t="s">
        <v>324</v>
      </c>
      <c r="D416" s="87" t="str">
        <f>IF(C416&lt;&gt;"",VLOOKUP(C416,'Dummy Table'!$B$3:$C$30,2,FALSE),"")</f>
        <v>Austrália</v>
      </c>
      <c r="E416" s="87" t="str">
        <f>IF(C416&lt;&gt;"",VLOOKUP(C416,'Dummy Table'!$B$3:$D$30,3,FALSE),"")</f>
        <v>McLaren</v>
      </c>
      <c r="F416" s="137">
        <v>10</v>
      </c>
    </row>
    <row r="417" spans="1:26" x14ac:dyDescent="0.2">
      <c r="B417" s="138">
        <f>$J$7</f>
        <v>6</v>
      </c>
      <c r="C417" s="86" t="s">
        <v>407</v>
      </c>
      <c r="D417" s="87" t="str">
        <f>IF(C417&lt;&gt;"",VLOOKUP(C417,'Dummy Table'!$B$3:$C$30,2,FALSE),"")</f>
        <v>França</v>
      </c>
      <c r="E417" s="87" t="str">
        <f>IF(C417&lt;&gt;"",VLOOKUP(C417,'Dummy Table'!$B$3:$D$30,3,FALSE),"")</f>
        <v>Red Bull</v>
      </c>
      <c r="F417" s="137">
        <v>8</v>
      </c>
      <c r="K417" s="74"/>
    </row>
    <row r="418" spans="1:26" x14ac:dyDescent="0.2">
      <c r="B418" s="138">
        <f>$J$8</f>
        <v>7</v>
      </c>
      <c r="C418" s="86" t="s">
        <v>311</v>
      </c>
      <c r="D418" s="87" t="str">
        <f>IF(C418&lt;&gt;"",VLOOKUP(C418,'Dummy Table'!$B$3:$C$30,2,FALSE),"")</f>
        <v>Inglaterra</v>
      </c>
      <c r="E418" s="87" t="str">
        <f>IF(C418&lt;&gt;"",VLOOKUP(C418,'Dummy Table'!$B$3:$D$30,3,FALSE),"")</f>
        <v>McLaren</v>
      </c>
      <c r="F418" s="137">
        <v>6</v>
      </c>
      <c r="K418" s="74"/>
    </row>
    <row r="419" spans="1:26" x14ac:dyDescent="0.2">
      <c r="B419" s="138">
        <f>$J$9</f>
        <v>8</v>
      </c>
      <c r="C419" s="86" t="s">
        <v>330</v>
      </c>
      <c r="D419" s="87" t="str">
        <f>IF(C419&lt;&gt;"",VLOOKUP(C419,'Dummy Table'!$B$3:$C$30,2,FALSE),"")</f>
        <v>Brasil</v>
      </c>
      <c r="E419" s="87" t="str">
        <f>IF(C419&lt;&gt;"",VLOOKUP(C419,'Dummy Table'!$B$3:$D$30,3,FALSE),"")</f>
        <v>Audi</v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 t="s">
        <v>408</v>
      </c>
      <c r="D420" s="87" t="str">
        <f>IF(C420&lt;&gt;"",VLOOKUP(C420,'Dummy Table'!$B$3:$C$30,2,FALSE),"")</f>
        <v>Inglaterra</v>
      </c>
      <c r="E420" s="87" t="str">
        <f>IF(C420&lt;&gt;"",VLOOKUP(C420,'Dummy Table'!$B$3:$D$30,3,FALSE),"")</f>
        <v>Racing Bulls</v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 t="s">
        <v>413</v>
      </c>
      <c r="D421" s="87" t="str">
        <f>IF(C421&lt;&gt;"",VLOOKUP(C421,'Dummy Table'!$B$3:$C$30,2,FALSE),"")</f>
        <v>Argentina</v>
      </c>
      <c r="E421" s="87" t="str">
        <f>IF(C421&lt;&gt;"",VLOOKUP(C421,'Dummy Table'!$B$3:$D$30,3,FALSE),"")</f>
        <v>Alpine</v>
      </c>
      <c r="F421" s="137">
        <v>1</v>
      </c>
      <c r="K421" s="74"/>
    </row>
    <row r="422" spans="1:26" x14ac:dyDescent="0.2">
      <c r="B422" s="138">
        <f>$J$12</f>
        <v>11</v>
      </c>
      <c r="C422" s="86" t="s">
        <v>307</v>
      </c>
      <c r="D422" s="87" t="str">
        <f>IF(C422&lt;&gt;"",VLOOKUP(C422,'Dummy Table'!$B$3:$C$30,2,FALSE),"")</f>
        <v>França</v>
      </c>
      <c r="E422" s="87" t="str">
        <f>IF(C422&lt;&gt;"",VLOOKUP(C422,'Dummy Table'!$B$3:$D$30,3,FALSE),"")</f>
        <v>Alpine</v>
      </c>
      <c r="F422" s="139"/>
      <c r="K422" s="74"/>
    </row>
    <row r="423" spans="1:26" x14ac:dyDescent="0.2">
      <c r="B423" s="138">
        <f>$J$13</f>
        <v>12</v>
      </c>
      <c r="C423" s="86" t="s">
        <v>409</v>
      </c>
      <c r="D423" s="87" t="str">
        <f>IF(C423&lt;&gt;"",VLOOKUP(C423,'Dummy Table'!$B$3:$C$30,2,FALSE),"")</f>
        <v>Austrália</v>
      </c>
      <c r="E423" s="87" t="str">
        <f>IF(C423&lt;&gt;"",VLOOKUP(C423,'Dummy Table'!$B$3:$D$30,3,FALSE),"")</f>
        <v>Racing Bulls</v>
      </c>
      <c r="F423" s="139"/>
      <c r="K423" s="74"/>
    </row>
    <row r="424" spans="1:26" x14ac:dyDescent="0.2">
      <c r="B424" s="138">
        <f>$J$14</f>
        <v>13</v>
      </c>
      <c r="C424" s="86" t="s">
        <v>252</v>
      </c>
      <c r="D424" s="87" t="str">
        <f>IF(C424&lt;&gt;"",VLOOKUP(C424,'Dummy Table'!$B$3:$C$30,2,FALSE),"")</f>
        <v>Alemanha</v>
      </c>
      <c r="E424" s="87" t="str">
        <f>IF(C424&lt;&gt;"",VLOOKUP(C424,'Dummy Table'!$B$3:$D$30,3,FALSE),"")</f>
        <v>Audi</v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 t="s">
        <v>326</v>
      </c>
      <c r="D425" s="87" t="str">
        <f>IF(C425&lt;&gt;"",VLOOKUP(C425,'Dummy Table'!$B$3:$C$30,2,FALSE),"")</f>
        <v>Inglaterra</v>
      </c>
      <c r="E425" s="87" t="str">
        <f>IF(C425&lt;&gt;"",VLOOKUP(C425,'Dummy Table'!$B$3:$D$30,3,FALSE),"")</f>
        <v>Haas</v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 t="s">
        <v>310</v>
      </c>
      <c r="D426" s="87" t="str">
        <f>IF(C426&lt;&gt;"",VLOOKUP(C426,'Dummy Table'!$B$3:$C$30,2,FALSE),"")</f>
        <v>Tailandia</v>
      </c>
      <c r="E426" s="87" t="str">
        <f>IF(C426&lt;&gt;"",VLOOKUP(C426,'Dummy Table'!$B$3:$D$30,3,FALSE),"")</f>
        <v>Williams</v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 t="s">
        <v>329</v>
      </c>
      <c r="D427" s="87" t="str">
        <f>IF(C427&lt;&gt;"",VLOOKUP(C427,'Dummy Table'!$B$3:$C$30,2,FALSE),"")</f>
        <v>Espanha</v>
      </c>
      <c r="E427" s="87" t="str">
        <f>IF(C427&lt;&gt;"",VLOOKUP(C427,'Dummy Table'!$B$3:$D$30,3,FALSE),"")</f>
        <v>Williams</v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 t="s">
        <v>314</v>
      </c>
      <c r="D428" s="87" t="str">
        <f>IF(C428&lt;&gt;"",VLOOKUP(C428,'Dummy Table'!$B$3:$C$30,2,FALSE),"")</f>
        <v>França</v>
      </c>
      <c r="E428" s="87" t="str">
        <f>IF(C428&lt;&gt;"",VLOOKUP(C428,'Dummy Table'!$B$3:$D$30,3,FALSE),"")</f>
        <v>Haas</v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 t="s">
        <v>398</v>
      </c>
      <c r="D429" s="87" t="str">
        <f>IF(C429&lt;&gt;"",VLOOKUP(C429,'Dummy Table'!$B$3:$C$30,2,FALSE),"")</f>
        <v>Finlândia</v>
      </c>
      <c r="E429" s="87" t="str">
        <f>IF(C429&lt;&gt;"",VLOOKUP(C429,'Dummy Table'!$B$3:$D$30,3,FALSE),"")</f>
        <v>Cadillac</v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 t="s">
        <v>30</v>
      </c>
      <c r="D430" s="87" t="str">
        <f>IF(C430&lt;&gt;"",VLOOKUP(C430,'Dummy Table'!$B$3:$C$30,2,FALSE),"")</f>
        <v>Espanha</v>
      </c>
      <c r="E430" s="87" t="str">
        <f>IF(C430&lt;&gt;"",VLOOKUP(C430,'Dummy Table'!$B$3:$D$30,3,FALSE),"")</f>
        <v>Aston Martin</v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 t="s">
        <v>306</v>
      </c>
      <c r="D431" s="87" t="str">
        <f>IF(C431&lt;&gt;"",VLOOKUP(C431,'Dummy Table'!$B$3:$C$30,2,FALSE),"")</f>
        <v>Canadá</v>
      </c>
      <c r="E431" s="87" t="str">
        <f>IF(C431&lt;&gt;"",VLOOKUP(C431,'Dummy Table'!$B$3:$D$30,3,FALSE),"")</f>
        <v>Aston Martin</v>
      </c>
      <c r="F431" s="139" t="s">
        <v>428</v>
      </c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 t="s">
        <v>397</v>
      </c>
      <c r="D432" s="87" t="str">
        <f>IF(C432&lt;&gt;"",VLOOKUP(C432,'Dummy Table'!$B$3:$C$30,2,FALSE),"")</f>
        <v>México</v>
      </c>
      <c r="E432" s="87" t="str">
        <f>IF(C432&lt;&gt;"",VLOOKUP(C432,'Dummy Table'!$B$3:$D$30,3,FALSE),"")</f>
        <v>Cadillac</v>
      </c>
      <c r="F432" s="139" t="s">
        <v>428</v>
      </c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 t="s">
        <v>354</v>
      </c>
      <c r="D433" s="87" t="str">
        <f>IF(C433&lt;&gt;"",VLOOKUP(C433,'Dummy Table'!$B$3:$C$30,2,FALSE),"")</f>
        <v>Inglaterra</v>
      </c>
      <c r="E433" s="87" t="str">
        <f>IF(C433&lt;&gt;"",VLOOKUP(C433,'Dummy Table'!$B$3:$D$30,3,FALSE),"")</f>
        <v>Mercedes</v>
      </c>
      <c r="F433" s="139" t="s">
        <v>428</v>
      </c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 t="s">
        <v>325</v>
      </c>
      <c r="D436" s="89" t="str">
        <f>IF(C436&lt;&gt;"",VLOOKUP(C436,'Dummy Table'!$B$3:$C$30,2,FALSE),"")</f>
        <v>Itália</v>
      </c>
      <c r="E436" s="89" t="str">
        <f>IF(C436&lt;&gt;"",VLOOKUP(C436,'Dummy Table'!$B$3:$D$30,3,FALSE),"")</f>
        <v>Mercedes</v>
      </c>
      <c r="F436" s="142"/>
      <c r="H436" s="75"/>
      <c r="K436" s="74"/>
    </row>
    <row r="437" spans="1:26" ht="13.5" thickBot="1" x14ac:dyDescent="0.25">
      <c r="B437" s="143" t="s">
        <v>234</v>
      </c>
      <c r="C437" s="144" t="s">
        <v>311</v>
      </c>
      <c r="D437" s="145" t="str">
        <f>IF(C437&lt;&gt;"",VLOOKUP(C437,'Dummy Table'!$B$3:$C$30,2,FALSE),"")</f>
        <v>Inglaterra</v>
      </c>
      <c r="E437" s="145" t="str">
        <f>IF(C437&lt;&gt;"",VLOOKUP(C437,'Dummy Table'!$B$3:$D$30,3,FALSE),"")</f>
        <v>McLaren</v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5" t="str">
        <f>VLOOKUP($A438,'Calendário atual'!$A$2:$E$30,4,FALSE)</f>
        <v>FORMULA 1 AWS HUNGARIAN GRAND PRIX 2026</v>
      </c>
      <c r="D438" s="175"/>
      <c r="E438" s="175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 t="s">
        <v>311</v>
      </c>
      <c r="D440" s="87" t="str">
        <f>IF(C440&lt;&gt;"",VLOOKUP(C440,'Dummy Table'!$B$3:$C$30,2,FALSE),"")</f>
        <v>Inglaterra</v>
      </c>
      <c r="E440" s="87" t="str">
        <f>IF(C440&lt;&gt;"",VLOOKUP(C440,'Dummy Table'!$B$3:$D$30,3,FALSE),"")</f>
        <v>McLaren</v>
      </c>
      <c r="F440" s="137">
        <v>25</v>
      </c>
      <c r="G440" s="69">
        <f>IF(C440="",F440,0)</f>
        <v>0</v>
      </c>
      <c r="H440" s="69">
        <f>IF(C440="",F440,0)</f>
        <v>0</v>
      </c>
      <c r="I440" s="69">
        <f>IF(C440="",1,0)</f>
        <v>0</v>
      </c>
      <c r="K440" s="74"/>
    </row>
    <row r="441" spans="1:26" x14ac:dyDescent="0.2">
      <c r="B441" s="138">
        <f>$J$3</f>
        <v>2</v>
      </c>
      <c r="C441" s="86" t="s">
        <v>300</v>
      </c>
      <c r="D441" s="87" t="str">
        <f>IF(C441&lt;&gt;"",VLOOKUP(C441,'Dummy Table'!$B$3:$C$30,2,FALSE),"")</f>
        <v>Holanda</v>
      </c>
      <c r="E441" s="87" t="str">
        <f>IF(C441&lt;&gt;"",VLOOKUP(C441,'Dummy Table'!$B$3:$D$30,3,FALSE),"")</f>
        <v>Red Bull</v>
      </c>
      <c r="F441" s="137">
        <v>18</v>
      </c>
      <c r="H441" s="69">
        <f>IF(C441="",F441,0)</f>
        <v>0</v>
      </c>
      <c r="K441" s="74"/>
    </row>
    <row r="442" spans="1:26" x14ac:dyDescent="0.2">
      <c r="B442" s="138">
        <f>$J$4</f>
        <v>3</v>
      </c>
      <c r="C442" s="86" t="s">
        <v>325</v>
      </c>
      <c r="D442" s="87" t="str">
        <f>IF(C442&lt;&gt;"",VLOOKUP(C442,'Dummy Table'!$B$3:$C$30,2,FALSE),"")</f>
        <v>Itália</v>
      </c>
      <c r="E442" s="87" t="str">
        <f>IF(C442&lt;&gt;"",VLOOKUP(C442,'Dummy Table'!$B$3:$D$30,3,FALSE),"")</f>
        <v>Mercedes</v>
      </c>
      <c r="F442" s="137">
        <v>15</v>
      </c>
    </row>
    <row r="443" spans="1:26" x14ac:dyDescent="0.2">
      <c r="B443" s="138">
        <f>$J$5</f>
        <v>4</v>
      </c>
      <c r="C443" s="86" t="s">
        <v>308</v>
      </c>
      <c r="D443" s="87" t="str">
        <f>IF(C443&lt;&gt;"",VLOOKUP(C443,'Dummy Table'!$B$3:$C$30,2,FALSE),"")</f>
        <v>Mônaco</v>
      </c>
      <c r="E443" s="87" t="str">
        <f>IF(C443&lt;&gt;"",VLOOKUP(C443,'Dummy Table'!$B$3:$D$30,3,FALSE),"")</f>
        <v>Ferrari</v>
      </c>
      <c r="F443" s="137">
        <v>12</v>
      </c>
      <c r="K443" s="79"/>
    </row>
    <row r="444" spans="1:26" x14ac:dyDescent="0.2">
      <c r="B444" s="138">
        <f>$J$6</f>
        <v>5</v>
      </c>
      <c r="C444" s="86" t="s">
        <v>1</v>
      </c>
      <c r="D444" s="87" t="str">
        <f>IF(C444&lt;&gt;"",VLOOKUP(C444,'Dummy Table'!$B$3:$C$30,2,FALSE),"")</f>
        <v>Inglaterra</v>
      </c>
      <c r="E444" s="87" t="str">
        <f>IF(C444&lt;&gt;"",VLOOKUP(C444,'Dummy Table'!$B$3:$D$30,3,FALSE),"")</f>
        <v>Ferrari</v>
      </c>
      <c r="F444" s="137">
        <v>10</v>
      </c>
    </row>
    <row r="445" spans="1:26" x14ac:dyDescent="0.2">
      <c r="B445" s="138">
        <f>$J$7</f>
        <v>6</v>
      </c>
      <c r="C445" s="86" t="s">
        <v>407</v>
      </c>
      <c r="D445" s="87" t="str">
        <f>IF(C445&lt;&gt;"",VLOOKUP(C445,'Dummy Table'!$B$3:$C$30,2,FALSE),"")</f>
        <v>França</v>
      </c>
      <c r="E445" s="87" t="str">
        <f>IF(C445&lt;&gt;"",VLOOKUP(C445,'Dummy Table'!$B$3:$D$30,3,FALSE),"")</f>
        <v>Red Bull</v>
      </c>
      <c r="F445" s="137">
        <v>8</v>
      </c>
      <c r="K445" s="74"/>
    </row>
    <row r="446" spans="1:26" x14ac:dyDescent="0.2">
      <c r="B446" s="138">
        <f>$J$8</f>
        <v>7</v>
      </c>
      <c r="C446" s="86" t="s">
        <v>354</v>
      </c>
      <c r="D446" s="87" t="str">
        <f>IF(C446&lt;&gt;"",VLOOKUP(C446,'Dummy Table'!$B$3:$C$30,2,FALSE),"")</f>
        <v>Inglaterra</v>
      </c>
      <c r="E446" s="87" t="str">
        <f>IF(C446&lt;&gt;"",VLOOKUP(C446,'Dummy Table'!$B$3:$D$30,3,FALSE),"")</f>
        <v>Mercedes</v>
      </c>
      <c r="F446" s="137">
        <v>6</v>
      </c>
      <c r="K446" s="74"/>
    </row>
    <row r="447" spans="1:26" x14ac:dyDescent="0.2">
      <c r="B447" s="138">
        <f>$J$9</f>
        <v>8</v>
      </c>
      <c r="C447" s="86" t="s">
        <v>409</v>
      </c>
      <c r="D447" s="87" t="str">
        <f>IF(C447&lt;&gt;"",VLOOKUP(C447,'Dummy Table'!$B$3:$C$30,2,FALSE),"")</f>
        <v>Austrália</v>
      </c>
      <c r="E447" s="87" t="str">
        <f>IF(C447&lt;&gt;"",VLOOKUP(C447,'Dummy Table'!$B$3:$D$30,3,FALSE),"")</f>
        <v>Racing Bulls</v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 t="s">
        <v>252</v>
      </c>
      <c r="D448" s="87" t="str">
        <f>IF(C448&lt;&gt;"",VLOOKUP(C448,'Dummy Table'!$B$3:$C$30,2,FALSE),"")</f>
        <v>Alemanha</v>
      </c>
      <c r="E448" s="87" t="str">
        <f>IF(C448&lt;&gt;"",VLOOKUP(C448,'Dummy Table'!$B$3:$D$30,3,FALSE),"")</f>
        <v>Audi</v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 t="s">
        <v>408</v>
      </c>
      <c r="D449" s="87" t="str">
        <f>IF(C449&lt;&gt;"",VLOOKUP(C449,'Dummy Table'!$B$3:$C$30,2,FALSE),"")</f>
        <v>Inglaterra</v>
      </c>
      <c r="E449" s="87" t="str">
        <f>IF(C449&lt;&gt;"",VLOOKUP(C449,'Dummy Table'!$B$3:$D$30,3,FALSE),"")</f>
        <v>Racing Bulls</v>
      </c>
      <c r="F449" s="137">
        <v>1</v>
      </c>
      <c r="K449" s="74"/>
    </row>
    <row r="450" spans="1:26" x14ac:dyDescent="0.2">
      <c r="B450" s="138">
        <f>$J$12</f>
        <v>11</v>
      </c>
      <c r="C450" s="86" t="s">
        <v>330</v>
      </c>
      <c r="D450" s="87" t="str">
        <f>IF(C450&lt;&gt;"",VLOOKUP(C450,'Dummy Table'!$B$3:$C$30,2,FALSE),"")</f>
        <v>Brasil</v>
      </c>
      <c r="E450" s="87" t="str">
        <f>IF(C450&lt;&gt;"",VLOOKUP(C450,'Dummy Table'!$B$3:$D$30,3,FALSE),"")</f>
        <v>Audi</v>
      </c>
      <c r="F450" s="139"/>
      <c r="K450" s="74"/>
    </row>
    <row r="451" spans="1:26" x14ac:dyDescent="0.2">
      <c r="B451" s="138">
        <f>$J$13</f>
        <v>12</v>
      </c>
      <c r="C451" s="86" t="s">
        <v>307</v>
      </c>
      <c r="D451" s="87" t="str">
        <f>IF(C451&lt;&gt;"",VLOOKUP(C451,'Dummy Table'!$B$3:$C$30,2,FALSE),"")</f>
        <v>França</v>
      </c>
      <c r="E451" s="87" t="str">
        <f>IF(C451&lt;&gt;"",VLOOKUP(C451,'Dummy Table'!$B$3:$D$30,3,FALSE),"")</f>
        <v>Alpine</v>
      </c>
      <c r="F451" s="139"/>
      <c r="K451" s="74"/>
    </row>
    <row r="452" spans="1:26" x14ac:dyDescent="0.2">
      <c r="B452" s="138">
        <f>$J$14</f>
        <v>13</v>
      </c>
      <c r="C452" s="86" t="s">
        <v>306</v>
      </c>
      <c r="D452" s="87" t="str">
        <f>IF(C452&lt;&gt;"",VLOOKUP(C452,'Dummy Table'!$B$3:$C$30,2,FALSE),"")</f>
        <v>Canadá</v>
      </c>
      <c r="E452" s="87" t="str">
        <f>IF(C452&lt;&gt;"",VLOOKUP(C452,'Dummy Table'!$B$3:$D$30,3,FALSE),"")</f>
        <v>Aston Martin</v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 t="s">
        <v>30</v>
      </c>
      <c r="D453" s="87" t="str">
        <f>IF(C453&lt;&gt;"",VLOOKUP(C453,'Dummy Table'!$B$3:$C$30,2,FALSE),"")</f>
        <v>Espanha</v>
      </c>
      <c r="E453" s="87" t="str">
        <f>IF(C453&lt;&gt;"",VLOOKUP(C453,'Dummy Table'!$B$3:$D$30,3,FALSE),"")</f>
        <v>Aston Martin</v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 t="s">
        <v>413</v>
      </c>
      <c r="D454" s="87" t="str">
        <f>IF(C454&lt;&gt;"",VLOOKUP(C454,'Dummy Table'!$B$3:$C$30,2,FALSE),"")</f>
        <v>Argentina</v>
      </c>
      <c r="E454" s="87" t="str">
        <f>IF(C454&lt;&gt;"",VLOOKUP(C454,'Dummy Table'!$B$3:$D$30,3,FALSE),"")</f>
        <v>Alpine</v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 t="s">
        <v>314</v>
      </c>
      <c r="D455" s="87" t="str">
        <f>IF(C455&lt;&gt;"",VLOOKUP(C455,'Dummy Table'!$B$3:$C$30,2,FALSE),"")</f>
        <v>França</v>
      </c>
      <c r="E455" s="87" t="str">
        <f>IF(C455&lt;&gt;"",VLOOKUP(C455,'Dummy Table'!$B$3:$D$30,3,FALSE),"")</f>
        <v>Haas</v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 t="s">
        <v>310</v>
      </c>
      <c r="D456" s="87" t="str">
        <f>IF(C456&lt;&gt;"",VLOOKUP(C456,'Dummy Table'!$B$3:$C$30,2,FALSE),"")</f>
        <v>Tailandia</v>
      </c>
      <c r="E456" s="87" t="str">
        <f>IF(C456&lt;&gt;"",VLOOKUP(C456,'Dummy Table'!$B$3:$D$30,3,FALSE),"")</f>
        <v>Williams</v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 t="s">
        <v>329</v>
      </c>
      <c r="D457" s="87" t="str">
        <f>IF(C457&lt;&gt;"",VLOOKUP(C457,'Dummy Table'!$B$3:$C$30,2,FALSE),"")</f>
        <v>Espanha</v>
      </c>
      <c r="E457" s="87" t="str">
        <f>IF(C457&lt;&gt;"",VLOOKUP(C457,'Dummy Table'!$B$3:$D$30,3,FALSE),"")</f>
        <v>Williams</v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 t="s">
        <v>326</v>
      </c>
      <c r="D458" s="87" t="str">
        <f>IF(C458&lt;&gt;"",VLOOKUP(C458,'Dummy Table'!$B$3:$C$30,2,FALSE),"")</f>
        <v>Inglaterra</v>
      </c>
      <c r="E458" s="87" t="str">
        <f>IF(C458&lt;&gt;"",VLOOKUP(C458,'Dummy Table'!$B$3:$D$30,3,FALSE),"")</f>
        <v>Haas</v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 t="s">
        <v>324</v>
      </c>
      <c r="D459" s="87" t="str">
        <f>IF(C459&lt;&gt;"",VLOOKUP(C459,'Dummy Table'!$B$3:$C$30,2,FALSE),"")</f>
        <v>Austrália</v>
      </c>
      <c r="E459" s="87" t="str">
        <f>IF(C459&lt;&gt;"",VLOOKUP(C459,'Dummy Table'!$B$3:$D$30,3,FALSE),"")</f>
        <v>McLaren</v>
      </c>
      <c r="F459" s="139" t="s">
        <v>428</v>
      </c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 t="s">
        <v>397</v>
      </c>
      <c r="D460" s="87" t="str">
        <f>IF(C460&lt;&gt;"",VLOOKUP(C460,'Dummy Table'!$B$3:$C$30,2,FALSE),"")</f>
        <v>México</v>
      </c>
      <c r="E460" s="87" t="str">
        <f>IF(C460&lt;&gt;"",VLOOKUP(C460,'Dummy Table'!$B$3:$D$30,3,FALSE),"")</f>
        <v>Cadillac</v>
      </c>
      <c r="F460" s="139" t="s">
        <v>428</v>
      </c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 t="s">
        <v>398</v>
      </c>
      <c r="D461" s="87" t="str">
        <f>IF(C461&lt;&gt;"",VLOOKUP(C461,'Dummy Table'!$B$3:$C$30,2,FALSE),"")</f>
        <v>Finlândia</v>
      </c>
      <c r="E461" s="87" t="str">
        <f>IF(C461&lt;&gt;"",VLOOKUP(C461,'Dummy Table'!$B$3:$D$30,3,FALSE),"")</f>
        <v>Cadillac</v>
      </c>
      <c r="F461" s="139" t="s">
        <v>428</v>
      </c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 t="s">
        <v>311</v>
      </c>
      <c r="D464" s="89" t="str">
        <f>IF(C464&lt;&gt;"",VLOOKUP(C464,'Dummy Table'!$B$3:$C$30,2,FALSE),"")</f>
        <v>Inglaterra</v>
      </c>
      <c r="E464" s="89" t="str">
        <f>IF(C464&lt;&gt;"",VLOOKUP(C464,'Dummy Table'!$B$3:$D$30,3,FALSE),"")</f>
        <v>McLaren</v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 t="s">
        <v>308</v>
      </c>
      <c r="D465" s="145" t="str">
        <f>IF(C465&lt;&gt;"",VLOOKUP(C465,'Dummy Table'!$B$3:$C$30,2,FALSE),"")</f>
        <v>Mônaco</v>
      </c>
      <c r="E465" s="145" t="str">
        <f>IF(C465&lt;&gt;"",VLOOKUP(C465,'Dummy Table'!$B$3:$D$30,3,FALSE),"")</f>
        <v>Ferrari</v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5" t="str">
        <f>VLOOKUP($A466,'Calendário atual'!$A$2:$E$30,4,FALSE)</f>
        <v>FORMULA 1 HEINEKEN DUTCH GRAND PRIX 2026</v>
      </c>
      <c r="D466" s="175"/>
      <c r="E466" s="175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355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356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5" t="str">
        <f>VLOOKUP($A519,'Calendário atual'!$A$2:$E$30,4,FALSE)</f>
        <v>FORMULA 1 PIRELLI GRAN PREMIO D’ITALIA 2026</v>
      </c>
      <c r="D519" s="175"/>
      <c r="E519" s="175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5" t="str">
        <f>VLOOKUP($A547,'Calendário atual'!$A$2:$E$30,4,FALSE)</f>
        <v>FORMULA 1 TAG HEUER GRAN PREMIO DE ESPAÑA 2026</v>
      </c>
      <c r="D547" s="175"/>
      <c r="E547" s="175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5" t="str">
        <f>VLOOKUP($A575,'Calendário atual'!$A$2:$E$30,4,FALSE)</f>
        <v>FORMULA 1 QATAR AIRWAYS AZERBAIJAN GRAND PRIX 2026</v>
      </c>
      <c r="D575" s="175"/>
      <c r="E575" s="175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5" t="str">
        <f>VLOOKUP($A603,'Calendário atual'!$A$2:$E$30,4,FALSE)</f>
        <v>FORMULA 1 SINGAPORE AIRLINES SINGAPORE GRAND PRIX 2026</v>
      </c>
      <c r="D603" s="175"/>
      <c r="E603" s="175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355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356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5" t="str">
        <f>VLOOKUP($A656,'Calendário atual'!$A$2:$E$30,4,FALSE)</f>
        <v>FORMULA 1 MSC CRUISES UNITED STATES GRAND PRIX 2026</v>
      </c>
      <c r="D656" s="175"/>
      <c r="E656" s="175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5" t="str">
        <f>VLOOKUP($A684,'Calendário atual'!$A$2:$E$30,4,FALSE)</f>
        <v>FORMULA 1 GRAN PREMIO DE LA CIUDAD DE MÉXICO 2026</v>
      </c>
      <c r="D684" s="175"/>
      <c r="E684" s="175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5" t="str">
        <f>VLOOKUP($A712,'Calendário atual'!$A$2:$E$30,4,FALSE)</f>
        <v>FORMULA 1 MSC CRUISES GRANDE PRÊMIO DE SÃO PAULO 2026</v>
      </c>
      <c r="D712" s="175"/>
      <c r="E712" s="175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5" t="str">
        <f>VLOOKUP($A740,'Calendário atual'!$A$2:$E$30,4,FALSE)</f>
        <v>FORMULA 1 HEINEKEN LAS VEGAS GRAND PRIX 2026</v>
      </c>
      <c r="D740" s="175"/>
      <c r="E740" s="175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5" t="str">
        <f>VLOOKUP($A768,'Calendário atual'!$A$2:$E$30,4,FALSE)</f>
        <v>FORMULA 1 QATAR AIRWAYS QATAR GRAND PRIX 2026</v>
      </c>
      <c r="D768" s="175"/>
      <c r="E768" s="175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5" t="str">
        <f>VLOOKUP($A796,'Calendário atual'!$A$2:$E$30,4,FALSE)</f>
        <v>FORMULA 1 ETIHAD AIRWAYS ABU DHABI GRAND PRIX 2026</v>
      </c>
      <c r="D796" s="175"/>
      <c r="E796" s="175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768:E768"/>
    <mergeCell ref="C796:E796"/>
    <mergeCell ref="C603:E603"/>
    <mergeCell ref="C656:E656"/>
    <mergeCell ref="C684:E684"/>
    <mergeCell ref="C712:E712"/>
    <mergeCell ref="C740:E740"/>
    <mergeCell ref="C329:E329"/>
    <mergeCell ref="C357:E357"/>
    <mergeCell ref="C410:E410"/>
    <mergeCell ref="C220:E220"/>
    <mergeCell ref="C273:E273"/>
    <mergeCell ref="C301:E301"/>
    <mergeCell ref="C547:E547"/>
    <mergeCell ref="C575:E575"/>
    <mergeCell ref="C438:E438"/>
    <mergeCell ref="C466:E466"/>
    <mergeCell ref="C519:E519"/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354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427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407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427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426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400</v>
      </c>
      <c r="J11" s="50" t="s">
        <v>21</v>
      </c>
      <c r="K11" s="51" t="s">
        <v>400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409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395</v>
      </c>
      <c r="J13" s="50" t="s">
        <v>396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408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400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400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413</v>
      </c>
      <c r="D22" s="60">
        <v>43</v>
      </c>
      <c r="E22" s="59" t="s">
        <v>414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397</v>
      </c>
      <c r="D23" s="60">
        <v>11</v>
      </c>
      <c r="E23" s="59" t="s">
        <v>296</v>
      </c>
      <c r="F23" s="51" t="s">
        <v>395</v>
      </c>
    </row>
    <row r="24" spans="2:6" ht="13.5" customHeight="1" x14ac:dyDescent="0.2">
      <c r="B24" s="57">
        <f t="shared" si="0"/>
        <v>22</v>
      </c>
      <c r="C24" s="63" t="s">
        <v>398</v>
      </c>
      <c r="D24" s="60">
        <v>77</v>
      </c>
      <c r="E24" s="59" t="s">
        <v>399</v>
      </c>
      <c r="F24" s="51" t="s">
        <v>395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410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8" t="s">
        <v>15</v>
      </c>
      <c r="D2" s="179"/>
      <c r="E2" s="30" t="s">
        <v>194</v>
      </c>
      <c r="G2" s="30" t="s">
        <v>179</v>
      </c>
      <c r="H2" s="178" t="s">
        <v>187</v>
      </c>
      <c r="I2" s="179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402</v>
      </c>
      <c r="G3" s="28">
        <v>16</v>
      </c>
      <c r="H3" s="15"/>
      <c r="I3" s="35" t="s">
        <v>0</v>
      </c>
      <c r="J3" s="26" t="s">
        <v>406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403</v>
      </c>
      <c r="G4" s="29">
        <v>10</v>
      </c>
      <c r="H4" s="15"/>
      <c r="I4" s="35" t="s">
        <v>19</v>
      </c>
      <c r="J4" s="27" t="s">
        <v>405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401</v>
      </c>
      <c r="G5" s="29">
        <v>9</v>
      </c>
      <c r="H5" s="18"/>
      <c r="I5" s="35" t="s">
        <v>12</v>
      </c>
      <c r="J5" s="26" t="s">
        <v>404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411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Temporada 2026</vt:lpstr>
      <vt:lpstr>Graf. Pilotos</vt:lpstr>
      <vt:lpstr>Dummy Chart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2026-07-27T13:47:05Z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