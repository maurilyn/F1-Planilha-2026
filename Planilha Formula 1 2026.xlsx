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4AAC7CBD-64D6-4204-B34F-BDB73898D629}" xr6:coauthVersionLast="47" xr6:coauthVersionMax="47" xr10:uidLastSave="{00000000-0000-0000-0000-000000000000}"/>
  <workbookProtection workbookAlgorithmName="SHA-512" workbookHashValue="z51dot9RPrHS9C9s5/rPLC+JArATmX2a8prh0XaV7dQ1gI5e5FJG2dt0/STd2YmHto8PTCV1Fes9Qa6Cyaf/Eg==" workbookSaltValue="wEy9ur+aYRx/JkOdraZ+aw==" workbookSpinCount="100000" lockStructure="1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489" i="5"/>
  <c r="E489" i="5"/>
  <c r="D490" i="5"/>
  <c r="E490" i="5"/>
  <c r="D380" i="5"/>
  <c r="E380" i="5"/>
  <c r="D381" i="5"/>
  <c r="E381" i="5"/>
  <c r="D243" i="5"/>
  <c r="E243" i="5"/>
  <c r="D244" i="5"/>
  <c r="E244" i="5"/>
  <c r="D190" i="5"/>
  <c r="E190" i="5"/>
  <c r="D191" i="5"/>
  <c r="E191" i="5"/>
  <c r="D53" i="5"/>
  <c r="E53" i="5"/>
  <c r="D54" i="5"/>
  <c r="E54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I31" i="1" s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I30" i="1" s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I49" i="1" s="1"/>
  <c r="D44" i="1"/>
  <c r="G48" i="1"/>
  <c r="G44" i="1"/>
  <c r="C41" i="1"/>
  <c r="B32" i="17" s="1"/>
  <c r="D47" i="1"/>
  <c r="C45" i="1"/>
  <c r="B36" i="17" s="1"/>
  <c r="G46" i="1"/>
  <c r="C47" i="1"/>
  <c r="B38" i="17" s="1"/>
  <c r="C42" i="1"/>
  <c r="B33" i="17" s="1"/>
  <c r="E42" i="1"/>
  <c r="C44" i="1"/>
  <c r="B35" i="17" s="1"/>
  <c r="G47" i="1"/>
  <c r="D39" i="1"/>
  <c r="E50" i="1"/>
  <c r="D49" i="1"/>
  <c r="D41" i="1"/>
  <c r="D48" i="1"/>
  <c r="C50" i="1"/>
  <c r="I50" i="1" s="1"/>
  <c r="C40" i="1"/>
  <c r="B31" i="17" s="1"/>
  <c r="C51" i="1"/>
  <c r="E39" i="1"/>
  <c r="G40" i="1"/>
  <c r="C46" i="1"/>
  <c r="B37" i="17" s="1"/>
  <c r="D45" i="1"/>
  <c r="C43" i="1"/>
  <c r="B34" i="17" s="1"/>
  <c r="C48" i="1"/>
  <c r="B39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C30" i="17" s="1"/>
  <c r="AG39" i="1"/>
  <c r="P39" i="1"/>
  <c r="AE39" i="1"/>
  <c r="Q39" i="1"/>
  <c r="N39" i="1"/>
  <c r="AC39" i="1"/>
  <c r="R39" i="1"/>
  <c r="AE42" i="1"/>
  <c r="Q42" i="1"/>
  <c r="Y42" i="1"/>
  <c r="J42" i="1"/>
  <c r="C33" i="17" s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C2" i="17" s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C22" i="17" s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C38" i="17" s="1"/>
  <c r="N47" i="1"/>
  <c r="AE47" i="1"/>
  <c r="Y47" i="1"/>
  <c r="Z47" i="1"/>
  <c r="M47" i="1"/>
  <c r="AC47" i="1"/>
  <c r="P47" i="1"/>
  <c r="N22" i="1"/>
  <c r="J22" i="1"/>
  <c r="C16" i="17" s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C31" i="17" s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C5" i="17" s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C4" i="17" s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C8" i="17" s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C3" i="17" s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C9" i="17" s="1"/>
  <c r="D9" i="17" s="1"/>
  <c r="L15" i="1"/>
  <c r="M21" i="1"/>
  <c r="AG21" i="1"/>
  <c r="F21" i="1"/>
  <c r="Z21" i="1"/>
  <c r="U21" i="1"/>
  <c r="L21" i="1"/>
  <c r="I21" i="1"/>
  <c r="T21" i="1"/>
  <c r="AA21" i="1"/>
  <c r="J21" i="1"/>
  <c r="C15" i="17" s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C25" i="17" s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C19" i="17" s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C13" i="17" s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C32" i="17" s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C24" i="17" s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C14" i="17" s="1"/>
  <c r="D14" i="17" s="1"/>
  <c r="AG20" i="1"/>
  <c r="P20" i="1"/>
  <c r="W20" i="1"/>
  <c r="L20" i="1"/>
  <c r="Z18" i="1"/>
  <c r="I18" i="1"/>
  <c r="AA18" i="1"/>
  <c r="T18" i="1"/>
  <c r="AC18" i="1"/>
  <c r="AE18" i="1"/>
  <c r="AG18" i="1"/>
  <c r="J18" i="1"/>
  <c r="C12" i="17" s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C41" i="17" s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C23" i="17" s="1"/>
  <c r="D23" i="17" s="1"/>
  <c r="F29" i="1"/>
  <c r="S29" i="1"/>
  <c r="R29" i="1"/>
  <c r="Z26" i="1"/>
  <c r="I26" i="1"/>
  <c r="J26" i="1"/>
  <c r="C20" i="17" s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C36" i="17" s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C39" i="17" s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C6" i="17" s="1"/>
  <c r="D6" i="17" s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C34" i="17" s="1"/>
  <c r="X43" i="1"/>
  <c r="M43" i="1"/>
  <c r="Y43" i="1"/>
  <c r="L43" i="1"/>
  <c r="Z43" i="1"/>
  <c r="W43" i="1"/>
  <c r="AA49" i="1"/>
  <c r="J49" i="1"/>
  <c r="C40" i="17" s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C18" i="17" s="1"/>
  <c r="D18" i="17" s="1"/>
  <c r="L24" i="1"/>
  <c r="M24" i="1"/>
  <c r="U17" i="1"/>
  <c r="I17" i="1"/>
  <c r="T17" i="1"/>
  <c r="P17" i="1"/>
  <c r="AE17" i="1"/>
  <c r="N17" i="1"/>
  <c r="AG17" i="1"/>
  <c r="J17" i="1"/>
  <c r="C11" i="17" s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C21" i="17" s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C37" i="17" s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C35" i="17" s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C10" i="17" s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  <c r="C7" i="17" s="1"/>
  <c r="D7" i="17" s="1"/>
  <c r="D10" i="17" l="1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<sst xmlns="http://schemas.openxmlformats.org/spreadsheetml/2006/main" count="959" uniqueCount="435">
  <si>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</si>
  <si>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</si>
  <si>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</si>
  <si>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</si>
  <si>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</si>
  <si>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</si>
  <si>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</si>
  <si>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</si>
  <si>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</si>
  <si>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</si>
  <si>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</si>
  <si>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</si>
  <si>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</si>
  <si>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</si>
  <si>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</si>
  <si>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</si>
  <si>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</si>
  <si>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</si>
  <si>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</si>
  <si>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</si>
  <si>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</si>
  <si>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</si>
  <si>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</si>
  <si>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</si>
  <si>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</si>
  <si>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</si>
  <si>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</si>
  <si>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</si>
  <si>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</si>
  <si>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</si>
  <si>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</si>
  <si>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</si>
  <si>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</si>
  <si>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</si>
  <si>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</si>
  <si>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</si>
  <si>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</si>
  <si>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</si>
  <si>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</si>
  <si>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</si>
  <si>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</si>
  <si>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</si>
  <si>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</si>
  <si>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</si>
  <si>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</si>
  <si>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</si>
  <si>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</si>
  <si>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</si>
  <si>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</si>
  <si>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</si>
  <si>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</si>
  <si>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</si>
  <si>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</si>
  <si>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</si>
  <si>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</si>
  <si>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</si>
  <si>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</si>
  <si>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</si>
  <si>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</si>
  <si>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</si>
  <si>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</si>
  <si>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</si>
  <si>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</si>
  <si>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</si>
  <si>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</si>
  <si>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</si>
  <si>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</si>
  <si>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</si>
  <si>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</si>
  <si>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</si>
  <si>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</si>
  <si>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</si>
  <si>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</si>
  <si>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</si>
  <si>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</si>
  <si>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</si>
  <si>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</si>
  <si>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</si>
  <si>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</si>
  <si>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</si>
  <si>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</si>
  <si>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</si>
  <si>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</si>
  <si>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</si>
  <si>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</si>
  <si>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</si>
  <si>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</si>
  <si>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</si>
  <si>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</si>
  <si>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</si>
  <si>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</si>
  <si>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</si>
  <si>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</si>
  <si>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</si>
  <si>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</si>
  <si>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</si>
  <si>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</si>
  <si>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</si>
  <si>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</si>
  <si>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</si>
  <si>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</si>
  <si>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</si>
  <si>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</si>
  <si>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</si>
  <si>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</si>
  <si>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</si>
  <si>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</si>
  <si>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</si>
  <si>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</si>
  <si>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</si>
  <si>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</si>
  <si>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</si>
  <si>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</si>
  <si>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</si>
  <si>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</si>
  <si>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</si>
  <si>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</si>
  <si>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</si>
  <si>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</si>
  <si>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</si>
  <si>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</si>
  <si>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</si>
  <si>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</si>
  <si>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</si>
  <si>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</si>
  <si>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</si>
  <si>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</si>
  <si>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</si>
  <si>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</si>
  <si>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</si>
  <si>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</si>
  <si>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</si>
  <si>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</si>
  <si>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</si>
  <si>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</si>
  <si>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</si>
  <si>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</si>
  <si>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</si>
  <si>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</si>
  <si>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</si>
  <si>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</si>
  <si>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</si>
  <si>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</si>
  <si>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</si>
  <si>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</si>
  <si>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</si>
  <si>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</si>
  <si>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</si>
  <si>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</si>
  <si>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</si>
  <si>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</si>
  <si>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</si>
  <si>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</si>
  <si>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</si>
  <si>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</si>
  <si>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</si>
  <si>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</si>
  <si>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</si>
  <si>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</si>
  <si>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</si>
  <si>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</si>
  <si>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</si>
  <si>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</si>
  <si>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</si>
  <si>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</si>
  <si>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</si>
  <si>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</si>
  <si>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</si>
  <si>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</si>
  <si>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</si>
  <si>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</si>
  <si>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</si>
  <si>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</si>
  <si>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</si>
  <si>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</si>
  <si>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</si>
  <si>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</si>
  <si>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</si>
  <si>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</si>
  <si>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</si>
  <si>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</si>
  <si>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</si>
  <si>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</si>
  <si>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</si>
  <si>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</si>
  <si>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</si>
  <si>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</si>
  <si>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</si>
  <si>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</si>
  <si>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</si>
  <si>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</si>
  <si>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</si>
  <si>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</si>
  <si>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</si>
  <si>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</si>
  <si>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</si>
  <si>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</si>
  <si>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</si>
  <si>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</si>
  <si>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</si>
  <si>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</si>
  <si>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</si>
  <si>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</si>
  <si>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</si>
  <si>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</si>
  <si>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</si>
  <si>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</si>
  <si>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</si>
  <si>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</si>
  <si>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</si>
  <si>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</si>
  <si>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</si>
  <si>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</si>
  <si>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</si>
  <si>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</si>
  <si>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</si>
  <si>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</si>
  <si>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</si>
  <si>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</si>
  <si>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</si>
  <si>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</si>
  <si>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</si>
  <si>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</si>
  <si>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</si>
  <si>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</si>
  <si>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</si>
  <si>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</si>
  <si>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</si>
  <si>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</si>
  <si>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</si>
  <si>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</si>
  <si>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</si>
  <si>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</si>
  <si>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</si>
  <si>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</si>
  <si>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</si>
  <si>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</si>
  <si>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</si>
  <si>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</si>
  <si>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</si>
  <si>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</si>
  <si>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</si>
  <si>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</si>
  <si>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</si>
  <si>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</si>
  <si>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</si>
  <si>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</si>
  <si>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</si>
  <si>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</si>
  <si>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</si>
  <si>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</si>
  <si>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</si>
  <si>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</si>
  <si>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</si>
  <si>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</si>
  <si>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</si>
  <si>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</si>
  <si>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</si>
  <si>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</si>
  <si>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</si>
  <si>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</si>
  <si>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</si>
  <si>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</si>
  <si>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</si>
  <si>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</si>
  <si>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</si>
  <si>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</si>
  <si>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</si>
  <si>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</si>
  <si>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</si>
  <si>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</si>
  <si>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</si>
  <si>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</si>
  <si>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</si>
  <si>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</si>
  <si>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</si>
  <si>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</si>
  <si>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</si>
  <si>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</si>
  <si>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</si>
  <si>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</si>
  <si>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</si>
  <si>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</si>
  <si>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</si>
  <si>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</si>
  <si>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</si>
  <si>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</si>
  <si>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</si>
  <si>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</si>
  <si>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</si>
  <si>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</si>
  <si>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</si>
  <si>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</si>
  <si>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</si>
  <si>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</si>
  <si>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</si>
  <si>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</si>
  <si>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</si>
  <si>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</si>
  <si>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</si>
  <si>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</si>
  <si>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</si>
  <si>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</si>
  <si>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</si>
  <si>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</si>
  <si>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</si>
  <si>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</si>
  <si>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</si>
  <si>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</si>
  <si>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</si>
  <si>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</si>
  <si>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</si>
  <si>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</si>
  <si>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</si>
  <si>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</si>
  <si>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</si>
  <si>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</si>
  <si>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</si>
  <si>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</si>
  <si>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</si>
  <si>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</si>
  <si>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</si>
  <si>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</si>
  <si>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</si>
  <si>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</si>
  <si>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</si>
  <si>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</si>
  <si>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</si>
  <si>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</si>
  <si>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</si>
  <si>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</si>
  <si>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</si>
  <si>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</si>
  <si>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</si>
  <si>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</si>
  <si>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</si>
  <si>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</si>
  <si>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</si>
  <si>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</si>
  <si>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</si>
  <si>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</si>
  <si>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</si>
  <si>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</si>
  <si>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</si>
  <si>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</si>
  <si>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</si>
  <si>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</si>
  <si>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</si>
  <si>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</si>
  <si>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</si>
  <si>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</si>
  <si>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</si>
  <si>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</si>
  <si>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</si>
  <si>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</si>
  <si>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</si>
  <si>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</si>
  <si>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</si>
  <si>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</si>
  <si>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</si>
  <si>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</si>
  <si>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</si>
  <si>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</si>
  <si>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</si>
  <si>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</si>
  <si>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</si>
  <si>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</si>
  <si>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</si>
  <si>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</si>
  <si>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</si>
  <si>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</si>
  <si>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</si>
  <si>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</si>
  <si>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</si>
  <si>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</si>
  <si>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</si>
  <si>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</si>
  <si>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</si>
  <si>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</si>
  <si>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</si>
  <si>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</si>
  <si>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</si>
  <si>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</si>
  <si>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</si>
  <si>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</si>
  <si>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</si>
  <si>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</si>
  <si>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</si>
  <si>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</si>
  <si>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</si>
  <si>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</si>
  <si>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</si>
  <si>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</si>
  <si>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</si>
  <si>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</si>
  <si>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</si>
  <si>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</si>
  <si>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</si>
  <si>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</si>
  <si>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</si>
  <si>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</si>
  <si>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</si>
  <si>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</si>
  <si>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</si>
  <si>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</si>
  <si>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</si>
  <si>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</si>
  <si>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</si>
  <si>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</si>
  <si>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</si>
  <si>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</si>
  <si>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</si>
  <si>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</si>
  <si>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</si>
  <si>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</si>
  <si>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</si>
  <si>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</si>
  <si>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</si>
  <si>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</si>
  <si>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</si>
  <si>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</si>
  <si>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</si>
  <si>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</si>
  <si>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</si>
  <si>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</si>
  <si>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</si>
  <si>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</si>
  <si>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</si>
  <si>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</si>
  <si>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</si>
  <si>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</si>
  <si>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</si>
  <si>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</si>
  <si>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GULF AIR BAHRAIN GRAND PRIX 2026 - SUSPENSA</t>
  </si>
  <si>
    <t>SUSPENSA - FORMULA 1 STC SAUDI ARABIAN GRAND PRIX 2026 - SUSPENSA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</si>
</sst>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Lance Stroll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51</c:v>
                </c:pt>
                <c:pt idx="3">
                  <c:v>51</c:v>
                </c:pt>
                <c:pt idx="4">
                  <c:v>51</c:v>
                </c:pt>
                <c:pt idx="5">
                  <c:v>51</c:v>
                </c:pt>
                <c:pt idx="6">
                  <c:v>51</c:v>
                </c:pt>
                <c:pt idx="7">
                  <c:v>51</c:v>
                </c:pt>
                <c:pt idx="8">
                  <c:v>51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51</c:v>
                </c:pt>
                <c:pt idx="13">
                  <c:v>51</c:v>
                </c:pt>
                <c:pt idx="14">
                  <c:v>51</c:v>
                </c:pt>
                <c:pt idx="15">
                  <c:v>51</c:v>
                </c:pt>
                <c:pt idx="16">
                  <c:v>51</c:v>
                </c:pt>
                <c:pt idx="17">
                  <c:v>51</c:v>
                </c:pt>
                <c:pt idx="18">
                  <c:v>51</c:v>
                </c:pt>
                <c:pt idx="19">
                  <c:v>51</c:v>
                </c:pt>
                <c:pt idx="20">
                  <c:v>51</c:v>
                </c:pt>
                <c:pt idx="21">
                  <c:v>51</c:v>
                </c:pt>
                <c:pt idx="22">
                  <c:v>51</c:v>
                </c:pt>
                <c:pt idx="23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  <c:pt idx="12">
                  <c:v>47</c:v>
                </c:pt>
                <c:pt idx="13">
                  <c:v>47</c:v>
                </c:pt>
                <c:pt idx="14">
                  <c:v>47</c:v>
                </c:pt>
                <c:pt idx="15">
                  <c:v>47</c:v>
                </c:pt>
                <c:pt idx="16">
                  <c:v>47</c:v>
                </c:pt>
                <c:pt idx="17">
                  <c:v>47</c:v>
                </c:pt>
                <c:pt idx="18">
                  <c:v>47</c:v>
                </c:pt>
                <c:pt idx="19">
                  <c:v>47</c:v>
                </c:pt>
                <c:pt idx="20">
                  <c:v>47</c:v>
                </c:pt>
                <c:pt idx="21">
                  <c:v>47</c:v>
                </c:pt>
                <c:pt idx="22">
                  <c:v>47</c:v>
                </c:pt>
                <c:pt idx="23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34</c:v>
                </c:pt>
                <c:pt idx="5">
                  <c:v>34</c:v>
                </c:pt>
                <c:pt idx="6">
                  <c:v>34</c:v>
                </c:pt>
                <c:pt idx="7">
                  <c:v>34</c:v>
                </c:pt>
                <c:pt idx="8">
                  <c:v>34</c:v>
                </c:pt>
                <c:pt idx="9">
                  <c:v>34</c:v>
                </c:pt>
                <c:pt idx="10">
                  <c:v>34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34</c:v>
                </c:pt>
                <c:pt idx="19">
                  <c:v>34</c:v>
                </c:pt>
                <c:pt idx="20">
                  <c:v>34</c:v>
                </c:pt>
                <c:pt idx="21">
                  <c:v>34</c:v>
                </c:pt>
                <c:pt idx="22">
                  <c:v>34</c:v>
                </c:pt>
                <c:pt idx="23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33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33</c:v>
                </c:pt>
                <c:pt idx="9">
                  <c:v>33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Valtteri Bottas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98</c:v>
                </c:pt>
                <c:pt idx="3">
                  <c:v>98</c:v>
                </c:pt>
                <c:pt idx="4">
                  <c:v>98</c:v>
                </c:pt>
                <c:pt idx="5">
                  <c:v>98</c:v>
                </c:pt>
                <c:pt idx="6">
                  <c:v>98</c:v>
                </c:pt>
                <c:pt idx="7">
                  <c:v>98</c:v>
                </c:pt>
                <c:pt idx="8">
                  <c:v>98</c:v>
                </c:pt>
                <c:pt idx="9">
                  <c:v>98</c:v>
                </c:pt>
                <c:pt idx="10">
                  <c:v>98</c:v>
                </c:pt>
                <c:pt idx="11">
                  <c:v>98</c:v>
                </c:pt>
                <c:pt idx="12">
                  <c:v>98</c:v>
                </c:pt>
                <c:pt idx="13">
                  <c:v>98</c:v>
                </c:pt>
                <c:pt idx="14">
                  <c:v>98</c:v>
                </c:pt>
                <c:pt idx="15">
                  <c:v>98</c:v>
                </c:pt>
                <c:pt idx="16">
                  <c:v>98</c:v>
                </c:pt>
                <c:pt idx="17">
                  <c:v>98</c:v>
                </c:pt>
                <c:pt idx="18">
                  <c:v>98</c:v>
                </c:pt>
                <c:pt idx="19">
                  <c:v>98</c:v>
                </c:pt>
                <c:pt idx="20">
                  <c:v>98</c:v>
                </c:pt>
                <c:pt idx="21">
                  <c:v>98</c:v>
                </c:pt>
                <c:pt idx="22">
                  <c:v>98</c:v>
                </c:pt>
                <c:pt idx="23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  <c:pt idx="12">
                  <c:v>67</c:v>
                </c:pt>
                <c:pt idx="13">
                  <c:v>67</c:v>
                </c:pt>
                <c:pt idx="14">
                  <c:v>67</c:v>
                </c:pt>
                <c:pt idx="15">
                  <c:v>67</c:v>
                </c:pt>
                <c:pt idx="16">
                  <c:v>67</c:v>
                </c:pt>
                <c:pt idx="17">
                  <c:v>67</c:v>
                </c:pt>
                <c:pt idx="18">
                  <c:v>67</c:v>
                </c:pt>
                <c:pt idx="19">
                  <c:v>67</c:v>
                </c:pt>
                <c:pt idx="20">
                  <c:v>67</c:v>
                </c:pt>
                <c:pt idx="21">
                  <c:v>67</c:v>
                </c:pt>
                <c:pt idx="22">
                  <c:v>67</c:v>
                </c:pt>
                <c:pt idx="23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18</c:v>
                </c:pt>
                <c:pt idx="17">
                  <c:v>18</c:v>
                </c:pt>
                <c:pt idx="18">
                  <c:v>18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Cadillac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1" t="s">
        <v>274</v>
      </c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2" t="s">
        <v>275</v>
      </c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6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15</v>
      </c>
      <c r="F3" s="7">
        <f>IF(B3&lt;&gt;"",SUMPRODUCT((Resultados!$B$1:$B$602=1)*(Resultados!$C$1:$C$602=B3)*1),"")</f>
        <v>0</v>
      </c>
      <c r="G3" s="7">
        <f>IF(B3&lt;&gt;"",SUMPRODUCT((Resultados!$B$1:$B$602=2)*(Resultados!$C$1:$C$602=B3)*1),"")</f>
        <v>0</v>
      </c>
      <c r="H3" s="7">
        <f>IF(B3&lt;&gt;"",SUMPRODUCT((Resultados!$B$1:$B$602=3)*(Resultados!$C$1:$C$602=B3)*1),"")</f>
        <v>0</v>
      </c>
      <c r="I3" s="7">
        <f>IF(B3&lt;&gt;"",SUMPRODUCT((Resultados!$B$1:$B$602=4)*(Resultados!$C$1:$C$602=B3)*1),"")</f>
        <v>1</v>
      </c>
      <c r="J3" s="7">
        <f>IF(B3&lt;&gt;"",SUMPRODUCT((Resultados!$B$1:$B$602=5)*(Resultados!$C$1:$C$602=B3)*1),"")</f>
        <v>1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0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0</v>
      </c>
      <c r="X3" s="7">
        <f>IF(B3&lt;&gt;"",SUMPRODUCT((Resultados!$B$1:$B$602=19)*(Resultados!$C$1:$C$602=B3)*1),"")</f>
        <v>0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12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3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0</v>
      </c>
      <c r="H4" s="7">
        <f>IF(B4&lt;&gt;"",SUMPRODUCT((Resultados!$B$1:$B$602=3)*(Resultados!$C$1:$C$602=B4)*1),"")</f>
        <v>0</v>
      </c>
      <c r="I4" s="7">
        <f>IF(B4&lt;&gt;"",SUMPRODUCT((Resultados!$B$1:$B$602=4)*(Resultados!$C$1:$C$602=B4)*1),"")</f>
        <v>0</v>
      </c>
      <c r="J4" s="7">
        <f>IF(B4&lt;&gt;"",SUMPRODUCT((Resultados!$B$1:$B$602=5)*(Resultados!$C$1:$C$602=B4)*1),"")</f>
        <v>0</v>
      </c>
      <c r="K4" s="7">
        <f>IF(B4&lt;&gt;"",SUMPRODUCT((Resultados!$B$1:$B$602=6)*(Resultados!$C$1:$C$602=B4)*1),"")</f>
        <v>1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0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1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51</v>
      </c>
      <c r="F5" s="7">
        <f>IF(B5&lt;&gt;"",SUMPRODUCT((Resultados!$B$1:$B$602=1)*(Resultados!$C$1:$C$602=B5)*1),"")</f>
        <v>2</v>
      </c>
      <c r="G5" s="7">
        <f>IF(B5&lt;&gt;"",SUMPRODUCT((Resultados!$B$1:$B$602=2)*(Resultados!$C$1:$C$602=B5)*1),"")</f>
        <v>1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0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0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0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2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47</v>
      </c>
      <c r="F6" s="7">
        <f>IF(B6&lt;&gt;"",SUMPRODUCT((Resultados!$B$1:$B$602=1)*(Resultados!$C$1:$C$602=B6)*1),"")</f>
        <v>1</v>
      </c>
      <c r="G6" s="7">
        <f>IF(B6&lt;&gt;"",SUMPRODUCT((Resultados!$B$1:$B$602=2)*(Resultados!$C$1:$C$602=B6)*1),"")</f>
        <v>1</v>
      </c>
      <c r="H6" s="7">
        <f>IF(B6&lt;&gt;"",SUMPRODUCT((Resultados!$B$1:$B$602=3)*(Resultados!$C$1:$C$602=B6)*1),"")</f>
        <v>0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1</v>
      </c>
      <c r="K6" s="7">
        <f>IF(B6&lt;&gt;"",SUMPRODUCT((Resultados!$B$1:$B$602=6)*(Resultados!$C$1:$C$602=B6)*1),"")</f>
        <v>0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0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8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8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0</v>
      </c>
      <c r="H7" s="7">
        <f>IF(B7&lt;&gt;"",SUMPRODUCT((Resultados!$B$1:$B$602=3)*(Resultados!$C$1:$C$602=B7)*1),"")</f>
        <v>0</v>
      </c>
      <c r="I7" s="7">
        <f>IF(B7&lt;&gt;"",SUMPRODUCT((Resultados!$B$1:$B$602=4)*(Resultados!$C$1:$C$602=B7)*1),"")</f>
        <v>0</v>
      </c>
      <c r="J7" s="7">
        <f>IF(B7&lt;&gt;"",SUMPRODUCT((Resultados!$B$1:$B$602=5)*(Resultados!$C$1:$C$602=B7)*1),"")</f>
        <v>0</v>
      </c>
      <c r="K7" s="7">
        <f>IF(B7&lt;&gt;"",SUMPRODUCT((Resultados!$B$1:$B$602=6)*(Resultados!$C$1:$C$602=B7)*1),"")</f>
        <v>1</v>
      </c>
      <c r="L7" s="7">
        <f>IF(B7&lt;&gt;"",SUMPRODUCT((Resultados!$B$1:$B$602=7)*(Resultados!$C$1:$C$602=B7)*1),"")</f>
        <v>0</v>
      </c>
      <c r="M7" s="7">
        <f>IF(B7&lt;&gt;"",SUMPRODUCT((Resultados!$B$1:$B$602=8)*(Resultados!$C$1:$C$602=B7)*1),"")</f>
        <v>0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0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11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4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0</v>
      </c>
      <c r="K8" s="7">
        <f>IF(B8&lt;&gt;"",SUMPRODUCT((Resultados!$B$1:$B$602=6)*(Resultados!$C$1:$C$602=B8)*1),"")</f>
        <v>0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0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0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0</v>
      </c>
      <c r="AA8" s="7">
        <f>IF(B8&lt;&gt;"",SUMPRODUCT((Resultados!$B$1:$B$602=22)*(Resultados!$C$1:$C$602=B8)*1),"")</f>
        <v>0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1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3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34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1</v>
      </c>
      <c r="H9" s="7">
        <f>IF(B9&lt;&gt;"",SUMPRODUCT((Resultados!$B$1:$B$602=3)*(Resultados!$C$1:$C$602=B9)*1),"")</f>
        <v>1</v>
      </c>
      <c r="I9" s="7">
        <f>IF(B9&lt;&gt;"",SUMPRODUCT((Resultados!$B$1:$B$602=4)*(Resultados!$C$1:$C$602=B9)*1),"")</f>
        <v>1</v>
      </c>
      <c r="J9" s="7">
        <f>IF(B9&lt;&gt;"",SUMPRODUCT((Resultados!$B$1:$B$602=5)*(Resultados!$C$1:$C$602=B9)*1),"")</f>
        <v>0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0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0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0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4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33</v>
      </c>
      <c r="F10" s="7">
        <f>IF(B10&lt;&gt;"",SUMPRODUCT((Resultados!$B$1:$B$602=1)*(Resultados!$C$1:$C$602=B10)*1),"")</f>
        <v>0</v>
      </c>
      <c r="G10" s="7">
        <f>IF(B10&lt;&gt;"",SUMPRODUCT((Resultados!$B$1:$B$602=2)*(Resultados!$C$1:$C$602=B10)*1),"")</f>
        <v>0</v>
      </c>
      <c r="H10" s="7">
        <f>IF(B10&lt;&gt;"",SUMPRODUCT((Resultados!$B$1:$B$602=3)*(Resultados!$C$1:$C$602=B10)*1),"")</f>
        <v>2</v>
      </c>
      <c r="I10" s="7">
        <f>IF(B10&lt;&gt;"",SUMPRODUCT((Resultados!$B$1:$B$602=4)*(Resultados!$C$1:$C$602=B10)*1),"")</f>
        <v>1</v>
      </c>
      <c r="J10" s="7">
        <f>IF(B10&lt;&gt;"",SUMPRODUCT((Resultados!$B$1:$B$602=5)*(Resultados!$C$1:$C$602=B10)*1),"")</f>
        <v>0</v>
      </c>
      <c r="K10" s="7">
        <f>IF(B10&lt;&gt;"",SUMPRODUCT((Resultados!$B$1:$B$602=6)*(Resultados!$C$1:$C$602=B10)*1),"")</f>
        <v>0</v>
      </c>
      <c r="L10" s="7">
        <f>IF(B10&lt;&gt;"",SUMPRODUCT((Resultados!$B$1:$B$602=7)*(Resultados!$C$1:$C$602=B10)*1),"")</f>
        <v>0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18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0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0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0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1</v>
      </c>
      <c r="V11" s="7">
        <f>IF(B11&lt;&gt;"",SUMPRODUCT((Resultados!$B$1:$B$602=17)*(Resultados!$C$1:$C$602=B11)*1),"")</f>
        <v>0</v>
      </c>
      <c r="W11" s="7">
        <f>IF(B11&lt;&gt;"",SUMPRODUCT((Resultados!$B$1:$B$602=18)*(Resultados!$C$1:$C$602=B11)*1),"")</f>
        <v>0</v>
      </c>
      <c r="X11" s="7">
        <f>IF(B11&lt;&gt;"",SUMPRODUCT((Resultados!$B$1:$B$602=19)*(Resultados!$C$1:$C$602=B11)*1),"")</f>
        <v>0</v>
      </c>
      <c r="Y11" s="7">
        <f>IF(B11&lt;&gt;"",SUMPRODUCT((Resultados!$B$1:$B$602=20)*(Resultados!$C$1:$C$602=B11)*1),"")</f>
        <v>0</v>
      </c>
      <c r="Z11" s="7">
        <f>IF(B11&lt;&gt;"",SUMPRODUCT((Resultados!$B$1:$B$602=21)*(Resultados!$C$1:$C$602=B11)*1),"")</f>
        <v>0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1</v>
      </c>
      <c r="AN11" s="6">
        <f t="shared" si="11"/>
        <v>1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13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2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1</v>
      </c>
      <c r="O12" s="7">
        <f>IF(B12&lt;&gt;"",SUMPRODUCT((Resultados!$B$1:$B$602=10)*(Resultados!$C$1:$C$602=B12)*1),"")</f>
        <v>0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1</v>
      </c>
      <c r="R12" s="7">
        <f>IF(B12&lt;&gt;"",SUMPRODUCT((Resultados!$B$1:$B$602=13)*(Resultados!$C$1:$C$602=B12)*1),"")</f>
        <v>0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1</v>
      </c>
      <c r="U12" s="7">
        <f>IF(B12&lt;&gt;"",SUMPRODUCT((Resultados!$B$1:$B$602=16)*(Resultados!$C$1:$C$602=B12)*1),"")</f>
        <v>0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0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9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8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0</v>
      </c>
      <c r="L13" s="7">
        <f>IF(B13&lt;&gt;"",SUMPRODUCT((Resultados!$B$1:$B$602=7)*(Resultados!$C$1:$C$602=B13)*1),"")</f>
        <v>2</v>
      </c>
      <c r="M13" s="7">
        <f>IF(B13&lt;&gt;"",SUMPRODUCT((Resultados!$B$1:$B$602=8)*(Resultados!$C$1:$C$602=B13)*1),"")</f>
        <v>0</v>
      </c>
      <c r="N13" s="7">
        <f>IF(B13&lt;&gt;"",SUMPRODUCT((Resultados!$B$1:$B$602=9)*(Resultados!$C$1:$C$602=B13)*1),"")</f>
        <v>0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0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0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0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1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10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4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0</v>
      </c>
      <c r="M14" s="7">
        <f>IF(B14&lt;&gt;"",SUMPRODUCT((Resultados!$B$1:$B$602=8)*(Resultados!$C$1:$C$602=B14)*1),"")</f>
        <v>1</v>
      </c>
      <c r="N14" s="7">
        <f>IF(B14&lt;&gt;"",SUMPRODUCT((Resultados!$B$1:$B$602=9)*(Resultados!$C$1:$C$602=B14)*1),"")</f>
        <v>0</v>
      </c>
      <c r="O14" s="7">
        <f>IF(B14&lt;&gt;"",SUMPRODUCT((Resultados!$B$1:$B$602=10)*(Resultados!$C$1:$C$602=B14)*1),"")</f>
        <v>0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1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0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0</v>
      </c>
      <c r="AA14" s="7">
        <f>IF(B14&lt;&gt;"",SUMPRODUCT((Resultados!$B$1:$B$602=22)*(Resultados!$C$1:$C$602=B14)*1),"")</f>
        <v>1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0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0</v>
      </c>
      <c r="O15" s="7">
        <f>IF(B15&lt;&gt;"",SUMPRODUCT((Resultados!$B$1:$B$602=10)*(Resultados!$C$1:$C$602=B15)*1),"")</f>
        <v>1</v>
      </c>
      <c r="P15" s="7">
        <f>IF(B15&lt;&gt;"",SUMPRODUCT((Resultados!$B$1:$B$602=11)*(Resultados!$C$1:$C$602=B15)*1),"")</f>
        <v>1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0</v>
      </c>
      <c r="S15" s="7">
        <f>IF(B15&lt;&gt;"",SUMPRODUCT((Resultados!$B$1:$B$602=14)*(Resultados!$C$1:$C$602=B15)*1),"")</f>
        <v>1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0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5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17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0</v>
      </c>
      <c r="P16" s="7">
        <f>IF(B16&lt;&gt;"",SUMPRODUCT((Resultados!$B$1:$B$602=11)*(Resultados!$C$1:$C$602=B16)*1),"")</f>
        <v>0</v>
      </c>
      <c r="Q16" s="7">
        <f>IF(B16&lt;&gt;"",SUMPRODUCT((Resultados!$B$1:$B$602=12)*(Resultados!$C$1:$C$602=B16)*1),"")</f>
        <v>0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0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0</v>
      </c>
      <c r="W16" s="7">
        <f>IF(B16&lt;&gt;"",SUMPRODUCT((Resultados!$B$1:$B$602=18)*(Resultados!$C$1:$C$602=B16)*1),"")</f>
        <v>0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0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0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22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0</v>
      </c>
      <c r="U17" s="7">
        <f>IF(B17&lt;&gt;"",SUMPRODUCT((Resultados!$B$1:$B$602=16)*(Resultados!$C$1:$C$602=B17)*1),"")</f>
        <v>0</v>
      </c>
      <c r="V17" s="7">
        <f>IF(B17&lt;&gt;"",SUMPRODUCT((Resultados!$B$1:$B$602=17)*(Resultados!$C$1:$C$602=B17)*1),"")</f>
        <v>1</v>
      </c>
      <c r="W17" s="7">
        <f>IF(B17&lt;&gt;"",SUMPRODUCT((Resultados!$B$1:$B$602=18)*(Resultados!$C$1:$C$602=B17)*1),"")</f>
        <v>2</v>
      </c>
      <c r="X17" s="7">
        <f>IF(B17&lt;&gt;"",SUMPRODUCT((Resultados!$B$1:$B$602=19)*(Resultados!$C$1:$C$602=B17)*1),"")</f>
        <v>0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0</v>
      </c>
      <c r="AA17" s="7">
        <f>IF(B17&lt;&gt;"",SUMPRODUCT((Resultados!$B$1:$B$602=22)*(Resultados!$C$1:$C$602=B17)*1),"")</f>
        <v>0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1</v>
      </c>
      <c r="AN17" s="6">
        <f t="shared" si="11"/>
        <v>1</v>
      </c>
      <c r="AO17" s="6">
        <f t="shared" si="12"/>
        <v>1</v>
      </c>
      <c r="AP17" s="6">
        <f t="shared" si="13"/>
        <v>1</v>
      </c>
      <c r="AQ17" s="6">
        <f t="shared" si="14"/>
        <v>0</v>
      </c>
      <c r="AR17" s="6">
        <f t="shared" si="15"/>
        <v>1</v>
      </c>
      <c r="AS17" s="6">
        <f t="shared" si="16"/>
        <v>0</v>
      </c>
      <c r="AT17" s="6">
        <f t="shared" si="17"/>
        <v>1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21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0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0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0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2</v>
      </c>
      <c r="W18" s="7">
        <f>IF(B18&lt;&gt;"",SUMPRODUCT((Resultados!$B$1:$B$602=18)*(Resultados!$C$1:$C$602=B18)*1),"")</f>
        <v>1</v>
      </c>
      <c r="X18" s="7">
        <f>IF(B18&lt;&gt;"",SUMPRODUCT((Resultados!$B$1:$B$602=19)*(Resultados!$C$1:$C$602=B18)*1),"")</f>
        <v>0</v>
      </c>
      <c r="Y18" s="7">
        <f>IF(B18&lt;&gt;"",SUMPRODUCT((Resultados!$B$1:$B$602=20)*(Resultados!$C$1:$C$602=B18)*1),"")</f>
        <v>0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0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1</v>
      </c>
      <c r="AN18" s="6">
        <f t="shared" si="11"/>
        <v>1</v>
      </c>
      <c r="AO18" s="6">
        <f t="shared" si="12"/>
        <v>1</v>
      </c>
      <c r="AP18" s="6">
        <f t="shared" si="13"/>
        <v>1</v>
      </c>
      <c r="AQ18" s="6">
        <f t="shared" si="14"/>
        <v>0</v>
      </c>
      <c r="AR18" s="6">
        <f t="shared" si="15"/>
        <v>1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17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1</v>
      </c>
      <c r="Q19" s="7">
        <f>IF(B19&lt;&gt;"",SUMPRODUCT((Resultados!$B$1:$B$602=12)*(Resultados!$C$1:$C$602=B19)*1),"")</f>
        <v>0</v>
      </c>
      <c r="R19" s="7">
        <f>IF(B19&lt;&gt;"",SUMPRODUCT((Resultados!$B$1:$B$602=13)*(Resultados!$C$1:$C$602=B19)*1),"")</f>
        <v>0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0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0</v>
      </c>
      <c r="Y19" s="7">
        <f>IF(B19&lt;&gt;"",SUMPRODUCT((Resultados!$B$1:$B$602=20)*(Resultados!$C$1:$C$602=B19)*1),"")</f>
        <v>1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1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1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14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2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1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0</v>
      </c>
      <c r="Q20" s="7">
        <f>IF(B20&lt;&gt;"",SUMPRODUCT((Resultados!$B$1:$B$602=12)*(Resultados!$C$1:$C$602=B20)*1),"")</f>
        <v>0</v>
      </c>
      <c r="R20" s="7">
        <f>IF(B20&lt;&gt;"",SUMPRODUCT((Resultados!$B$1:$B$602=13)*(Resultados!$C$1:$C$602=B20)*1),"")</f>
        <v>1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0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1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7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9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0</v>
      </c>
      <c r="M21" s="7">
        <f>IF(B21&lt;&gt;"",SUMPRODUCT((Resultados!$B$1:$B$602=8)*(Resultados!$C$1:$C$602=B21)*1),"")</f>
        <v>0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1</v>
      </c>
      <c r="P21" s="7">
        <f>IF(B21&lt;&gt;"",SUMPRODUCT((Resultados!$B$1:$B$602=11)*(Resultados!$C$1:$C$602=B21)*1),"")</f>
        <v>1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0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0</v>
      </c>
      <c r="Z21" s="7">
        <f>IF(B21&lt;&gt;"",SUMPRODUCT((Resultados!$B$1:$B$602=21)*(Resultados!$C$1:$C$602=B21)*1),"")</f>
        <v>0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15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1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0</v>
      </c>
      <c r="L22" s="7">
        <f>IF(B22&lt;&gt;"",SUMPRODUCT((Resultados!$B$1:$B$602=7)*(Resultados!$C$1:$C$602=B22)*1),"")</f>
        <v>0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0</v>
      </c>
      <c r="O22" s="7">
        <f>IF(B22&lt;&gt;"",SUMPRODUCT((Resultados!$B$1:$B$602=10)*(Resultados!$C$1:$C$602=B22)*1),"")</f>
        <v>1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2</v>
      </c>
      <c r="T22" s="7">
        <f>IF(B22&lt;&gt;"",SUMPRODUCT((Resultados!$B$1:$B$602=15)*(Resultados!$C$1:$C$602=B22)*1),"")</f>
        <v>0</v>
      </c>
      <c r="U22" s="7">
        <f>IF(B22&lt;&gt;"",SUMPRODUCT((Resultados!$B$1:$B$602=16)*(Resultados!$C$1:$C$602=B22)*1),"")</f>
        <v>0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20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0</v>
      </c>
      <c r="T23" s="7">
        <f>IF(B23&lt;&gt;"",SUMPRODUCT((Resultados!$B$1:$B$602=15)*(Resultados!$C$1:$C$602=B23)*1),"")</f>
        <v>1</v>
      </c>
      <c r="U23" s="7">
        <f>IF(B23&lt;&gt;"",SUMPRODUCT((Resultados!$B$1:$B$602=16)*(Resultados!$C$1:$C$602=B23)*1),"")</f>
        <v>1</v>
      </c>
      <c r="V23" s="7">
        <f>IF(B23&lt;&gt;"",SUMPRODUCT((Resultados!$B$1:$B$602=17)*(Resultados!$C$1:$C$602=B23)*1),"")</f>
        <v>0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1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0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1</v>
      </c>
      <c r="AN23" s="6">
        <f t="shared" si="11"/>
        <v>1</v>
      </c>
      <c r="AO23" s="6">
        <f t="shared" si="12"/>
        <v>1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19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0</v>
      </c>
      <c r="V24" s="7">
        <f>IF(B24&lt;&gt;"",SUMPRODUCT((Resultados!$B$1:$B$602=17)*(Resultados!$C$1:$C$602=B24)*1),"")</f>
        <v>0</v>
      </c>
      <c r="W24" s="7">
        <f>IF(B24&lt;&gt;"",SUMPRODUCT((Resultados!$B$1:$B$602=18)*(Resultados!$C$1:$C$602=B24)*1),"")</f>
        <v>0</v>
      </c>
      <c r="X24" s="7">
        <f>IF(B24&lt;&gt;"",SUMPRODUCT((Resultados!$B$1:$B$602=19)*(Resultados!$C$1:$C$602=B24)*1),"")</f>
        <v>1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1</v>
      </c>
      <c r="AA24" s="7">
        <f>IF(B24&lt;&gt;"",SUMPRODUCT((Resultados!$B$1:$B$602=22)*(Resultados!$C$1:$C$602=B24)*1),"")</f>
        <v>0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1</v>
      </c>
      <c r="AN24" s="6">
        <f t="shared" si="11"/>
        <v>1</v>
      </c>
      <c r="AO24" s="6">
        <f t="shared" si="12"/>
        <v>1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18</v>
      </c>
      <c r="F35" s="7">
        <f>IF(B35&lt;&gt;"",SUMPRODUCT((Resultados!$B$1:$B$602=1)*(Resultados!$E$1:$E$602=B35)*1),"")</f>
        <v>0</v>
      </c>
      <c r="G35" s="7">
        <f>IF(B35&lt;&gt;"",SUMPRODUCT((Resultados!$B$1:$B$602=2)*(Resultados!$E$1:$E$602=B35)*1),"")</f>
        <v>0</v>
      </c>
      <c r="H35" s="7">
        <f>IF(B35&lt;&gt;"",SUMPRODUCT((Resultados!$B$1:$B$602=3)*(Resultados!$E$1:$E$602=B35)*1),"")</f>
        <v>0</v>
      </c>
      <c r="I35" s="7">
        <f>IF(B35&lt;&gt;"",SUMPRODUCT((Resultados!$B$1:$B$602=4)*(Resultados!$E$1:$E$602=B35)*1),"")</f>
        <v>1</v>
      </c>
      <c r="J35" s="7">
        <f>IF(B35&lt;&gt;"",SUMPRODUCT((Resultados!$B$1:$B$602=5)*(Resultados!$E$1:$E$602=B35)*1),"")</f>
        <v>1</v>
      </c>
      <c r="K35" s="7">
        <f>IF(B35&lt;&gt;"",SUMPRODUCT((Resultados!$B$1:$B$602=6)*(Resultados!$E$1:$E$602=B35)*1),"")</f>
        <v>1</v>
      </c>
      <c r="L35" s="7">
        <f>IF(B35&lt;&gt;"",SUMPRODUCT((Resultados!$B$1:$B$602=7)*(Resultados!$E$1:$E$602=B35)*1),"")</f>
        <v>0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0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0</v>
      </c>
      <c r="X35" s="7">
        <f>IF(B35&lt;&gt;"",SUMPRODUCT((Resultados!$B$1:$B$602=19)*(Resultados!$E$1:$E$602=B35)*1),"")</f>
        <v>1</v>
      </c>
      <c r="Y35" s="7">
        <f>IF(B35&lt;&gt;"",SUMPRODUCT((Resultados!$B$1:$B$602=20)*(Resultados!$E$1:$E$602=B35)*1),"")</f>
        <v>1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98</v>
      </c>
      <c r="F36" s="7">
        <f>IF(B36&lt;&gt;"",SUMPRODUCT((Resultados!$B$1:$B$602=1)*(Resultados!$E$1:$E$602=B36)*1),"")</f>
        <v>3</v>
      </c>
      <c r="G36" s="7">
        <f>IF(B36&lt;&gt;"",SUMPRODUCT((Resultados!$B$1:$B$602=2)*(Resultados!$E$1:$E$602=B36)*1),"")</f>
        <v>2</v>
      </c>
      <c r="H36" s="7">
        <f>IF(B36&lt;&gt;"",SUMPRODUCT((Resultados!$B$1:$B$602=3)*(Resultados!$E$1:$E$602=B36)*1),"")</f>
        <v>0</v>
      </c>
      <c r="I36" s="7">
        <f>IF(B36&lt;&gt;"",SUMPRODUCT((Resultados!$B$1:$B$602=4)*(Resultados!$E$1:$E$602=B36)*1),"")</f>
        <v>0</v>
      </c>
      <c r="J36" s="7">
        <f>IF(B36&lt;&gt;"",SUMPRODUCT((Resultados!$B$1:$B$602=5)*(Resultados!$E$1:$E$602=B36)*1),"")</f>
        <v>1</v>
      </c>
      <c r="K36" s="7">
        <f>IF(B36&lt;&gt;"",SUMPRODUCT((Resultados!$B$1:$B$602=6)*(Resultados!$E$1:$E$602=B36)*1),"")</f>
        <v>0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0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0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0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5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12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0</v>
      </c>
      <c r="H37" s="7">
        <f>IF(B37&lt;&gt;"",SUMPRODUCT((Resultados!$B$1:$B$602=3)*(Resultados!$E$1:$E$602=B37)*1),"")</f>
        <v>0</v>
      </c>
      <c r="I37" s="7">
        <f>IF(B37&lt;&gt;"",SUMPRODUCT((Resultados!$B$1:$B$602=4)*(Resultados!$E$1:$E$602=B37)*1),"")</f>
        <v>0</v>
      </c>
      <c r="J37" s="7">
        <f>IF(B37&lt;&gt;"",SUMPRODUCT((Resultados!$B$1:$B$602=5)*(Resultados!$E$1:$E$602=B37)*1),"")</f>
        <v>0</v>
      </c>
      <c r="K37" s="7">
        <f>IF(B37&lt;&gt;"",SUMPRODUCT((Resultados!$B$1:$B$602=6)*(Resultados!$E$1:$E$602=B37)*1),"")</f>
        <v>1</v>
      </c>
      <c r="L37" s="7">
        <f>IF(B37&lt;&gt;"",SUMPRODUCT((Resultados!$B$1:$B$602=7)*(Resultados!$E$1:$E$602=B37)*1),"")</f>
        <v>0</v>
      </c>
      <c r="M37" s="7">
        <f>IF(B37&lt;&gt;"",SUMPRODUCT((Resultados!$B$1:$B$602=8)*(Resultados!$E$1:$E$602=B37)*1),"")</f>
        <v>1</v>
      </c>
      <c r="N37" s="7">
        <f>IF(B37&lt;&gt;"",SUMPRODUCT((Resultados!$B$1:$B$602=9)*(Resultados!$E$1:$E$602=B37)*1),"")</f>
        <v>1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0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1</v>
      </c>
      <c r="Z37" s="7">
        <f>IF(B37&lt;&gt;"",SUMPRODUCT((Resultados!$B$1:$B$602=21)*(Resultados!$E$1:$E$602=B37)*1),"")</f>
        <v>0</v>
      </c>
      <c r="AA37" s="7">
        <f>IF(B37&lt;&gt;"",SUMPRODUCT((Resultados!$B$1:$B$602=22)*(Resultados!$E$1:$E$602=B37)*1),"")</f>
        <v>0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67</v>
      </c>
      <c r="F38" s="7">
        <f>IF(B38&lt;&gt;"",SUMPRODUCT((Resultados!$B$1:$B$602=1)*(Resultados!$E$1:$E$602=B38)*1),"")</f>
        <v>0</v>
      </c>
      <c r="G38" s="7">
        <f>IF(B38&lt;&gt;"",SUMPRODUCT((Resultados!$B$1:$B$602=2)*(Resultados!$E$1:$E$602=B38)*1),"")</f>
        <v>1</v>
      </c>
      <c r="H38" s="7">
        <f>IF(B38&lt;&gt;"",SUMPRODUCT((Resultados!$B$1:$B$602=3)*(Resultados!$E$1:$E$602=B38)*1),"")</f>
        <v>3</v>
      </c>
      <c r="I38" s="7">
        <f>IF(B38&lt;&gt;"",SUMPRODUCT((Resultados!$B$1:$B$602=4)*(Resultados!$E$1:$E$602=B38)*1),"")</f>
        <v>2</v>
      </c>
      <c r="J38" s="7">
        <f>IF(B38&lt;&gt;"",SUMPRODUCT((Resultados!$B$1:$B$602=5)*(Resultados!$E$1:$E$602=B38)*1),"")</f>
        <v>0</v>
      </c>
      <c r="K38" s="7">
        <f>IF(B38&lt;&gt;"",SUMPRODUCT((Resultados!$B$1:$B$602=6)*(Resultados!$E$1:$E$602=B38)*1),"")</f>
        <v>0</v>
      </c>
      <c r="L38" s="7">
        <f>IF(B38&lt;&gt;"",SUMPRODUCT((Resultados!$B$1:$B$602=7)*(Resultados!$E$1:$E$602=B38)*1),"")</f>
        <v>0</v>
      </c>
      <c r="M38" s="7">
        <f>IF(B38&lt;&gt;"",SUMPRODUCT((Resultados!$B$1:$B$602=8)*(Resultados!$E$1:$E$602=B38)*1),"")</f>
        <v>0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0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0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2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0</v>
      </c>
      <c r="N39" s="7">
        <f>IF(B39&lt;&gt;"",SUMPRODUCT((Resultados!$B$1:$B$602=9)*(Resultados!$E$1:$E$602=B39)*1),"")</f>
        <v>1</v>
      </c>
      <c r="O39" s="7">
        <f>IF(B39&lt;&gt;"",SUMPRODUCT((Resultados!$B$1:$B$602=10)*(Resultados!$E$1:$E$602=B39)*1),"")</f>
        <v>0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2</v>
      </c>
      <c r="R39" s="7">
        <f>IF(B39&lt;&gt;"",SUMPRODUCT((Resultados!$B$1:$B$602=13)*(Resultados!$E$1:$ED$602=B39)*1),"")</f>
        <v>0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1</v>
      </c>
      <c r="U39" s="7">
        <f>IF(B39&lt;&gt;"",SUMPRODUCT((Resultados!$B$1:$B$602=16)*(Resultados!$E$1:$E$602=B39)*1),"")</f>
        <v>1</v>
      </c>
      <c r="V39" s="7">
        <f>IF(B39&lt;&gt;"",SUMPRODUCT((Resultados!$B$1:$B$602=17)*(Resultados!$E$1:$E$602=B39)*1),"")</f>
        <v>0</v>
      </c>
      <c r="W39" s="7">
        <f>IF(B39&lt;&gt;"",SUMPRODUCT((Resultados!$B$1:$B$602=18)*(Resultados!$E$1:$E$602=B39)*1),"")</f>
        <v>0</v>
      </c>
      <c r="X39" s="7">
        <f>IF(B39&lt;&gt;"",SUMPRODUCT((Resultados!$B$1:$B$602=19)*(Resultados!$E$1:$E$602=B39)*1),"")</f>
        <v>0</v>
      </c>
      <c r="Y39" s="7">
        <f>IF(B39&lt;&gt;"",SUMPRODUCT((Resultados!$B$1:$B$602=20)*(Resultados!$E$1:$E$602=B39)*1),"")</f>
        <v>0</v>
      </c>
      <c r="Z39" s="7">
        <f>IF(B39&lt;&gt;"",SUMPRODUCT((Resultados!$B$1:$B$602=21)*(Resultados!$E$1:$E$602=B39)*1),"")</f>
        <v>0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1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12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0</v>
      </c>
      <c r="L40" s="7">
        <f>IF(B40&lt;&gt;"",SUMPRODUCT((Resultados!$B$1:$B$602=7)*(Resultados!$E$1:$E$602=B40)*1),"")</f>
        <v>2</v>
      </c>
      <c r="M40" s="7">
        <f>IF(B40&lt;&gt;"",SUMPRODUCT((Resultados!$B$1:$B$602=8)*(Resultados!$E$1:$E$602=B40)*1),"")</f>
        <v>1</v>
      </c>
      <c r="N40" s="7">
        <f>IF(B40&lt;&gt;"",SUMPRODUCT((Resultados!$B$1:$B$602=9)*(Resultados!$E$1:$E$602=B40)*1),"")</f>
        <v>0</v>
      </c>
      <c r="O40" s="7">
        <f>IF(B40&lt;&gt;"",SUMPRODUCT((Resultados!$B$1:$B$602=10)*(Resultados!$E$1:$E$602=B40)*1),"")</f>
        <v>0</v>
      </c>
      <c r="P40" s="7">
        <f>IF(B40&lt;&gt;"",SUMPRODUCT((Resultados!$B$1:$B$602=11)*(Resultados!$E$1:$E$602=B40)*1),"")</f>
        <v>0</v>
      </c>
      <c r="Q40" s="7">
        <f>IF(B40&lt;&gt;"",SUMPRODUCT((Resultados!$B$1:$B$602=12)*(Resultados!$E$1:$E$602=B40)*1),"")</f>
        <v>1</v>
      </c>
      <c r="R40" s="7">
        <f>IF(B40&lt;&gt;"",SUMPRODUCT((Resultados!$B$1:$B$602=13)*(Resultados!$E$1:$ED$602=B40)*1),"")</f>
        <v>1</v>
      </c>
      <c r="S40" s="7">
        <f>IF(B40&lt;&gt;"",SUMPRODUCT((Resultados!$B$1:$B$602=14)*(Resultados!$E$1:$E$602=B40)*1),"")</f>
        <v>0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0</v>
      </c>
      <c r="Z40" s="7">
        <f>IF(B40&lt;&gt;"",SUMPRODUCT((Resultados!$B$1:$B$602=21)*(Resultados!$E$1:$E$602=B40)*1),"")</f>
        <v>0</v>
      </c>
      <c r="AA40" s="7">
        <f>IF(B40&lt;&gt;"",SUMPRODUCT((Resultados!$B$1:$B$602=22)*(Resultados!$E$1:$E$602=B40)*1),"")</f>
        <v>1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1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4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17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1</v>
      </c>
      <c r="N41" s="7">
        <f>IF(B41&lt;&gt;"",SUMPRODUCT((Resultados!$B$1:$B$602=9)*(Resultados!$E$1:$E$602=B41)*1),"")</f>
        <v>0</v>
      </c>
      <c r="O41" s="7">
        <f>IF(B41&lt;&gt;"",SUMPRODUCT((Resultados!$B$1:$B$602=10)*(Resultados!$E$1:$E$602=B41)*1),"")</f>
        <v>1</v>
      </c>
      <c r="P41" s="7">
        <f>IF(B41&lt;&gt;"",SUMPRODUCT((Resultados!$B$1:$B$602=11)*(Resultados!$E$1:$E$602=B41)*1),"")</f>
        <v>1</v>
      </c>
      <c r="Q41" s="7">
        <f>IF(B41&lt;&gt;"",SUMPRODUCT((Resultados!$B$1:$B$602=12)*(Resultados!$E$1:$E$602=B41)*1),"")</f>
        <v>0</v>
      </c>
      <c r="R41" s="7">
        <f>IF(B41&lt;&gt;"",SUMPRODUCT((Resultados!$B$1:$B$602=13)*(Resultados!$E$1:$ED$602=B41)*1),"")</f>
        <v>0</v>
      </c>
      <c r="S41" s="7">
        <f>IF(B41&lt;&gt;"",SUMPRODUCT((Resultados!$B$1:$B$602=14)*(Resultados!$E$1:$E$602=B41)*1),"")</f>
        <v>1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0</v>
      </c>
      <c r="V41" s="7">
        <f>IF(B41&lt;&gt;"",SUMPRODUCT((Resultados!$B$1:$B$602=17)*(Resultados!$E$1:$E$602=B41)*1),"")</f>
        <v>0</v>
      </c>
      <c r="W41" s="7">
        <f>IF(B41&lt;&gt;"",SUMPRODUCT((Resultados!$B$1:$B$602=18)*(Resultados!$E$1:$E$602=B41)*1),"")</f>
        <v>0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0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0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11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0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0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0</v>
      </c>
      <c r="U42" s="7">
        <f>IF(B42&lt;&gt;"",SUMPRODUCT((Resultados!$B$1:$B$602=16)*(Resultados!$E$1:$E$602=B42)*1),"")</f>
        <v>0</v>
      </c>
      <c r="V42" s="7">
        <f>IF(B42&lt;&gt;"",SUMPRODUCT((Resultados!$B$1:$B$602=17)*(Resultados!$E$1:$E$602=B42)*1),"")</f>
        <v>3</v>
      </c>
      <c r="W42" s="7">
        <f>IF(B42&lt;&gt;"",SUMPRODUCT((Resultados!$B$1:$B$602=18)*(Resultados!$E$1:$E$602=B42)*1),"")</f>
        <v>3</v>
      </c>
      <c r="X42" s="7">
        <f>IF(B42&lt;&gt;"",SUMPRODUCT((Resultados!$B$1:$B$602=19)*(Resultados!$E$1:$E$602=B42)*1),"")</f>
        <v>0</v>
      </c>
      <c r="Y42" s="7">
        <f>IF(B42&lt;&gt;"",SUMPRODUCT((Resultados!$B$1:$B$602=20)*(Resultados!$E$1:$E$602=B42)*1),"")</f>
        <v>0</v>
      </c>
      <c r="Z42" s="7">
        <f>IF(B42&lt;&gt;"",SUMPRODUCT((Resultados!$B$1:$B$602=21)*(Resultados!$E$1:$E$602=B42)*1),"")</f>
        <v>0</v>
      </c>
      <c r="AA42" s="7">
        <f>IF(B42&lt;&gt;"",SUMPRODUCT((Resultados!$B$1:$B$602=22)*(Resultados!$E$1:$E$602=B42)*1),"")</f>
        <v>0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1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8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1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1</v>
      </c>
      <c r="Q43" s="7">
        <f>IF(B43&lt;&gt;"",SUMPRODUCT((Resultados!$B$1:$B$602=12)*(Resultados!$E$1:$E$602=B43)*1),"")</f>
        <v>0</v>
      </c>
      <c r="R43" s="7">
        <f>IF(B43&lt;&gt;"",SUMPRODUCT((Resultados!$B$1:$B$602=13)*(Resultados!$E$1:$ED$602=B43)*1),"")</f>
        <v>1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0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0</v>
      </c>
      <c r="Y43" s="7">
        <f>IF(B43&lt;&gt;"",SUMPRODUCT((Resultados!$B$1:$B$602=20)*(Resultados!$E$1:$E$602=B43)*1),"")</f>
        <v>1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1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7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10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1</v>
      </c>
      <c r="L44" s="7">
        <f>IF(B44&lt;&gt;"",SUMPRODUCT((Resultados!$B$1:$B$602=7)*(Resultados!$E$1:$E$602=B44)*1),"")</f>
        <v>0</v>
      </c>
      <c r="M44" s="7">
        <f>IF(B44&lt;&gt;"",SUMPRODUCT((Resultados!$B$1:$B$602=8)*(Resultados!$E$1:$E$602=B44)*1),"")</f>
        <v>0</v>
      </c>
      <c r="N44" s="7">
        <f>IF(B44&lt;&gt;"",SUMPRODUCT((Resultados!$B$1:$B$602=9)*(Resultados!$E$1:$E$602=B44)*1),"")</f>
        <v>0</v>
      </c>
      <c r="O44" s="7">
        <f>IF(B44&lt;&gt;"",SUMPRODUCT((Resultados!$B$1:$B$602=10)*(Resultados!$E$1:$E$602=B44)*1),"")</f>
        <v>2</v>
      </c>
      <c r="P44" s="7">
        <f>IF(B44&lt;&gt;"",SUMPRODUCT((Resultados!$B$1:$B$602=11)*(Resultados!$E$1:$E$602=B44)*1),"")</f>
        <v>1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0</v>
      </c>
      <c r="S44" s="7">
        <f>IF(B44&lt;&gt;"",SUMPRODUCT((Resultados!$B$1:$B$602=14)*(Resultados!$E$1:$E$602=B44)*1),"")</f>
        <v>2</v>
      </c>
      <c r="T44" s="7">
        <f>IF(B44&lt;&gt;"",SUMPRODUCT((Resultados!$B$1:$B$602=15)*(Resultados!$E$1:$E$602=B44)*1),"")</f>
        <v>0</v>
      </c>
      <c r="U44" s="7">
        <f>IF(B44&lt;&gt;"",SUMPRODUCT((Resultados!$B$1:$B$602=16)*(Resultados!$E$1:$E$602=B44)*1),"")</f>
        <v>0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0</v>
      </c>
      <c r="Z44" s="7">
        <f>IF(B44&lt;&gt;"",SUMPRODUCT((Resultados!$B$1:$B$602=21)*(Resultados!$E$1:$E$602=B44)*1),"")</f>
        <v>0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10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0</v>
      </c>
      <c r="T45" s="7">
        <f>IF(B45&lt;&gt;"",SUMPRODUCT((Resultados!$B$1:$B$602=15)*(Resultados!$E$1:$E$602=B45)*1),"")</f>
        <v>1</v>
      </c>
      <c r="U45" s="7">
        <f>IF(B45&lt;&gt;"",SUMPRODUCT((Resultados!$B$1:$B$602=16)*(Resultados!$E$1:$E$602=B45)*1),"")</f>
        <v>1</v>
      </c>
      <c r="V45" s="7">
        <f>IF(B45&lt;&gt;"",SUMPRODUCT((Resultados!$B$1:$B$602=17)*(Resultados!$E$1:$E$602=B45)*1),"")</f>
        <v>0</v>
      </c>
      <c r="W45" s="7">
        <f>IF(B45&lt;&gt;"",SUMPRODUCT((Resultados!$B$1:$B$602=18)*(Resultados!$E$1:$E$602=B45)*1),"")</f>
        <v>0</v>
      </c>
      <c r="X45" s="7">
        <f>IF(B45&lt;&gt;"",SUMPRODUCT((Resultados!$B$1:$B$602=19)*(Resultados!$E$1:$E$602=B45)*1),"")</f>
        <v>2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1</v>
      </c>
      <c r="AA45" s="7">
        <f>IF(B45&lt;&gt;"",SUMPRODUCT((Resultados!$B$1:$B$602=22)*(Resultados!$E$1:$E$602=B45)*1),"")</f>
        <v>0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418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419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433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434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386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420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421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422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423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424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387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425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388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426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427</v>
      </c>
      <c r="E17" s="4" t="s">
        <v>389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390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391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392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428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393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394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395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396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George Russell</v>
      </c>
      <c r="C2">
        <f>'Temporada 2026'!J8</f>
        <v>25</v>
      </c>
      <c r="D2">
        <f>C2+'Temporada 2026'!K8</f>
        <v>51</v>
      </c>
      <c r="E2">
        <f>D2+'Temporada 2026'!L8</f>
        <v>51</v>
      </c>
      <c r="F2">
        <f>E2+'Temporada 2026'!M8</f>
        <v>51</v>
      </c>
      <c r="G2">
        <f>F2+'Temporada 2026'!N8</f>
        <v>51</v>
      </c>
      <c r="H2">
        <f>G2+'Temporada 2026'!O8</f>
        <v>51</v>
      </c>
      <c r="I2">
        <f>H2+'Temporada 2026'!P8</f>
        <v>51</v>
      </c>
      <c r="J2">
        <f>I2+'Temporada 2026'!Q8</f>
        <v>51</v>
      </c>
      <c r="K2">
        <f>J2+'Temporada 2026'!R8</f>
        <v>51</v>
      </c>
      <c r="L2">
        <f>K2+'Temporada 2026'!S8</f>
        <v>51</v>
      </c>
      <c r="M2">
        <f>L2+'Temporada 2026'!T8</f>
        <v>51</v>
      </c>
      <c r="N2">
        <f>M2+'Temporada 2026'!U8</f>
        <v>51</v>
      </c>
      <c r="O2">
        <f>N2+'Temporada 2026'!V8</f>
        <v>51</v>
      </c>
      <c r="P2">
        <f>O2+'Temporada 2026'!W8</f>
        <v>51</v>
      </c>
      <c r="Q2">
        <f>P2+'Temporada 2026'!X8</f>
        <v>51</v>
      </c>
      <c r="R2">
        <f>Q2+'Temporada 2026'!Y8</f>
        <v>51</v>
      </c>
      <c r="S2">
        <f>R2+'Temporada 2026'!Z8</f>
        <v>51</v>
      </c>
      <c r="T2">
        <f>S2+'Temporada 2026'!AA8</f>
        <v>51</v>
      </c>
      <c r="U2">
        <f>T2+'Temporada 2026'!AB8</f>
        <v>51</v>
      </c>
      <c r="V2">
        <f>U2+'Temporada 2026'!AC8</f>
        <v>51</v>
      </c>
      <c r="W2">
        <f>V2+'Temporada 2026'!AD8</f>
        <v>51</v>
      </c>
      <c r="X2">
        <f>W2+'Temporada 2026'!AE8</f>
        <v>51</v>
      </c>
      <c r="Y2">
        <f>X2+'Temporada 2026'!AF8</f>
        <v>51</v>
      </c>
      <c r="Z2">
        <f>Y2+'Temporada 2026'!AG8</f>
        <v>51</v>
      </c>
    </row>
    <row r="3" spans="1:26" x14ac:dyDescent="0.2">
      <c r="A3">
        <f>'Temporada 2026'!B9</f>
        <v>2</v>
      </c>
      <c r="B3" t="str">
        <f>'Temporada 2026'!C9</f>
        <v>Kimi Antonelli</v>
      </c>
      <c r="C3">
        <f>'Temporada 2026'!J9</f>
        <v>18</v>
      </c>
      <c r="D3">
        <f>C3+'Temporada 2026'!K9</f>
        <v>47</v>
      </c>
      <c r="E3">
        <f>D3+'Temporada 2026'!L9</f>
        <v>47</v>
      </c>
      <c r="F3">
        <f>E3+'Temporada 2026'!M9</f>
        <v>47</v>
      </c>
      <c r="G3">
        <f>F3+'Temporada 2026'!N9</f>
        <v>47</v>
      </c>
      <c r="H3">
        <f>G3+'Temporada 2026'!O9</f>
        <v>47</v>
      </c>
      <c r="I3">
        <f>H3+'Temporada 2026'!P9</f>
        <v>47</v>
      </c>
      <c r="J3">
        <f>I3+'Temporada 2026'!Q9</f>
        <v>47</v>
      </c>
      <c r="K3">
        <f>J3+'Temporada 2026'!R9</f>
        <v>47</v>
      </c>
      <c r="L3">
        <f>K3+'Temporada 2026'!S9</f>
        <v>47</v>
      </c>
      <c r="M3">
        <f>L3+'Temporada 2026'!T9</f>
        <v>47</v>
      </c>
      <c r="N3">
        <f>M3+'Temporada 2026'!U9</f>
        <v>47</v>
      </c>
      <c r="O3">
        <f>N3+'Temporada 2026'!V9</f>
        <v>47</v>
      </c>
      <c r="P3">
        <f>O3+'Temporada 2026'!W9</f>
        <v>47</v>
      </c>
      <c r="Q3">
        <f>P3+'Temporada 2026'!X9</f>
        <v>47</v>
      </c>
      <c r="R3">
        <f>Q3+'Temporada 2026'!Y9</f>
        <v>47</v>
      </c>
      <c r="S3">
        <f>R3+'Temporada 2026'!Z9</f>
        <v>47</v>
      </c>
      <c r="T3">
        <f>S3+'Temporada 2026'!AA9</f>
        <v>47</v>
      </c>
      <c r="U3">
        <f>T3+'Temporada 2026'!AB9</f>
        <v>47</v>
      </c>
      <c r="V3">
        <f>U3+'Temporada 2026'!AC9</f>
        <v>47</v>
      </c>
      <c r="W3">
        <f>V3+'Temporada 2026'!AD9</f>
        <v>47</v>
      </c>
      <c r="X3">
        <f>W3+'Temporada 2026'!AE9</f>
        <v>47</v>
      </c>
      <c r="Y3">
        <f>X3+'Temporada 2026'!AF9</f>
        <v>47</v>
      </c>
      <c r="Z3">
        <f>Y3+'Temporada 2026'!AG9</f>
        <v>47</v>
      </c>
    </row>
    <row r="4" spans="1:26" x14ac:dyDescent="0.2">
      <c r="A4">
        <f>'Temporada 2026'!B10</f>
        <v>3</v>
      </c>
      <c r="B4" t="str">
        <f>'Temporada 2026'!C10</f>
        <v>Charles Leclerc</v>
      </c>
      <c r="C4">
        <f>'Temporada 2026'!J10</f>
        <v>15</v>
      </c>
      <c r="D4">
        <f>C4+'Temporada 2026'!K10</f>
        <v>34</v>
      </c>
      <c r="E4">
        <f>D4+'Temporada 2026'!L10</f>
        <v>34</v>
      </c>
      <c r="F4">
        <f>E4+'Temporada 2026'!M10</f>
        <v>34</v>
      </c>
      <c r="G4">
        <f>F4+'Temporada 2026'!N10</f>
        <v>34</v>
      </c>
      <c r="H4">
        <f>G4+'Temporada 2026'!O10</f>
        <v>34</v>
      </c>
      <c r="I4">
        <f>H4+'Temporada 2026'!P10</f>
        <v>34</v>
      </c>
      <c r="J4">
        <f>I4+'Temporada 2026'!Q10</f>
        <v>34</v>
      </c>
      <c r="K4">
        <f>J4+'Temporada 2026'!R10</f>
        <v>34</v>
      </c>
      <c r="L4">
        <f>K4+'Temporada 2026'!S10</f>
        <v>34</v>
      </c>
      <c r="M4">
        <f>L4+'Temporada 2026'!T10</f>
        <v>34</v>
      </c>
      <c r="N4">
        <f>M4+'Temporada 2026'!U10</f>
        <v>34</v>
      </c>
      <c r="O4">
        <f>N4+'Temporada 2026'!V10</f>
        <v>34</v>
      </c>
      <c r="P4">
        <f>O4+'Temporada 2026'!W10</f>
        <v>34</v>
      </c>
      <c r="Q4">
        <f>P4+'Temporada 2026'!X10</f>
        <v>34</v>
      </c>
      <c r="R4">
        <f>Q4+'Temporada 2026'!Y10</f>
        <v>34</v>
      </c>
      <c r="S4">
        <f>R4+'Temporada 2026'!Z10</f>
        <v>34</v>
      </c>
      <c r="T4">
        <f>S4+'Temporada 2026'!AA10</f>
        <v>34</v>
      </c>
      <c r="U4">
        <f>T4+'Temporada 2026'!AB10</f>
        <v>34</v>
      </c>
      <c r="V4">
        <f>U4+'Temporada 2026'!AC10</f>
        <v>34</v>
      </c>
      <c r="W4">
        <f>V4+'Temporada 2026'!AD10</f>
        <v>34</v>
      </c>
      <c r="X4">
        <f>W4+'Temporada 2026'!AE10</f>
        <v>34</v>
      </c>
      <c r="Y4">
        <f>X4+'Temporada 2026'!AF10</f>
        <v>34</v>
      </c>
      <c r="Z4">
        <f>Y4+'Temporada 2026'!AG10</f>
        <v>34</v>
      </c>
    </row>
    <row r="5" spans="1:26" x14ac:dyDescent="0.2">
      <c r="A5">
        <f>'Temporada 2026'!B11</f>
        <v>4</v>
      </c>
      <c r="B5" t="str">
        <f>'Temporada 2026'!C11</f>
        <v>Lewis Hamilton</v>
      </c>
      <c r="C5">
        <f>'Temporada 2026'!J11</f>
        <v>12</v>
      </c>
      <c r="D5">
        <f>C5+'Temporada 2026'!K11</f>
        <v>33</v>
      </c>
      <c r="E5">
        <f>D5+'Temporada 2026'!L11</f>
        <v>33</v>
      </c>
      <c r="F5">
        <f>E5+'Temporada 2026'!M11</f>
        <v>33</v>
      </c>
      <c r="G5">
        <f>F5+'Temporada 2026'!N11</f>
        <v>33</v>
      </c>
      <c r="H5">
        <f>G5+'Temporada 2026'!O11</f>
        <v>33</v>
      </c>
      <c r="I5">
        <f>H5+'Temporada 2026'!P11</f>
        <v>33</v>
      </c>
      <c r="J5">
        <f>I5+'Temporada 2026'!Q11</f>
        <v>33</v>
      </c>
      <c r="K5">
        <f>J5+'Temporada 2026'!R11</f>
        <v>33</v>
      </c>
      <c r="L5">
        <f>K5+'Temporada 2026'!S11</f>
        <v>33</v>
      </c>
      <c r="M5">
        <f>L5+'Temporada 2026'!T11</f>
        <v>33</v>
      </c>
      <c r="N5">
        <f>M5+'Temporada 2026'!U11</f>
        <v>33</v>
      </c>
      <c r="O5">
        <f>N5+'Temporada 2026'!V11</f>
        <v>33</v>
      </c>
      <c r="P5">
        <f>O5+'Temporada 2026'!W11</f>
        <v>33</v>
      </c>
      <c r="Q5">
        <f>P5+'Temporada 2026'!X11</f>
        <v>33</v>
      </c>
      <c r="R5">
        <f>Q5+'Temporada 2026'!Y11</f>
        <v>33</v>
      </c>
      <c r="S5">
        <f>R5+'Temporada 2026'!Z11</f>
        <v>33</v>
      </c>
      <c r="T5">
        <f>S5+'Temporada 2026'!AA11</f>
        <v>33</v>
      </c>
      <c r="U5">
        <f>T5+'Temporada 2026'!AB11</f>
        <v>33</v>
      </c>
      <c r="V5">
        <f>U5+'Temporada 2026'!AC11</f>
        <v>33</v>
      </c>
      <c r="W5">
        <f>V5+'Temporada 2026'!AD11</f>
        <v>33</v>
      </c>
      <c r="X5">
        <f>W5+'Temporada 2026'!AE11</f>
        <v>33</v>
      </c>
      <c r="Y5">
        <f>X5+'Temporada 2026'!AF11</f>
        <v>33</v>
      </c>
      <c r="Z5">
        <f>Y5+'Temporada 2026'!AG11</f>
        <v>33</v>
      </c>
    </row>
    <row r="6" spans="1:26" x14ac:dyDescent="0.2">
      <c r="A6">
        <f>'Temporada 2026'!B12</f>
        <v>5</v>
      </c>
      <c r="B6" t="str">
        <f>'Temporada 2026'!C12</f>
        <v>Oliver Bearman</v>
      </c>
      <c r="C6">
        <f>'Temporada 2026'!J12</f>
        <v>6</v>
      </c>
      <c r="D6">
        <f>C6+'Temporada 2026'!K12</f>
        <v>17</v>
      </c>
      <c r="E6">
        <f>D6+'Temporada 2026'!L12</f>
        <v>17</v>
      </c>
      <c r="F6">
        <f>E6+'Temporada 2026'!M12</f>
        <v>17</v>
      </c>
      <c r="G6">
        <f>F6+'Temporada 2026'!N12</f>
        <v>17</v>
      </c>
      <c r="H6">
        <f>G6+'Temporada 2026'!O12</f>
        <v>17</v>
      </c>
      <c r="I6">
        <f>H6+'Temporada 2026'!P12</f>
        <v>17</v>
      </c>
      <c r="J6">
        <f>I6+'Temporada 2026'!Q12</f>
        <v>17</v>
      </c>
      <c r="K6">
        <f>J6+'Temporada 2026'!R12</f>
        <v>17</v>
      </c>
      <c r="L6">
        <f>K6+'Temporada 2026'!S12</f>
        <v>17</v>
      </c>
      <c r="M6">
        <f>L6+'Temporada 2026'!T12</f>
        <v>17</v>
      </c>
      <c r="N6">
        <f>M6+'Temporada 2026'!U12</f>
        <v>17</v>
      </c>
      <c r="O6">
        <f>N6+'Temporada 2026'!V12</f>
        <v>17</v>
      </c>
      <c r="P6">
        <f>O6+'Temporada 2026'!W12</f>
        <v>17</v>
      </c>
      <c r="Q6">
        <f>P6+'Temporada 2026'!X12</f>
        <v>17</v>
      </c>
      <c r="R6">
        <f>Q6+'Temporada 2026'!Y12</f>
        <v>17</v>
      </c>
      <c r="S6">
        <f>R6+'Temporada 2026'!Z12</f>
        <v>17</v>
      </c>
      <c r="T6">
        <f>S6+'Temporada 2026'!AA12</f>
        <v>17</v>
      </c>
      <c r="U6">
        <f>T6+'Temporada 2026'!AB12</f>
        <v>17</v>
      </c>
      <c r="V6">
        <f>U6+'Temporada 2026'!AC12</f>
        <v>17</v>
      </c>
      <c r="W6">
        <f>V6+'Temporada 2026'!AD12</f>
        <v>17</v>
      </c>
      <c r="X6">
        <f>W6+'Temporada 2026'!AE12</f>
        <v>17</v>
      </c>
      <c r="Y6">
        <f>X6+'Temporada 2026'!AF12</f>
        <v>17</v>
      </c>
      <c r="Z6">
        <f>Y6+'Temporada 2026'!AG12</f>
        <v>17</v>
      </c>
    </row>
    <row r="7" spans="1:26" x14ac:dyDescent="0.2">
      <c r="A7">
        <f>'Temporada 2026'!B13</f>
        <v>6</v>
      </c>
      <c r="B7" t="str">
        <f>'Temporada 2026'!C13</f>
        <v>Lando Norris</v>
      </c>
      <c r="C7">
        <f>'Temporada 2026'!J13</f>
        <v>10</v>
      </c>
      <c r="D7">
        <f>C7+'Temporada 2026'!K13</f>
        <v>15</v>
      </c>
      <c r="E7">
        <f>D7+'Temporada 2026'!L13</f>
        <v>15</v>
      </c>
      <c r="F7">
        <f>E7+'Temporada 2026'!M13</f>
        <v>15</v>
      </c>
      <c r="G7">
        <f>F7+'Temporada 2026'!N13</f>
        <v>15</v>
      </c>
      <c r="H7">
        <f>G7+'Temporada 2026'!O13</f>
        <v>15</v>
      </c>
      <c r="I7">
        <f>H7+'Temporada 2026'!P13</f>
        <v>15</v>
      </c>
      <c r="J7">
        <f>I7+'Temporada 2026'!Q13</f>
        <v>15</v>
      </c>
      <c r="K7">
        <f>J7+'Temporada 2026'!R13</f>
        <v>15</v>
      </c>
      <c r="L7">
        <f>K7+'Temporada 2026'!S13</f>
        <v>15</v>
      </c>
      <c r="M7">
        <f>L7+'Temporada 2026'!T13</f>
        <v>15</v>
      </c>
      <c r="N7">
        <f>M7+'Temporada 2026'!U13</f>
        <v>15</v>
      </c>
      <c r="O7">
        <f>N7+'Temporada 2026'!V13</f>
        <v>15</v>
      </c>
      <c r="P7">
        <f>O7+'Temporada 2026'!W13</f>
        <v>15</v>
      </c>
      <c r="Q7">
        <f>P7+'Temporada 2026'!X13</f>
        <v>15</v>
      </c>
      <c r="R7">
        <f>Q7+'Temporada 2026'!Y13</f>
        <v>15</v>
      </c>
      <c r="S7">
        <f>R7+'Temporada 2026'!Z13</f>
        <v>15</v>
      </c>
      <c r="T7">
        <f>S7+'Temporada 2026'!AA13</f>
        <v>15</v>
      </c>
      <c r="U7">
        <f>T7+'Temporada 2026'!AB13</f>
        <v>15</v>
      </c>
      <c r="V7">
        <f>U7+'Temporada 2026'!AC13</f>
        <v>15</v>
      </c>
      <c r="W7">
        <f>V7+'Temporada 2026'!AD13</f>
        <v>15</v>
      </c>
      <c r="X7">
        <f>W7+'Temporada 2026'!AE13</f>
        <v>15</v>
      </c>
      <c r="Y7">
        <f>X7+'Temporada 2026'!AF13</f>
        <v>15</v>
      </c>
      <c r="Z7">
        <f>Y7+'Temporada 2026'!AG13</f>
        <v>15</v>
      </c>
    </row>
    <row r="8" spans="1:26" x14ac:dyDescent="0.2">
      <c r="A8">
        <f>'Temporada 2026'!B14</f>
        <v>7</v>
      </c>
      <c r="B8" t="str">
        <f>'Temporada 2026'!C14</f>
        <v>Pierre Gasly</v>
      </c>
      <c r="C8">
        <f>'Temporada 2026'!J14</f>
        <v>1</v>
      </c>
      <c r="D8">
        <f>C8+'Temporada 2026'!K14</f>
        <v>9</v>
      </c>
      <c r="E8">
        <f>D8+'Temporada 2026'!L14</f>
        <v>9</v>
      </c>
      <c r="F8">
        <f>E8+'Temporada 2026'!M14</f>
        <v>9</v>
      </c>
      <c r="G8">
        <f>F8+'Temporada 2026'!N14</f>
        <v>9</v>
      </c>
      <c r="H8">
        <f>G8+'Temporada 2026'!O14</f>
        <v>9</v>
      </c>
      <c r="I8">
        <f>H8+'Temporada 2026'!P14</f>
        <v>9</v>
      </c>
      <c r="J8">
        <f>I8+'Temporada 2026'!Q14</f>
        <v>9</v>
      </c>
      <c r="K8">
        <f>J8+'Temporada 2026'!R14</f>
        <v>9</v>
      </c>
      <c r="L8">
        <f>K8+'Temporada 2026'!S14</f>
        <v>9</v>
      </c>
      <c r="M8">
        <f>L8+'Temporada 2026'!T14</f>
        <v>9</v>
      </c>
      <c r="N8">
        <f>M8+'Temporada 2026'!U14</f>
        <v>9</v>
      </c>
      <c r="O8">
        <f>N8+'Temporada 2026'!V14</f>
        <v>9</v>
      </c>
      <c r="P8">
        <f>O8+'Temporada 2026'!W14</f>
        <v>9</v>
      </c>
      <c r="Q8">
        <f>P8+'Temporada 2026'!X14</f>
        <v>9</v>
      </c>
      <c r="R8">
        <f>Q8+'Temporada 2026'!Y14</f>
        <v>9</v>
      </c>
      <c r="S8">
        <f>R8+'Temporada 2026'!Z14</f>
        <v>9</v>
      </c>
      <c r="T8">
        <f>S8+'Temporada 2026'!AA14</f>
        <v>9</v>
      </c>
      <c r="U8">
        <f>T8+'Temporada 2026'!AB14</f>
        <v>9</v>
      </c>
      <c r="V8">
        <f>U8+'Temporada 2026'!AC14</f>
        <v>9</v>
      </c>
      <c r="W8">
        <f>V8+'Temporada 2026'!AD14</f>
        <v>9</v>
      </c>
      <c r="X8">
        <f>W8+'Temporada 2026'!AE14</f>
        <v>9</v>
      </c>
      <c r="Y8">
        <f>X8+'Temporada 2026'!AF14</f>
        <v>9</v>
      </c>
      <c r="Z8">
        <f>Y8+'Temporada 2026'!AG14</f>
        <v>9</v>
      </c>
    </row>
    <row r="9" spans="1:26" x14ac:dyDescent="0.2">
      <c r="A9">
        <f>'Temporada 2026'!B15</f>
        <v>8</v>
      </c>
      <c r="B9" t="str">
        <f>'Temporada 2026'!C15</f>
        <v>Max Verstappen</v>
      </c>
      <c r="C9">
        <f>'Temporada 2026'!J15</f>
        <v>8</v>
      </c>
      <c r="D9">
        <f>C9+'Temporada 2026'!K15</f>
        <v>8</v>
      </c>
      <c r="E9">
        <f>D9+'Temporada 2026'!L15</f>
        <v>8</v>
      </c>
      <c r="F9">
        <f>E9+'Temporada 2026'!M15</f>
        <v>8</v>
      </c>
      <c r="G9">
        <f>F9+'Temporada 2026'!N15</f>
        <v>8</v>
      </c>
      <c r="H9">
        <f>G9+'Temporada 2026'!O15</f>
        <v>8</v>
      </c>
      <c r="I9">
        <f>H9+'Temporada 2026'!P15</f>
        <v>8</v>
      </c>
      <c r="J9">
        <f>I9+'Temporada 2026'!Q15</f>
        <v>8</v>
      </c>
      <c r="K9">
        <f>J9+'Temporada 2026'!R15</f>
        <v>8</v>
      </c>
      <c r="L9">
        <f>K9+'Temporada 2026'!S15</f>
        <v>8</v>
      </c>
      <c r="M9">
        <f>L9+'Temporada 2026'!T15</f>
        <v>8</v>
      </c>
      <c r="N9">
        <f>M9+'Temporada 2026'!U15</f>
        <v>8</v>
      </c>
      <c r="O9">
        <f>N9+'Temporada 2026'!V15</f>
        <v>8</v>
      </c>
      <c r="P9">
        <f>O9+'Temporada 2026'!W15</f>
        <v>8</v>
      </c>
      <c r="Q9">
        <f>P9+'Temporada 2026'!X15</f>
        <v>8</v>
      </c>
      <c r="R9">
        <f>Q9+'Temporada 2026'!Y15</f>
        <v>8</v>
      </c>
      <c r="S9">
        <f>R9+'Temporada 2026'!Z15</f>
        <v>8</v>
      </c>
      <c r="T9">
        <f>S9+'Temporada 2026'!AA15</f>
        <v>8</v>
      </c>
      <c r="U9">
        <f>T9+'Temporada 2026'!AB15</f>
        <v>8</v>
      </c>
      <c r="V9">
        <f>U9+'Temporada 2026'!AC15</f>
        <v>8</v>
      </c>
      <c r="W9">
        <f>V9+'Temporada 2026'!AD15</f>
        <v>8</v>
      </c>
      <c r="X9">
        <f>W9+'Temporada 2026'!AE15</f>
        <v>8</v>
      </c>
      <c r="Y9">
        <f>X9+'Temporada 2026'!AF15</f>
        <v>8</v>
      </c>
      <c r="Z9">
        <f>Y9+'Temporada 2026'!AG15</f>
        <v>8</v>
      </c>
    </row>
    <row r="10" spans="1:26" x14ac:dyDescent="0.2">
      <c r="A10">
        <f>'Temporada 2026'!B16</f>
        <v>9</v>
      </c>
      <c r="B10" t="str">
        <f>'Temporada 2026'!C16</f>
        <v>Liam Lawson</v>
      </c>
      <c r="C10">
        <f>'Temporada 2026'!J16</f>
        <v>0</v>
      </c>
      <c r="D10">
        <f>C10+'Temporada 2026'!K16</f>
        <v>8</v>
      </c>
      <c r="E10">
        <f>D10+'Temporada 2026'!L16</f>
        <v>8</v>
      </c>
      <c r="F10">
        <f>E10+'Temporada 2026'!M16</f>
        <v>8</v>
      </c>
      <c r="G10">
        <f>F10+'Temporada 2026'!N16</f>
        <v>8</v>
      </c>
      <c r="H10">
        <f>G10+'Temporada 2026'!O16</f>
        <v>8</v>
      </c>
      <c r="I10">
        <f>H10+'Temporada 2026'!P16</f>
        <v>8</v>
      </c>
      <c r="J10">
        <f>I10+'Temporada 2026'!Q16</f>
        <v>8</v>
      </c>
      <c r="K10">
        <f>J10+'Temporada 2026'!R16</f>
        <v>8</v>
      </c>
      <c r="L10">
        <f>K10+'Temporada 2026'!S16</f>
        <v>8</v>
      </c>
      <c r="M10">
        <f>L10+'Temporada 2026'!T16</f>
        <v>8</v>
      </c>
      <c r="N10">
        <f>M10+'Temporada 2026'!U16</f>
        <v>8</v>
      </c>
      <c r="O10">
        <f>N10+'Temporada 2026'!V16</f>
        <v>8</v>
      </c>
      <c r="P10">
        <f>O10+'Temporada 2026'!W16</f>
        <v>8</v>
      </c>
      <c r="Q10">
        <f>P10+'Temporada 2026'!X16</f>
        <v>8</v>
      </c>
      <c r="R10">
        <f>Q10+'Temporada 2026'!Y16</f>
        <v>8</v>
      </c>
      <c r="S10">
        <f>R10+'Temporada 2026'!Z16</f>
        <v>8</v>
      </c>
      <c r="T10">
        <f>S10+'Temporada 2026'!AA16</f>
        <v>8</v>
      </c>
      <c r="U10">
        <f>T10+'Temporada 2026'!AB16</f>
        <v>8</v>
      </c>
      <c r="V10">
        <f>U10+'Temporada 2026'!AC16</f>
        <v>8</v>
      </c>
      <c r="W10">
        <f>V10+'Temporada 2026'!AD16</f>
        <v>8</v>
      </c>
      <c r="X10">
        <f>W10+'Temporada 2026'!AE16</f>
        <v>8</v>
      </c>
      <c r="Y10">
        <f>X10+'Temporada 2026'!AF16</f>
        <v>8</v>
      </c>
      <c r="Z10">
        <f>Y10+'Temporada 2026'!AG16</f>
        <v>8</v>
      </c>
    </row>
    <row r="11" spans="1:26" x14ac:dyDescent="0.2">
      <c r="A11">
        <f>'Temporada 2026'!B17</f>
        <v>10</v>
      </c>
      <c r="B11" t="str">
        <f>'Temporada 2026'!C17</f>
        <v>Arvid Lindblad</v>
      </c>
      <c r="C11">
        <f>'Temporada 2026'!J17</f>
        <v>4</v>
      </c>
      <c r="D11">
        <f>C11+'Temporada 2026'!K17</f>
        <v>4</v>
      </c>
      <c r="E11">
        <f>D11+'Temporada 2026'!L17</f>
        <v>4</v>
      </c>
      <c r="F11">
        <f>E11+'Temporada 2026'!M17</f>
        <v>4</v>
      </c>
      <c r="G11">
        <f>F11+'Temporada 2026'!N17</f>
        <v>4</v>
      </c>
      <c r="H11">
        <f>G11+'Temporada 2026'!O17</f>
        <v>4</v>
      </c>
      <c r="I11">
        <f>H11+'Temporada 2026'!P17</f>
        <v>4</v>
      </c>
      <c r="J11">
        <f>I11+'Temporada 2026'!Q17</f>
        <v>4</v>
      </c>
      <c r="K11">
        <f>J11+'Temporada 2026'!R17</f>
        <v>4</v>
      </c>
      <c r="L11">
        <f>K11+'Temporada 2026'!S17</f>
        <v>4</v>
      </c>
      <c r="M11">
        <f>L11+'Temporada 2026'!T17</f>
        <v>4</v>
      </c>
      <c r="N11">
        <f>M11+'Temporada 2026'!U17</f>
        <v>4</v>
      </c>
      <c r="O11">
        <f>N11+'Temporada 2026'!V17</f>
        <v>4</v>
      </c>
      <c r="P11">
        <f>O11+'Temporada 2026'!W17</f>
        <v>4</v>
      </c>
      <c r="Q11">
        <f>P11+'Temporada 2026'!X17</f>
        <v>4</v>
      </c>
      <c r="R11">
        <f>Q11+'Temporada 2026'!Y17</f>
        <v>4</v>
      </c>
      <c r="S11">
        <f>R11+'Temporada 2026'!Z17</f>
        <v>4</v>
      </c>
      <c r="T11">
        <f>S11+'Temporada 2026'!AA17</f>
        <v>4</v>
      </c>
      <c r="U11">
        <f>T11+'Temporada 2026'!AB17</f>
        <v>4</v>
      </c>
      <c r="V11">
        <f>U11+'Temporada 2026'!AC17</f>
        <v>4</v>
      </c>
      <c r="W11">
        <f>V11+'Temporada 2026'!AD17</f>
        <v>4</v>
      </c>
      <c r="X11">
        <f>W11+'Temporada 2026'!AE17</f>
        <v>4</v>
      </c>
      <c r="Y11">
        <f>X11+'Temporada 2026'!AF17</f>
        <v>4</v>
      </c>
      <c r="Z11">
        <f>Y11+'Temporada 2026'!AG17</f>
        <v>4</v>
      </c>
    </row>
    <row r="12" spans="1:26" x14ac:dyDescent="0.2">
      <c r="A12">
        <f>'Temporada 2026'!B18</f>
        <v>11</v>
      </c>
      <c r="B12" t="str">
        <f>'Temporada 2026'!C18</f>
        <v>Isack Hadjar</v>
      </c>
      <c r="C12">
        <f>'Temporada 2026'!J18</f>
        <v>0</v>
      </c>
      <c r="D12">
        <f>C12+'Temporada 2026'!K18</f>
        <v>4</v>
      </c>
      <c r="E12">
        <f>D12+'Temporada 2026'!L18</f>
        <v>4</v>
      </c>
      <c r="F12">
        <f>E12+'Temporada 2026'!M18</f>
        <v>4</v>
      </c>
      <c r="G12">
        <f>F12+'Temporada 2026'!N18</f>
        <v>4</v>
      </c>
      <c r="H12">
        <f>G12+'Temporada 2026'!O18</f>
        <v>4</v>
      </c>
      <c r="I12">
        <f>H12+'Temporada 2026'!P18</f>
        <v>4</v>
      </c>
      <c r="J12">
        <f>I12+'Temporada 2026'!Q18</f>
        <v>4</v>
      </c>
      <c r="K12">
        <f>J12+'Temporada 2026'!R18</f>
        <v>4</v>
      </c>
      <c r="L12">
        <f>K12+'Temporada 2026'!S18</f>
        <v>4</v>
      </c>
      <c r="M12">
        <f>L12+'Temporada 2026'!T18</f>
        <v>4</v>
      </c>
      <c r="N12">
        <f>M12+'Temporada 2026'!U18</f>
        <v>4</v>
      </c>
      <c r="O12">
        <f>N12+'Temporada 2026'!V18</f>
        <v>4</v>
      </c>
      <c r="P12">
        <f>O12+'Temporada 2026'!W18</f>
        <v>4</v>
      </c>
      <c r="Q12">
        <f>P12+'Temporada 2026'!X18</f>
        <v>4</v>
      </c>
      <c r="R12">
        <f>Q12+'Temporada 2026'!Y18</f>
        <v>4</v>
      </c>
      <c r="S12">
        <f>R12+'Temporada 2026'!Z18</f>
        <v>4</v>
      </c>
      <c r="T12">
        <f>S12+'Temporada 2026'!AA18</f>
        <v>4</v>
      </c>
      <c r="U12">
        <f>T12+'Temporada 2026'!AB18</f>
        <v>4</v>
      </c>
      <c r="V12">
        <f>U12+'Temporada 2026'!AC18</f>
        <v>4</v>
      </c>
      <c r="W12">
        <f>V12+'Temporada 2026'!AD18</f>
        <v>4</v>
      </c>
      <c r="X12">
        <f>W12+'Temporada 2026'!AE18</f>
        <v>4</v>
      </c>
      <c r="Y12">
        <f>X12+'Temporada 2026'!AF18</f>
        <v>4</v>
      </c>
      <c r="Z12">
        <f>Y12+'Temporada 2026'!AG18</f>
        <v>4</v>
      </c>
    </row>
    <row r="13" spans="1:26" x14ac:dyDescent="0.2">
      <c r="A13">
        <f>'Temporada 2026'!B19</f>
        <v>12</v>
      </c>
      <c r="B13" t="str">
        <f>'Temporada 2026'!C19</f>
        <v>Oscar Piastri</v>
      </c>
      <c r="C13">
        <f>'Temporada 2026'!J19</f>
        <v>0</v>
      </c>
      <c r="D13">
        <f>C13+'Temporada 2026'!K19</f>
        <v>3</v>
      </c>
      <c r="E13">
        <f>D13+'Temporada 2026'!L19</f>
        <v>3</v>
      </c>
      <c r="F13">
        <f>E13+'Temporada 2026'!M19</f>
        <v>3</v>
      </c>
      <c r="G13">
        <f>F13+'Temporada 2026'!N19</f>
        <v>3</v>
      </c>
      <c r="H13">
        <f>G13+'Temporada 2026'!O19</f>
        <v>3</v>
      </c>
      <c r="I13">
        <f>H13+'Temporada 2026'!P19</f>
        <v>3</v>
      </c>
      <c r="J13">
        <f>I13+'Temporada 2026'!Q19</f>
        <v>3</v>
      </c>
      <c r="K13">
        <f>J13+'Temporada 2026'!R19</f>
        <v>3</v>
      </c>
      <c r="L13">
        <f>K13+'Temporada 2026'!S19</f>
        <v>3</v>
      </c>
      <c r="M13">
        <f>L13+'Temporada 2026'!T19</f>
        <v>3</v>
      </c>
      <c r="N13">
        <f>M13+'Temporada 2026'!U19</f>
        <v>3</v>
      </c>
      <c r="O13">
        <f>N13+'Temporada 2026'!V19</f>
        <v>3</v>
      </c>
      <c r="P13">
        <f>O13+'Temporada 2026'!W19</f>
        <v>3</v>
      </c>
      <c r="Q13">
        <f>P13+'Temporada 2026'!X19</f>
        <v>3</v>
      </c>
      <c r="R13">
        <f>Q13+'Temporada 2026'!Y19</f>
        <v>3</v>
      </c>
      <c r="S13">
        <f>R13+'Temporada 2026'!Z19</f>
        <v>3</v>
      </c>
      <c r="T13">
        <f>S13+'Temporada 2026'!AA19</f>
        <v>3</v>
      </c>
      <c r="U13">
        <f>T13+'Temporada 2026'!AB19</f>
        <v>3</v>
      </c>
      <c r="V13">
        <f>U13+'Temporada 2026'!AC19</f>
        <v>3</v>
      </c>
      <c r="W13">
        <f>V13+'Temporada 2026'!AD19</f>
        <v>3</v>
      </c>
      <c r="X13">
        <f>W13+'Temporada 2026'!AE19</f>
        <v>3</v>
      </c>
      <c r="Y13">
        <f>X13+'Temporada 2026'!AF19</f>
        <v>3</v>
      </c>
      <c r="Z13">
        <f>Y13+'Temporada 2026'!AG19</f>
        <v>3</v>
      </c>
    </row>
    <row r="14" spans="1:26" x14ac:dyDescent="0.2">
      <c r="A14">
        <f>'Temporada 2026'!B20</f>
        <v>13</v>
      </c>
      <c r="B14" t="str">
        <f>'Temporada 2026'!C20</f>
        <v>Carlos Sainz</v>
      </c>
      <c r="C14">
        <f>'Temporada 2026'!J20</f>
        <v>0</v>
      </c>
      <c r="D14">
        <f>C14+'Temporada 2026'!K20</f>
        <v>2</v>
      </c>
      <c r="E14">
        <f>D14+'Temporada 2026'!L20</f>
        <v>2</v>
      </c>
      <c r="F14">
        <f>E14+'Temporada 2026'!M20</f>
        <v>2</v>
      </c>
      <c r="G14">
        <f>F14+'Temporada 2026'!N20</f>
        <v>2</v>
      </c>
      <c r="H14">
        <f>G14+'Temporada 2026'!O20</f>
        <v>2</v>
      </c>
      <c r="I14">
        <f>H14+'Temporada 2026'!P20</f>
        <v>2</v>
      </c>
      <c r="J14">
        <f>I14+'Temporada 2026'!Q20</f>
        <v>2</v>
      </c>
      <c r="K14">
        <f>J14+'Temporada 2026'!R20</f>
        <v>2</v>
      </c>
      <c r="L14">
        <f>K14+'Temporada 2026'!S20</f>
        <v>2</v>
      </c>
      <c r="M14">
        <f>L14+'Temporada 2026'!T20</f>
        <v>2</v>
      </c>
      <c r="N14">
        <f>M14+'Temporada 2026'!U20</f>
        <v>2</v>
      </c>
      <c r="O14">
        <f>N14+'Temporada 2026'!V20</f>
        <v>2</v>
      </c>
      <c r="P14">
        <f>O14+'Temporada 2026'!W20</f>
        <v>2</v>
      </c>
      <c r="Q14">
        <f>P14+'Temporada 2026'!X20</f>
        <v>2</v>
      </c>
      <c r="R14">
        <f>Q14+'Temporada 2026'!Y20</f>
        <v>2</v>
      </c>
      <c r="S14">
        <f>R14+'Temporada 2026'!Z20</f>
        <v>2</v>
      </c>
      <c r="T14">
        <f>S14+'Temporada 2026'!AA20</f>
        <v>2</v>
      </c>
      <c r="U14">
        <f>T14+'Temporada 2026'!AB20</f>
        <v>2</v>
      </c>
      <c r="V14">
        <f>U14+'Temporada 2026'!AC20</f>
        <v>2</v>
      </c>
      <c r="W14">
        <f>V14+'Temporada 2026'!AD20</f>
        <v>2</v>
      </c>
      <c r="X14">
        <f>W14+'Temporada 2026'!AE20</f>
        <v>2</v>
      </c>
      <c r="Y14">
        <f>X14+'Temporada 2026'!AF20</f>
        <v>2</v>
      </c>
      <c r="Z14">
        <f>Y14+'Temporada 2026'!AG20</f>
        <v>2</v>
      </c>
    </row>
    <row r="15" spans="1:26" x14ac:dyDescent="0.2">
      <c r="A15">
        <f>'Temporada 2026'!B21</f>
        <v>14</v>
      </c>
      <c r="B15" t="str">
        <f>'Temporada 2026'!C21</f>
        <v>Gabriel Bortoleto</v>
      </c>
      <c r="C15">
        <f>'Temporada 2026'!J21</f>
        <v>2</v>
      </c>
      <c r="D15">
        <f>C15+'Temporada 2026'!K21</f>
        <v>2</v>
      </c>
      <c r="E15">
        <f>D15+'Temporada 2026'!L21</f>
        <v>2</v>
      </c>
      <c r="F15">
        <f>E15+'Temporada 2026'!M21</f>
        <v>2</v>
      </c>
      <c r="G15">
        <f>F15+'Temporada 2026'!N21</f>
        <v>2</v>
      </c>
      <c r="H15">
        <f>G15+'Temporada 2026'!O21</f>
        <v>2</v>
      </c>
      <c r="I15">
        <f>H15+'Temporada 2026'!P21</f>
        <v>2</v>
      </c>
      <c r="J15">
        <f>I15+'Temporada 2026'!Q21</f>
        <v>2</v>
      </c>
      <c r="K15">
        <f>J15+'Temporada 2026'!R21</f>
        <v>2</v>
      </c>
      <c r="L15">
        <f>K15+'Temporada 2026'!S21</f>
        <v>2</v>
      </c>
      <c r="M15">
        <f>L15+'Temporada 2026'!T21</f>
        <v>2</v>
      </c>
      <c r="N15">
        <f>M15+'Temporada 2026'!U21</f>
        <v>2</v>
      </c>
      <c r="O15">
        <f>N15+'Temporada 2026'!V21</f>
        <v>2</v>
      </c>
      <c r="P15">
        <f>O15+'Temporada 2026'!W21</f>
        <v>2</v>
      </c>
      <c r="Q15">
        <f>P15+'Temporada 2026'!X21</f>
        <v>2</v>
      </c>
      <c r="R15">
        <f>Q15+'Temporada 2026'!Y21</f>
        <v>2</v>
      </c>
      <c r="S15">
        <f>R15+'Temporada 2026'!Z21</f>
        <v>2</v>
      </c>
      <c r="T15">
        <f>S15+'Temporada 2026'!AA21</f>
        <v>2</v>
      </c>
      <c r="U15">
        <f>T15+'Temporada 2026'!AB21</f>
        <v>2</v>
      </c>
      <c r="V15">
        <f>U15+'Temporada 2026'!AC21</f>
        <v>2</v>
      </c>
      <c r="W15">
        <f>V15+'Temporada 2026'!AD21</f>
        <v>2</v>
      </c>
      <c r="X15">
        <f>W15+'Temporada 2026'!AE21</f>
        <v>2</v>
      </c>
      <c r="Y15">
        <f>X15+'Temporada 2026'!AF21</f>
        <v>2</v>
      </c>
      <c r="Z15">
        <f>Y15+'Temporada 2026'!AG21</f>
        <v>2</v>
      </c>
    </row>
    <row r="16" spans="1:26" x14ac:dyDescent="0.2">
      <c r="A16">
        <f>'Temporada 2026'!B22</f>
        <v>15</v>
      </c>
      <c r="B16" t="str">
        <f>'Temporada 2026'!C22</f>
        <v>Franco Colapinto</v>
      </c>
      <c r="C16">
        <f>'Temporada 2026'!J22</f>
        <v>0</v>
      </c>
      <c r="D16">
        <f>C16+'Temporada 2026'!K22</f>
        <v>1</v>
      </c>
      <c r="E16">
        <f>D16+'Temporada 2026'!L22</f>
        <v>1</v>
      </c>
      <c r="F16">
        <f>E16+'Temporada 2026'!M22</f>
        <v>1</v>
      </c>
      <c r="G16">
        <f>F16+'Temporada 2026'!N22</f>
        <v>1</v>
      </c>
      <c r="H16">
        <f>G16+'Temporada 2026'!O22</f>
        <v>1</v>
      </c>
      <c r="I16">
        <f>H16+'Temporada 2026'!P22</f>
        <v>1</v>
      </c>
      <c r="J16">
        <f>I16+'Temporada 2026'!Q22</f>
        <v>1</v>
      </c>
      <c r="K16">
        <f>J16+'Temporada 2026'!R22</f>
        <v>1</v>
      </c>
      <c r="L16">
        <f>K16+'Temporada 2026'!S22</f>
        <v>1</v>
      </c>
      <c r="M16">
        <f>L16+'Temporada 2026'!T22</f>
        <v>1</v>
      </c>
      <c r="N16">
        <f>M16+'Temporada 2026'!U22</f>
        <v>1</v>
      </c>
      <c r="O16">
        <f>N16+'Temporada 2026'!V22</f>
        <v>1</v>
      </c>
      <c r="P16">
        <f>O16+'Temporada 2026'!W22</f>
        <v>1</v>
      </c>
      <c r="Q16">
        <f>P16+'Temporada 2026'!X22</f>
        <v>1</v>
      </c>
      <c r="R16">
        <f>Q16+'Temporada 2026'!Y22</f>
        <v>1</v>
      </c>
      <c r="S16">
        <f>R16+'Temporada 2026'!Z22</f>
        <v>1</v>
      </c>
      <c r="T16">
        <f>S16+'Temporada 2026'!AA22</f>
        <v>1</v>
      </c>
      <c r="U16">
        <f>T16+'Temporada 2026'!AB22</f>
        <v>1</v>
      </c>
      <c r="V16">
        <f>U16+'Temporada 2026'!AC22</f>
        <v>1</v>
      </c>
      <c r="W16">
        <f>V16+'Temporada 2026'!AD22</f>
        <v>1</v>
      </c>
      <c r="X16">
        <f>W16+'Temporada 2026'!AE22</f>
        <v>1</v>
      </c>
      <c r="Y16">
        <f>X16+'Temporada 2026'!AF22</f>
        <v>1</v>
      </c>
      <c r="Z16">
        <f>Y16+'Temporada 2026'!AG22</f>
        <v>1</v>
      </c>
    </row>
    <row r="17" spans="1:26" x14ac:dyDescent="0.2">
      <c r="A17">
        <f>'Temporada 2026'!B23</f>
        <v>16</v>
      </c>
      <c r="B17" t="str">
        <f>'Temporada 2026'!C23</f>
        <v>Esteban Ocon</v>
      </c>
      <c r="C17">
        <f>'Temporada 2026'!J23</f>
        <v>0</v>
      </c>
      <c r="D17">
        <f>C17+'Temporada 2026'!K23</f>
        <v>0</v>
      </c>
      <c r="E17">
        <f>D17+'Temporada 2026'!L23</f>
        <v>0</v>
      </c>
      <c r="F17">
        <f>E17+'Temporada 2026'!M23</f>
        <v>0</v>
      </c>
      <c r="G17">
        <f>F17+'Temporada 2026'!N23</f>
        <v>0</v>
      </c>
      <c r="H17">
        <f>G17+'Temporada 2026'!O23</f>
        <v>0</v>
      </c>
      <c r="I17">
        <f>H17+'Temporada 2026'!P23</f>
        <v>0</v>
      </c>
      <c r="J17">
        <f>I17+'Temporada 2026'!Q23</f>
        <v>0</v>
      </c>
      <c r="K17">
        <f>J17+'Temporada 2026'!R23</f>
        <v>0</v>
      </c>
      <c r="L17">
        <f>K17+'Temporada 2026'!S23</f>
        <v>0</v>
      </c>
      <c r="M17">
        <f>L17+'Temporada 2026'!T23</f>
        <v>0</v>
      </c>
      <c r="N17">
        <f>M17+'Temporada 2026'!U23</f>
        <v>0</v>
      </c>
      <c r="O17">
        <f>N17+'Temporada 2026'!V23</f>
        <v>0</v>
      </c>
      <c r="P17">
        <f>O17+'Temporada 2026'!W23</f>
        <v>0</v>
      </c>
      <c r="Q17">
        <f>P17+'Temporada 2026'!X23</f>
        <v>0</v>
      </c>
      <c r="R17">
        <f>Q17+'Temporada 2026'!Y23</f>
        <v>0</v>
      </c>
      <c r="S17">
        <f>R17+'Temporada 2026'!Z23</f>
        <v>0</v>
      </c>
      <c r="T17">
        <f>S17+'Temporada 2026'!AA23</f>
        <v>0</v>
      </c>
      <c r="U17">
        <f>T17+'Temporada 2026'!AB23</f>
        <v>0</v>
      </c>
      <c r="V17">
        <f>U17+'Temporada 2026'!AC23</f>
        <v>0</v>
      </c>
      <c r="W17">
        <f>V17+'Temporada 2026'!AD23</f>
        <v>0</v>
      </c>
      <c r="X17">
        <f>W17+'Temporada 2026'!AE23</f>
        <v>0</v>
      </c>
      <c r="Y17">
        <f>X17+'Temporada 2026'!AF23</f>
        <v>0</v>
      </c>
      <c r="Z17">
        <f>Y17+'Temporada 2026'!AG23</f>
        <v>0</v>
      </c>
    </row>
    <row r="18" spans="1:26" x14ac:dyDescent="0.2">
      <c r="A18">
        <f>'Temporada 2026'!B24</f>
        <v>17</v>
      </c>
      <c r="B18" t="str">
        <f>'Temporada 2026'!C24</f>
        <v>Nico Hulkenberg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0</v>
      </c>
      <c r="I18">
        <f>H18+'Temporada 2026'!P24</f>
        <v>0</v>
      </c>
      <c r="J18">
        <f>I18+'Temporada 2026'!Q24</f>
        <v>0</v>
      </c>
      <c r="K18">
        <f>J18+'Temporada 2026'!R24</f>
        <v>0</v>
      </c>
      <c r="L18">
        <f>K18+'Temporada 2026'!S24</f>
        <v>0</v>
      </c>
      <c r="M18">
        <f>L18+'Temporada 2026'!T24</f>
        <v>0</v>
      </c>
      <c r="N18">
        <f>M18+'Temporada 2026'!U24</f>
        <v>0</v>
      </c>
      <c r="O18">
        <f>N18+'Temporada 2026'!V24</f>
        <v>0</v>
      </c>
      <c r="P18">
        <f>O18+'Temporada 2026'!W24</f>
        <v>0</v>
      </c>
      <c r="Q18">
        <f>P18+'Temporada 2026'!X24</f>
        <v>0</v>
      </c>
      <c r="R18">
        <f>Q18+'Temporada 2026'!Y24</f>
        <v>0</v>
      </c>
      <c r="S18">
        <f>R18+'Temporada 2026'!Z24</f>
        <v>0</v>
      </c>
      <c r="T18">
        <f>S18+'Temporada 2026'!AA24</f>
        <v>0</v>
      </c>
      <c r="U18">
        <f>T18+'Temporada 2026'!AB24</f>
        <v>0</v>
      </c>
      <c r="V18">
        <f>U18+'Temporada 2026'!AC24</f>
        <v>0</v>
      </c>
      <c r="W18">
        <f>V18+'Temporada 2026'!AD24</f>
        <v>0</v>
      </c>
      <c r="X18">
        <f>W18+'Temporada 2026'!AE24</f>
        <v>0</v>
      </c>
      <c r="Y18">
        <f>X18+'Temporada 2026'!AF24</f>
        <v>0</v>
      </c>
      <c r="Z18">
        <f>Y18+'Temporada 2026'!AG24</f>
        <v>0</v>
      </c>
    </row>
    <row r="19" spans="1:26" x14ac:dyDescent="0.2">
      <c r="A19">
        <f>'Temporada 2026'!B25</f>
        <v>18</v>
      </c>
      <c r="B19" t="str">
        <f>'Temporada 2026'!C25</f>
        <v>Alexander Albon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0</v>
      </c>
      <c r="K19">
        <f>J19+'Temporada 2026'!R25</f>
        <v>0</v>
      </c>
      <c r="L19">
        <f>K19+'Temporada 2026'!S25</f>
        <v>0</v>
      </c>
      <c r="M19">
        <f>L19+'Temporada 2026'!T25</f>
        <v>0</v>
      </c>
      <c r="N19">
        <f>M19+'Temporada 2026'!U25</f>
        <v>0</v>
      </c>
      <c r="O19">
        <f>N19+'Temporada 2026'!V25</f>
        <v>0</v>
      </c>
      <c r="P19">
        <f>O19+'Temporada 2026'!W25</f>
        <v>0</v>
      </c>
      <c r="Q19">
        <f>P19+'Temporada 2026'!X25</f>
        <v>0</v>
      </c>
      <c r="R19">
        <f>Q19+'Temporada 2026'!Y25</f>
        <v>0</v>
      </c>
      <c r="S19">
        <f>R19+'Temporada 2026'!Z25</f>
        <v>0</v>
      </c>
      <c r="T19">
        <f>S19+'Temporada 2026'!AA25</f>
        <v>0</v>
      </c>
      <c r="U19">
        <f>T19+'Temporada 2026'!AB25</f>
        <v>0</v>
      </c>
      <c r="V19">
        <f>U19+'Temporada 2026'!AC25</f>
        <v>0</v>
      </c>
      <c r="W19">
        <f>V19+'Temporada 2026'!AD25</f>
        <v>0</v>
      </c>
      <c r="X19">
        <f>W19+'Temporada 2026'!AE25</f>
        <v>0</v>
      </c>
      <c r="Y19">
        <f>X19+'Temporada 2026'!AF25</f>
        <v>0</v>
      </c>
      <c r="Z19">
        <f>Y19+'Temporada 2026'!AG25</f>
        <v>0</v>
      </c>
    </row>
    <row r="20" spans="1:26" x14ac:dyDescent="0.2">
      <c r="A20">
        <f>'Temporada 2026'!B26</f>
        <v>19</v>
      </c>
      <c r="B20" t="str">
        <f>'Temporada 2026'!C26</f>
        <v>Valtteri Bottas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Sergio Perez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Fernando Alonso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Lance Stroll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98</v>
      </c>
      <c r="F30">
        <f>Tabela2[[#This Row],[JAP]]+'Temporada 2026'!M39</f>
        <v>98</v>
      </c>
      <c r="G30">
        <f>Tabela2[[#This Row],[BAH]]+'Temporada 2026'!N39</f>
        <v>98</v>
      </c>
      <c r="H30">
        <f>Tabela2[[#This Row],[SAL]]+'Temporada 2026'!O39</f>
        <v>98</v>
      </c>
      <c r="I30">
        <f>Tabela2[[#This Row],[MIA]]+'Temporada 2026'!P39</f>
        <v>98</v>
      </c>
      <c r="J30">
        <f>Tabela2[[#This Row],[EMI]]+'Temporada 2026'!Q39</f>
        <v>98</v>
      </c>
      <c r="K30">
        <f>Tabela2[[#This Row],[MON]]+'Temporada 2026'!R39</f>
        <v>98</v>
      </c>
      <c r="L30">
        <f>Tabela2[[#This Row],[ESP]]+'Temporada 2026'!S39</f>
        <v>98</v>
      </c>
      <c r="M30">
        <f>Tabela2[[#This Row],[CAN]]+'Temporada 2026'!T39</f>
        <v>98</v>
      </c>
      <c r="N30">
        <f>Tabela2[[#This Row],[AUT]]+'Temporada 2026'!U39</f>
        <v>98</v>
      </c>
      <c r="O30">
        <f>Tabela2[[#This Row],[ING]]+'Temporada 2026'!V39</f>
        <v>98</v>
      </c>
      <c r="P30">
        <f>Tabela2[[#This Row],[BEL]]+'Temporada 2026'!W39</f>
        <v>98</v>
      </c>
      <c r="Q30">
        <f>Tabela2[[#This Row],[HUN]]+'Temporada 2026'!X39</f>
        <v>98</v>
      </c>
      <c r="R30">
        <f>Tabela2[[#This Row],[HOL]]+'Temporada 2026'!Y39</f>
        <v>98</v>
      </c>
      <c r="S30">
        <f>Tabela2[[#This Row],[ITA]]+'Temporada 2026'!Z39</f>
        <v>98</v>
      </c>
      <c r="T30">
        <f>Tabela2[[#This Row],[AZE]]+'Temporada 2026'!AA39</f>
        <v>98</v>
      </c>
      <c r="U30">
        <f>Tabela2[[#This Row],[SIN]]+'Temporada 2026'!AB39</f>
        <v>98</v>
      </c>
      <c r="V30">
        <f>Tabela2[[#This Row],[USA]]+'Temporada 2026'!AC39</f>
        <v>98</v>
      </c>
      <c r="W30">
        <f>Tabela2[[#This Row],[MEX]]+'Temporada 2026'!AD39</f>
        <v>98</v>
      </c>
      <c r="X30">
        <f>Tabela2[[#This Row],[SÃO]]+'Temporada 2026'!AE39</f>
        <v>98</v>
      </c>
      <c r="Y30">
        <f>Tabela2[[#This Row],[VEG]]+'Temporada 2026'!AF39</f>
        <v>98</v>
      </c>
      <c r="Z30">
        <f>Tabela2[[#This Row],[QAT]]+'Temporada 2026'!AG39</f>
        <v>98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67</v>
      </c>
      <c r="F31">
        <f>Tabela2[[#This Row],[JAP]]+'Temporada 2026'!M40</f>
        <v>67</v>
      </c>
      <c r="G31">
        <f>Tabela2[[#This Row],[BAH]]+'Temporada 2026'!N40</f>
        <v>67</v>
      </c>
      <c r="H31">
        <f>Tabela2[[#This Row],[SAL]]+'Temporada 2026'!O40</f>
        <v>67</v>
      </c>
      <c r="I31">
        <f>Tabela2[[#This Row],[MIA]]+'Temporada 2026'!P40</f>
        <v>67</v>
      </c>
      <c r="J31">
        <f>Tabela2[[#This Row],[EMI]]+'Temporada 2026'!Q40</f>
        <v>67</v>
      </c>
      <c r="K31">
        <f>Tabela2[[#This Row],[MON]]+'Temporada 2026'!R40</f>
        <v>67</v>
      </c>
      <c r="L31">
        <f>Tabela2[[#This Row],[ESP]]+'Temporada 2026'!S40</f>
        <v>67</v>
      </c>
      <c r="M31">
        <f>Tabela2[[#This Row],[CAN]]+'Temporada 2026'!T40</f>
        <v>67</v>
      </c>
      <c r="N31">
        <f>Tabela2[[#This Row],[AUT]]+'Temporada 2026'!U40</f>
        <v>67</v>
      </c>
      <c r="O31">
        <f>Tabela2[[#This Row],[ING]]+'Temporada 2026'!V40</f>
        <v>67</v>
      </c>
      <c r="P31">
        <f>Tabela2[[#This Row],[BEL]]+'Temporada 2026'!W40</f>
        <v>67</v>
      </c>
      <c r="Q31">
        <f>Tabela2[[#This Row],[HUN]]+'Temporada 2026'!X40</f>
        <v>67</v>
      </c>
      <c r="R31">
        <f>Tabela2[[#This Row],[HOL]]+'Temporada 2026'!Y40</f>
        <v>67</v>
      </c>
      <c r="S31">
        <f>Tabela2[[#This Row],[ITA]]+'Temporada 2026'!Z40</f>
        <v>67</v>
      </c>
      <c r="T31">
        <f>Tabela2[[#This Row],[AZE]]+'Temporada 2026'!AA40</f>
        <v>67</v>
      </c>
      <c r="U31">
        <f>Tabela2[[#This Row],[SIN]]+'Temporada 2026'!AB40</f>
        <v>67</v>
      </c>
      <c r="V31">
        <f>Tabela2[[#This Row],[USA]]+'Temporada 2026'!AC40</f>
        <v>67</v>
      </c>
      <c r="W31">
        <f>Tabela2[[#This Row],[MEX]]+'Temporada 2026'!AD40</f>
        <v>67</v>
      </c>
      <c r="X31">
        <f>Tabela2[[#This Row],[SÃO]]+'Temporada 2026'!AE40</f>
        <v>67</v>
      </c>
      <c r="Y31">
        <f>Tabela2[[#This Row],[VEG]]+'Temporada 2026'!AF40</f>
        <v>67</v>
      </c>
      <c r="Z31">
        <f>Tabela2[[#This Row],[QAT]]+'Temporada 2026'!AG40</f>
        <v>67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18</v>
      </c>
      <c r="F32">
        <f>Tabela2[[#This Row],[JAP]]+'Temporada 2026'!M41</f>
        <v>18</v>
      </c>
      <c r="G32">
        <f>Tabela2[[#This Row],[BAH]]+'Temporada 2026'!N41</f>
        <v>18</v>
      </c>
      <c r="H32">
        <f>Tabela2[[#This Row],[SAL]]+'Temporada 2026'!O41</f>
        <v>18</v>
      </c>
      <c r="I32">
        <f>Tabela2[[#This Row],[MIA]]+'Temporada 2026'!P41</f>
        <v>18</v>
      </c>
      <c r="J32">
        <f>Tabela2[[#This Row],[EMI]]+'Temporada 2026'!Q41</f>
        <v>18</v>
      </c>
      <c r="K32">
        <f>Tabela2[[#This Row],[MON]]+'Temporada 2026'!R41</f>
        <v>18</v>
      </c>
      <c r="L32">
        <f>Tabela2[[#This Row],[ESP]]+'Temporada 2026'!S41</f>
        <v>18</v>
      </c>
      <c r="M32">
        <f>Tabela2[[#This Row],[CAN]]+'Temporada 2026'!T41</f>
        <v>18</v>
      </c>
      <c r="N32">
        <f>Tabela2[[#This Row],[AUT]]+'Temporada 2026'!U41</f>
        <v>18</v>
      </c>
      <c r="O32">
        <f>Tabela2[[#This Row],[ING]]+'Temporada 2026'!V41</f>
        <v>18</v>
      </c>
      <c r="P32">
        <f>Tabela2[[#This Row],[BEL]]+'Temporada 2026'!W41</f>
        <v>18</v>
      </c>
      <c r="Q32">
        <f>Tabela2[[#This Row],[HUN]]+'Temporada 2026'!X41</f>
        <v>18</v>
      </c>
      <c r="R32">
        <f>Tabela2[[#This Row],[HOL]]+'Temporada 2026'!Y41</f>
        <v>18</v>
      </c>
      <c r="S32">
        <f>Tabela2[[#This Row],[ITA]]+'Temporada 2026'!Z41</f>
        <v>18</v>
      </c>
      <c r="T32">
        <f>Tabela2[[#This Row],[AZE]]+'Temporada 2026'!AA41</f>
        <v>18</v>
      </c>
      <c r="U32">
        <f>Tabela2[[#This Row],[SIN]]+'Temporada 2026'!AB41</f>
        <v>18</v>
      </c>
      <c r="V32">
        <f>Tabela2[[#This Row],[USA]]+'Temporada 2026'!AC41</f>
        <v>18</v>
      </c>
      <c r="W32">
        <f>Tabela2[[#This Row],[MEX]]+'Temporada 2026'!AD41</f>
        <v>18</v>
      </c>
      <c r="X32">
        <f>Tabela2[[#This Row],[SÃO]]+'Temporada 2026'!AE41</f>
        <v>18</v>
      </c>
      <c r="Y32">
        <f>Tabela2[[#This Row],[VEG]]+'Temporada 2026'!AF41</f>
        <v>18</v>
      </c>
      <c r="Z32">
        <f>Tabela2[[#This Row],[QAT]]+'Temporada 2026'!AG41</f>
        <v>18</v>
      </c>
    </row>
    <row r="33" spans="1:26" x14ac:dyDescent="0.2">
      <c r="A33">
        <f>'Temporada 2026'!B42</f>
        <v>4</v>
      </c>
      <c r="B33" t="str">
        <f>'Temporada 2026'!C42</f>
        <v>Haas</v>
      </c>
      <c r="C33">
        <f>'Temporada 2026'!J42</f>
        <v>6</v>
      </c>
      <c r="D33">
        <f>Tabela2[[#This Row],[AUS]]+'Temporada 2026'!K42</f>
        <v>17</v>
      </c>
      <c r="E33">
        <f>Tabela2[[#This Row],[CHI]]+'Temporada 2026'!L42</f>
        <v>17</v>
      </c>
      <c r="F33">
        <f>Tabela2[[#This Row],[JAP]]+'Temporada 2026'!M42</f>
        <v>17</v>
      </c>
      <c r="G33">
        <f>Tabela2[[#This Row],[BAH]]+'Temporada 2026'!N42</f>
        <v>17</v>
      </c>
      <c r="H33">
        <f>Tabela2[[#This Row],[SAL]]+'Temporada 2026'!O42</f>
        <v>17</v>
      </c>
      <c r="I33">
        <f>Tabela2[[#This Row],[MIA]]+'Temporada 2026'!P42</f>
        <v>17</v>
      </c>
      <c r="J33">
        <f>Tabela2[[#This Row],[EMI]]+'Temporada 2026'!Q42</f>
        <v>17</v>
      </c>
      <c r="K33">
        <f>Tabela2[[#This Row],[MON]]+'Temporada 2026'!R42</f>
        <v>17</v>
      </c>
      <c r="L33">
        <f>Tabela2[[#This Row],[ESP]]+'Temporada 2026'!S42</f>
        <v>17</v>
      </c>
      <c r="M33">
        <f>Tabela2[[#This Row],[CAN]]+'Temporada 2026'!T42</f>
        <v>17</v>
      </c>
      <c r="N33">
        <f>Tabela2[[#This Row],[AUT]]+'Temporada 2026'!U42</f>
        <v>17</v>
      </c>
      <c r="O33">
        <f>Tabela2[[#This Row],[ING]]+'Temporada 2026'!V42</f>
        <v>17</v>
      </c>
      <c r="P33">
        <f>Tabela2[[#This Row],[BEL]]+'Temporada 2026'!W42</f>
        <v>17</v>
      </c>
      <c r="Q33">
        <f>Tabela2[[#This Row],[HUN]]+'Temporada 2026'!X42</f>
        <v>17</v>
      </c>
      <c r="R33">
        <f>Tabela2[[#This Row],[HOL]]+'Temporada 2026'!Y42</f>
        <v>17</v>
      </c>
      <c r="S33">
        <f>Tabela2[[#This Row],[ITA]]+'Temporada 2026'!Z42</f>
        <v>17</v>
      </c>
      <c r="T33">
        <f>Tabela2[[#This Row],[AZE]]+'Temporada 2026'!AA42</f>
        <v>17</v>
      </c>
      <c r="U33">
        <f>Tabela2[[#This Row],[SIN]]+'Temporada 2026'!AB42</f>
        <v>17</v>
      </c>
      <c r="V33">
        <f>Tabela2[[#This Row],[USA]]+'Temporada 2026'!AC42</f>
        <v>17</v>
      </c>
      <c r="W33">
        <f>Tabela2[[#This Row],[MEX]]+'Temporada 2026'!AD42</f>
        <v>17</v>
      </c>
      <c r="X33">
        <f>Tabela2[[#This Row],[SÃO]]+'Temporada 2026'!AE42</f>
        <v>17</v>
      </c>
      <c r="Y33">
        <f>Tabela2[[#This Row],[VEG]]+'Temporada 2026'!AF42</f>
        <v>17</v>
      </c>
      <c r="Z33">
        <f>Tabela2[[#This Row],[QAT]]+'Temporada 2026'!AG42</f>
        <v>17</v>
      </c>
    </row>
    <row r="34" spans="1:26" x14ac:dyDescent="0.2">
      <c r="A34">
        <f>'Temporada 2026'!B43</f>
        <v>5</v>
      </c>
      <c r="B34" t="str">
        <f>'Temporada 2026'!C43</f>
        <v>Red Bull</v>
      </c>
      <c r="C34">
        <f>'Temporada 2026'!J43</f>
        <v>8</v>
      </c>
      <c r="D34">
        <f>Tabela2[[#This Row],[AUS]]+'Temporada 2026'!K43</f>
        <v>12</v>
      </c>
      <c r="E34">
        <f>Tabela2[[#This Row],[CHI]]+'Temporada 2026'!L43</f>
        <v>12</v>
      </c>
      <c r="F34">
        <f>Tabela2[[#This Row],[JAP]]+'Temporada 2026'!M43</f>
        <v>12</v>
      </c>
      <c r="G34">
        <f>Tabela2[[#This Row],[BAH]]+'Temporada 2026'!N43</f>
        <v>12</v>
      </c>
      <c r="H34">
        <f>Tabela2[[#This Row],[SAL]]+'Temporada 2026'!O43</f>
        <v>12</v>
      </c>
      <c r="I34">
        <f>Tabela2[[#This Row],[MIA]]+'Temporada 2026'!P43</f>
        <v>12</v>
      </c>
      <c r="J34">
        <f>Tabela2[[#This Row],[EMI]]+'Temporada 2026'!Q43</f>
        <v>12</v>
      </c>
      <c r="K34">
        <f>Tabela2[[#This Row],[MON]]+'Temporada 2026'!R43</f>
        <v>12</v>
      </c>
      <c r="L34">
        <f>Tabela2[[#This Row],[ESP]]+'Temporada 2026'!S43</f>
        <v>12</v>
      </c>
      <c r="M34">
        <f>Tabela2[[#This Row],[CAN]]+'Temporada 2026'!T43</f>
        <v>12</v>
      </c>
      <c r="N34">
        <f>Tabela2[[#This Row],[AUT]]+'Temporada 2026'!U43</f>
        <v>12</v>
      </c>
      <c r="O34">
        <f>Tabela2[[#This Row],[ING]]+'Temporada 2026'!V43</f>
        <v>12</v>
      </c>
      <c r="P34">
        <f>Tabela2[[#This Row],[BEL]]+'Temporada 2026'!W43</f>
        <v>12</v>
      </c>
      <c r="Q34">
        <f>Tabela2[[#This Row],[HUN]]+'Temporada 2026'!X43</f>
        <v>12</v>
      </c>
      <c r="R34">
        <f>Tabela2[[#This Row],[HOL]]+'Temporada 2026'!Y43</f>
        <v>12</v>
      </c>
      <c r="S34">
        <f>Tabela2[[#This Row],[ITA]]+'Temporada 2026'!Z43</f>
        <v>12</v>
      </c>
      <c r="T34">
        <f>Tabela2[[#This Row],[AZE]]+'Temporada 2026'!AA43</f>
        <v>12</v>
      </c>
      <c r="U34">
        <f>Tabela2[[#This Row],[SIN]]+'Temporada 2026'!AB43</f>
        <v>12</v>
      </c>
      <c r="V34">
        <f>Tabela2[[#This Row],[USA]]+'Temporada 2026'!AC43</f>
        <v>12</v>
      </c>
      <c r="W34">
        <f>Tabela2[[#This Row],[MEX]]+'Temporada 2026'!AD43</f>
        <v>12</v>
      </c>
      <c r="X34">
        <f>Tabela2[[#This Row],[SÃO]]+'Temporada 2026'!AE43</f>
        <v>12</v>
      </c>
      <c r="Y34">
        <f>Tabela2[[#This Row],[VEG]]+'Temporada 2026'!AF43</f>
        <v>12</v>
      </c>
      <c r="Z34">
        <f>Tabela2[[#This Row],[QAT]]+'Temporada 2026'!AG43</f>
        <v>12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4</v>
      </c>
      <c r="D35">
        <f>Tabela2[[#This Row],[AUS]]+'Temporada 2026'!K44</f>
        <v>12</v>
      </c>
      <c r="E35">
        <f>Tabela2[[#This Row],[CHI]]+'Temporada 2026'!L44</f>
        <v>12</v>
      </c>
      <c r="F35">
        <f>Tabela2[[#This Row],[JAP]]+'Temporada 2026'!M44</f>
        <v>12</v>
      </c>
      <c r="G35">
        <f>Tabela2[[#This Row],[BAH]]+'Temporada 2026'!N44</f>
        <v>12</v>
      </c>
      <c r="H35">
        <f>Tabela2[[#This Row],[SAL]]+'Temporada 2026'!O44</f>
        <v>12</v>
      </c>
      <c r="I35">
        <f>Tabela2[[#This Row],[MIA]]+'Temporada 2026'!P44</f>
        <v>12</v>
      </c>
      <c r="J35">
        <f>Tabela2[[#This Row],[EMI]]+'Temporada 2026'!Q44</f>
        <v>12</v>
      </c>
      <c r="K35">
        <f>Tabela2[[#This Row],[MON]]+'Temporada 2026'!R44</f>
        <v>12</v>
      </c>
      <c r="L35">
        <f>Tabela2[[#This Row],[ESP]]+'Temporada 2026'!S44</f>
        <v>12</v>
      </c>
      <c r="M35">
        <f>Tabela2[[#This Row],[CAN]]+'Temporada 2026'!T44</f>
        <v>12</v>
      </c>
      <c r="N35">
        <f>Tabela2[[#This Row],[AUT]]+'Temporada 2026'!U44</f>
        <v>12</v>
      </c>
      <c r="O35">
        <f>Tabela2[[#This Row],[ING]]+'Temporada 2026'!V44</f>
        <v>12</v>
      </c>
      <c r="P35">
        <f>Tabela2[[#This Row],[BEL]]+'Temporada 2026'!W44</f>
        <v>12</v>
      </c>
      <c r="Q35">
        <f>Tabela2[[#This Row],[HUN]]+'Temporada 2026'!X44</f>
        <v>12</v>
      </c>
      <c r="R35">
        <f>Tabela2[[#This Row],[HOL]]+'Temporada 2026'!Y44</f>
        <v>12</v>
      </c>
      <c r="S35">
        <f>Tabela2[[#This Row],[ITA]]+'Temporada 2026'!Z44</f>
        <v>12</v>
      </c>
      <c r="T35">
        <f>Tabela2[[#This Row],[AZE]]+'Temporada 2026'!AA44</f>
        <v>12</v>
      </c>
      <c r="U35">
        <f>Tabela2[[#This Row],[SIN]]+'Temporada 2026'!AB44</f>
        <v>12</v>
      </c>
      <c r="V35">
        <f>Tabela2[[#This Row],[USA]]+'Temporada 2026'!AC44</f>
        <v>12</v>
      </c>
      <c r="W35">
        <f>Tabela2[[#This Row],[MEX]]+'Temporada 2026'!AD44</f>
        <v>12</v>
      </c>
      <c r="X35">
        <f>Tabela2[[#This Row],[SÃO]]+'Temporada 2026'!AE44</f>
        <v>12</v>
      </c>
      <c r="Y35">
        <f>Tabela2[[#This Row],[VEG]]+'Temporada 2026'!AF44</f>
        <v>12</v>
      </c>
      <c r="Z35">
        <f>Tabela2[[#This Row],[QAT]]+'Temporada 2026'!AG44</f>
        <v>12</v>
      </c>
    </row>
    <row r="36" spans="1:26" x14ac:dyDescent="0.2">
      <c r="A36">
        <f>'Temporada 2026'!B45</f>
        <v>7</v>
      </c>
      <c r="B36" t="str">
        <f>'Temporada 2026'!C45</f>
        <v>Alpine</v>
      </c>
      <c r="C36">
        <f>'Temporada 2026'!J45</f>
        <v>1</v>
      </c>
      <c r="D36">
        <f>Tabela2[[#This Row],[AUS]]+'Temporada 2026'!K45</f>
        <v>10</v>
      </c>
      <c r="E36">
        <f>Tabela2[[#This Row],[CHI]]+'Temporada 2026'!L45</f>
        <v>10</v>
      </c>
      <c r="F36">
        <f>Tabela2[[#This Row],[JAP]]+'Temporada 2026'!M45</f>
        <v>10</v>
      </c>
      <c r="G36">
        <f>Tabela2[[#This Row],[BAH]]+'Temporada 2026'!N45</f>
        <v>10</v>
      </c>
      <c r="H36">
        <f>Tabela2[[#This Row],[SAL]]+'Temporada 2026'!O45</f>
        <v>10</v>
      </c>
      <c r="I36">
        <f>Tabela2[[#This Row],[MIA]]+'Temporada 2026'!P45</f>
        <v>10</v>
      </c>
      <c r="J36">
        <f>Tabela2[[#This Row],[EMI]]+'Temporada 2026'!Q45</f>
        <v>10</v>
      </c>
      <c r="K36">
        <f>Tabela2[[#This Row],[MON]]+'Temporada 2026'!R45</f>
        <v>10</v>
      </c>
      <c r="L36">
        <f>Tabela2[[#This Row],[ESP]]+'Temporada 2026'!S45</f>
        <v>10</v>
      </c>
      <c r="M36">
        <f>Tabela2[[#This Row],[CAN]]+'Temporada 2026'!T45</f>
        <v>10</v>
      </c>
      <c r="N36">
        <f>Tabela2[[#This Row],[AUT]]+'Temporada 2026'!U45</f>
        <v>10</v>
      </c>
      <c r="O36">
        <f>Tabela2[[#This Row],[ING]]+'Temporada 2026'!V45</f>
        <v>10</v>
      </c>
      <c r="P36">
        <f>Tabela2[[#This Row],[BEL]]+'Temporada 2026'!W45</f>
        <v>10</v>
      </c>
      <c r="Q36">
        <f>Tabela2[[#This Row],[HUN]]+'Temporada 2026'!X45</f>
        <v>10</v>
      </c>
      <c r="R36">
        <f>Tabela2[[#This Row],[HOL]]+'Temporada 2026'!Y45</f>
        <v>10</v>
      </c>
      <c r="S36">
        <f>Tabela2[[#This Row],[ITA]]+'Temporada 2026'!Z45</f>
        <v>10</v>
      </c>
      <c r="T36">
        <f>Tabela2[[#This Row],[AZE]]+'Temporada 2026'!AA45</f>
        <v>10</v>
      </c>
      <c r="U36">
        <f>Tabela2[[#This Row],[SIN]]+'Temporada 2026'!AB45</f>
        <v>10</v>
      </c>
      <c r="V36">
        <f>Tabela2[[#This Row],[USA]]+'Temporada 2026'!AC45</f>
        <v>10</v>
      </c>
      <c r="W36">
        <f>Tabela2[[#This Row],[MEX]]+'Temporada 2026'!AD45</f>
        <v>10</v>
      </c>
      <c r="X36">
        <f>Tabela2[[#This Row],[SÃO]]+'Temporada 2026'!AE45</f>
        <v>10</v>
      </c>
      <c r="Y36">
        <f>Tabela2[[#This Row],[VEG]]+'Temporada 2026'!AF45</f>
        <v>10</v>
      </c>
      <c r="Z36">
        <f>Tabela2[[#This Row],[QAT]]+'Temporada 2026'!AG45</f>
        <v>10</v>
      </c>
    </row>
    <row r="37" spans="1:26" x14ac:dyDescent="0.2">
      <c r="A37">
        <f>'Temporada 2026'!B46</f>
        <v>8</v>
      </c>
      <c r="B37" t="str">
        <f>'Temporada 2026'!C46</f>
        <v>Audi</v>
      </c>
      <c r="C37">
        <f>'Temporada 2026'!J46</f>
        <v>2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Row],[SAL]]+'Temporada 2026'!O46</f>
        <v>2</v>
      </c>
      <c r="I37">
        <f>Tabela2[[#This Row],[MIA]]+'Temporada 2026'!P46</f>
        <v>2</v>
      </c>
      <c r="J37">
        <f>Tabela2[[#This Row],[EMI]]+'Temporada 2026'!Q46</f>
        <v>2</v>
      </c>
      <c r="K37">
        <f>Tabela2[[#This Row],[MON]]+'Temporada 2026'!R46</f>
        <v>2</v>
      </c>
      <c r="L37">
        <f>Tabela2[[#This Row],[ESP]]+'Temporada 2026'!S46</f>
        <v>2</v>
      </c>
      <c r="M37">
        <f>Tabela2[[#This Row],[CAN]]+'Temporada 2026'!T46</f>
        <v>2</v>
      </c>
      <c r="N37">
        <f>Tabela2[[#This Row],[AUT]]+'Temporada 2026'!U46</f>
        <v>2</v>
      </c>
      <c r="O37">
        <f>Tabela2[[#This Row],[ING]]+'Temporada 2026'!V46</f>
        <v>2</v>
      </c>
      <c r="P37">
        <f>Tabela2[[#This Row],[BEL]]+'Temporada 2026'!W46</f>
        <v>2</v>
      </c>
      <c r="Q37">
        <f>Tabela2[[#This Row],[HUN]]+'Temporada 2026'!X46</f>
        <v>2</v>
      </c>
      <c r="R37">
        <f>Tabela2[[#This Row],[HOL]]+'Temporada 2026'!Y46</f>
        <v>2</v>
      </c>
      <c r="S37">
        <f>Tabela2[[#This Row],[ITA]]+'Temporada 2026'!Z46</f>
        <v>2</v>
      </c>
      <c r="T37">
        <f>Tabela2[[#This Row],[AZE]]+'Temporada 2026'!AA46</f>
        <v>2</v>
      </c>
      <c r="U37">
        <f>Tabela2[[#This Row],[SIN]]+'Temporada 2026'!AB46</f>
        <v>2</v>
      </c>
      <c r="V37">
        <f>Tabela2[[#This Row],[USA]]+'Temporada 2026'!AC46</f>
        <v>2</v>
      </c>
      <c r="W37">
        <f>Tabela2[[#This Row],[MEX]]+'Temporada 2026'!AD46</f>
        <v>2</v>
      </c>
      <c r="X37">
        <f>Tabela2[[#This Row],[SÃO]]+'Temporada 2026'!AE46</f>
        <v>2</v>
      </c>
      <c r="Y37">
        <f>Tabela2[[#This Row],[VEG]]+'Temporada 2026'!AF46</f>
        <v>2</v>
      </c>
      <c r="Z37">
        <f>Tabela2[[#This Row],[QAT]]+'Temporada 2026'!AG46</f>
        <v>2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Row],[SAL]]+'Temporada 2026'!O47</f>
        <v>2</v>
      </c>
      <c r="I38">
        <f>Tabela2[[#This Row],[MIA]]+'Temporada 2026'!P47</f>
        <v>2</v>
      </c>
      <c r="J38">
        <f>Tabela2[[#This Row],[EMI]]+'Temporada 2026'!Q47</f>
        <v>2</v>
      </c>
      <c r="K38">
        <f>Tabela2[[#This Row],[MON]]+'Temporada 2026'!R47</f>
        <v>2</v>
      </c>
      <c r="L38">
        <f>Tabela2[[#This Row],[ESP]]+'Temporada 2026'!S47</f>
        <v>2</v>
      </c>
      <c r="M38">
        <f>Tabela2[[#This Row],[CAN]]+'Temporada 2026'!T47</f>
        <v>2</v>
      </c>
      <c r="N38">
        <f>Tabela2[[#This Row],[AUT]]+'Temporada 2026'!U47</f>
        <v>2</v>
      </c>
      <c r="O38">
        <f>Tabela2[[#This Row],[ING]]+'Temporada 2026'!V47</f>
        <v>2</v>
      </c>
      <c r="P38">
        <f>Tabela2[[#This Row],[BEL]]+'Temporada 2026'!W47</f>
        <v>2</v>
      </c>
      <c r="Q38">
        <f>Tabela2[[#This Row],[HUN]]+'Temporada 2026'!X47</f>
        <v>2</v>
      </c>
      <c r="R38">
        <f>Tabela2[[#This Row],[HOL]]+'Temporada 2026'!Y47</f>
        <v>2</v>
      </c>
      <c r="S38">
        <f>Tabela2[[#This Row],[ITA]]+'Temporada 2026'!Z47</f>
        <v>2</v>
      </c>
      <c r="T38">
        <f>Tabela2[[#This Row],[AZE]]+'Temporada 2026'!AA47</f>
        <v>2</v>
      </c>
      <c r="U38">
        <f>Tabela2[[#This Row],[SIN]]+'Temporada 2026'!AB47</f>
        <v>2</v>
      </c>
      <c r="V38">
        <f>Tabela2[[#This Row],[USA]]+'Temporada 2026'!AC47</f>
        <v>2</v>
      </c>
      <c r="W38">
        <f>Tabela2[[#This Row],[MEX]]+'Temporada 2026'!AD47</f>
        <v>2</v>
      </c>
      <c r="X38">
        <f>Tabela2[[#This Row],[SÃO]]+'Temporada 2026'!AE47</f>
        <v>2</v>
      </c>
      <c r="Y38">
        <f>Tabela2[[#This Row],[VEG]]+'Temporada 2026'!AF47</f>
        <v>2</v>
      </c>
      <c r="Z38">
        <f>Tabela2[[#This Row],[QAT]]+'Temporada 2026'!AG47</f>
        <v>2</v>
      </c>
    </row>
    <row r="39" spans="1:26" x14ac:dyDescent="0.2">
      <c r="A39">
        <f>'Temporada 2026'!B48</f>
        <v>10</v>
      </c>
      <c r="B39" t="str">
        <f>'Temporada 2026'!C48</f>
        <v>Cadillac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0</v>
      </c>
      <c r="K39">
        <f>Tabela2[[#This Row],[MON]]+'Temporada 2026'!R48</f>
        <v>0</v>
      </c>
      <c r="L39">
        <f>Tabela2[[#This Row],[ESP]]+'Temporada 2026'!S48</f>
        <v>0</v>
      </c>
      <c r="M39">
        <f>Tabela2[[#This Row],[CAN]]+'Temporada 2026'!T48</f>
        <v>0</v>
      </c>
      <c r="N39">
        <f>Tabela2[[#This Row],[AUT]]+'Temporada 2026'!U48</f>
        <v>0</v>
      </c>
      <c r="O39">
        <f>Tabela2[[#This Row],[ING]]+'Temporada 2026'!V48</f>
        <v>0</v>
      </c>
      <c r="P39">
        <f>Tabela2[[#This Row],[BEL]]+'Temporada 2026'!W48</f>
        <v>0</v>
      </c>
      <c r="Q39">
        <f>Tabela2[[#This Row],[HUN]]+'Temporada 2026'!X48</f>
        <v>0</v>
      </c>
      <c r="R39">
        <f>Tabela2[[#This Row],[HOL]]+'Temporada 2026'!Y48</f>
        <v>0</v>
      </c>
      <c r="S39">
        <f>Tabela2[[#This Row],[ITA]]+'Temporada 2026'!Z48</f>
        <v>0</v>
      </c>
      <c r="T39">
        <f>Tabela2[[#This Row],[AZE]]+'Temporada 2026'!AA48</f>
        <v>0</v>
      </c>
      <c r="U39">
        <f>Tabela2[[#This Row],[SIN]]+'Temporada 2026'!AB48</f>
        <v>0</v>
      </c>
      <c r="V39">
        <f>Tabela2[[#This Row],[USA]]+'Temporada 2026'!AC48</f>
        <v>0</v>
      </c>
      <c r="W39">
        <f>Tabela2[[#This Row],[MEX]]+'Temporada 2026'!AD48</f>
        <v>0</v>
      </c>
      <c r="X39">
        <f>Tabela2[[#This Row],[SÃO]]+'Temporada 2026'!AE48</f>
        <v>0</v>
      </c>
      <c r="Y39">
        <f>Tabela2[[#This Row],[VEG]]+'Temporada 2026'!AF48</f>
        <v>0</v>
      </c>
      <c r="Z39">
        <f>Tabela2[[#This Row],[QAT]]+'Temporada 2026'!AG48</f>
        <v>0</v>
      </c>
    </row>
    <row r="40" spans="1:26" x14ac:dyDescent="0.2">
      <c r="A40">
        <f>'Temporada 2026'!B49</f>
        <v>11</v>
      </c>
      <c r="B40" t="str">
        <f>'Temporada 2026'!C49</f>
        <v>Aston Martin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topLeftCell="A6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3" t="s">
        <v>397</v>
      </c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</row>
    <row r="3" spans="1:42" ht="12.75" customHeight="1" x14ac:dyDescent="0.2"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  <c r="P3" s="15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4" t="s">
        <v>415</v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  <c r="AG5" s="154"/>
    </row>
    <row r="6" spans="1:42" x14ac:dyDescent="0.2">
      <c r="B6" s="156" t="s">
        <v>244</v>
      </c>
      <c r="C6" s="156" t="s">
        <v>29</v>
      </c>
      <c r="D6" s="156" t="s">
        <v>16</v>
      </c>
      <c r="E6" s="156" t="s">
        <v>17</v>
      </c>
      <c r="F6" s="156" t="s">
        <v>245</v>
      </c>
      <c r="G6" s="156" t="s">
        <v>246</v>
      </c>
      <c r="H6" s="156" t="s">
        <v>359</v>
      </c>
      <c r="I6" s="156" t="s">
        <v>253</v>
      </c>
      <c r="J6" s="157" t="s">
        <v>232</v>
      </c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  <c r="AG6" s="157"/>
      <c r="AJ6" s="110"/>
    </row>
    <row r="7" spans="1:42" x14ac:dyDescent="0.2">
      <c r="B7" s="156"/>
      <c r="C7" s="156"/>
      <c r="D7" s="156"/>
      <c r="E7" s="156"/>
      <c r="F7" s="156"/>
      <c r="G7" s="156"/>
      <c r="H7" s="156"/>
      <c r="I7" s="156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George Russell</v>
      </c>
      <c r="D8" s="123" t="str">
        <f>VLOOKUP(B8,'Dummy Table'!$A$3:$C$30,3,FALSE)</f>
        <v>Inglaterra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51</v>
      </c>
      <c r="H8" s="123"/>
      <c r="I8" s="126">
        <f>IF(B8="","",SUMIF(Resultados!$M$3:$M$30,C8,Resultados!$O$3:$O$30))</f>
        <v>1</v>
      </c>
      <c r="J8" s="121">
        <f>IF(C8&lt;&gt;"",SUMIF(Resultados!$C$4:$C$29,'Temporada 2026'!C8,Resultados!$F$4:$F$29),"")</f>
        <v>25</v>
      </c>
      <c r="K8" s="121">
        <f>IF(C8&lt;&gt;"",SUMIF(Resultados!$C$33:$C$82,'Temporada 2026'!C8,Resultados!$F$33:$F$82),"")</f>
        <v>26</v>
      </c>
      <c r="L8" s="121">
        <f>IF(C8&lt;&gt;"",SUMIF(Resultados!$C$85:$C$110,'Temporada 2026'!C8,Resultados!$F$85:$F$110),"")</f>
        <v>0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0</v>
      </c>
      <c r="P8" s="121">
        <f>IF(C8&lt;&gt;"",SUMIF(Resultados!$C$247:$C$272,'Temporada 2026'!C8,Resultados!$F$247:$F$272),"")</f>
        <v>0</v>
      </c>
      <c r="Q8" s="121">
        <f>IF(C8&lt;&gt;"",SUMIF(Resultados!$C$275:$C$300,'Temporada 2026'!C8,Resultados!$F$275:$F$300),"")</f>
        <v>0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0</v>
      </c>
      <c r="T8" s="121">
        <f>IF(C8&lt;&gt;"",SUMIF(Resultados!$C$384:$C$409,'Temporada 2026'!C8,Resultados!$F$384:$F$409),"")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IF(C8&lt;&gt;"",SUMIF(Resultados!$C$439:$C$465,'Temporada 2026'!C8,Resultados!$F$439:$F$465),"")</f>
        <v>0</v>
      </c>
      <c r="W8" s="121">
        <f>IF(C8&lt;&gt;"",SUMIF(Resultados!$C$493:$C$518,'Temporada 2026'!C8,Resultados!$F$493:$F$518),"")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IF(C8&lt;&gt;"",SUMIF(Resultados!$C$630:$C$655,'Temporada 2026'!C8,Resultados!$F$630:$F$655),"")</f>
        <v>0</v>
      </c>
      <c r="AB8" s="121">
        <f>IF(C8&lt;&gt;"",SUMIF(Resultados!$C$606:$C$683,'Temporada 2026'!C8,Resultados!$F$606:$F$683),"")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IF(C8&lt;&gt;"",SUMIF(Resultados!$C$360:$C$739,'Temporada 2026'!C8,Resultados!$F$360:$F$739),"")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IF(C8&lt;&gt;"",SUMIF(Resultados!$C$223:$C$795,'Temporada 2026'!C8,Resultados!$F$223:$F$795),"")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Kimi Antonelli</v>
      </c>
      <c r="D9" s="123" t="str">
        <f>VLOOKUP(B9,'Dummy Table'!$A$3:$C$30,3,FALSE)</f>
        <v>Itália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47</v>
      </c>
      <c r="H9" s="123">
        <f>IF(C9&lt;&gt;"",G9-G$8,"")</f>
        <v>-4</v>
      </c>
      <c r="I9" s="126">
        <f>IF(B9="","",SUMIF(Resultados!$M$3:$M$30,C9,Resultados!$O$3:$O$30))</f>
        <v>1</v>
      </c>
      <c r="J9" s="121">
        <f>IF(C9&lt;&gt;"",SUMIF(Resultados!$C$4:$C$29,'Temporada 2026'!C9,Resultados!$F$4:$F$29),"")</f>
        <v>18</v>
      </c>
      <c r="K9" s="121">
        <f>IF(C9&lt;&gt;"",SUMIF(Resultados!$C$33:$C$82,'Temporada 2026'!C9,Resultados!$F$33:$F$82),"")</f>
        <v>29</v>
      </c>
      <c r="L9" s="121">
        <f>IF(C9&lt;&gt;"",SUMIF(Resultados!$C$85:$C$110,'Temporada 2026'!C9,Resultados!$F$85:$F$110),"")</f>
        <v>0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0</v>
      </c>
      <c r="P9" s="121">
        <f>IF(C9&lt;&gt;"",SUMIF(Resultados!$C$247:$C$272,'Temporada 2026'!C9,Resultados!$F$247:$F$272),"")</f>
        <v>0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0</v>
      </c>
      <c r="S9" s="121">
        <f>IF(C9&lt;&gt;"",SUMIF(Resultados!$C$331:$C$356,'Temporada 2026'!C9,Resultados!$F$331:$F$356),"")</f>
        <v>0</v>
      </c>
      <c r="T9" s="121">
        <f>IF(C9&lt;&gt;"",SUMIF(Resultados!$C$384:$C$409,'Temporada 2026'!C9,Resultados!$F$384:$F$409),"")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IF(C9&lt;&gt;"",SUMIF(Resultados!$C$439:$C$465,'Temporada 2026'!C9,Resultados!$F$439:$F$465),"")</f>
        <v>0</v>
      </c>
      <c r="W9" s="121">
        <f>IF(C9&lt;&gt;"",SUMIF(Resultados!$C$493:$C$518,'Temporada 2026'!C9,Resultados!$F$493:$F$518),"")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IF(C9&lt;&gt;"",SUMIF(Resultados!$C$630:$C$655,'Temporada 2026'!C9,Resultados!$F$630:$F$655),"")</f>
        <v>0</v>
      </c>
      <c r="AB9" s="121">
        <f>IF(C9&lt;&gt;"",SUMIF(Resultados!$C$606:$C$683,'Temporada 2026'!C9,Resultados!$F$606:$F$683),"")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IF(C9&lt;&gt;"",SUMIF(Resultados!$C$360:$C$739,'Temporada 2026'!C9,Resultados!$F$360:$F$739),"")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IF(C9&lt;&gt;"",SUMIF(Resultados!$C$223:$C$795,'Temporada 2026'!C9,Resultados!$F$223:$F$795),"")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Charles Leclerc</v>
      </c>
      <c r="D10" s="123" t="str">
        <f>VLOOKUP(B10,'Dummy Table'!$A$3:$C$30,3,FALSE)</f>
        <v>Mônaco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34</v>
      </c>
      <c r="H10" s="123">
        <f t="shared" ref="H10:H31" si="0">IF(C10&lt;&gt;"",G10-G$8,"")</f>
        <v>-17</v>
      </c>
      <c r="I10" s="126">
        <f>IF(B10="","",SUMIF(Resultados!$M$3:$M$30,C10,Resultados!$O$3:$O$30))</f>
        <v>0</v>
      </c>
      <c r="J10" s="121">
        <f>IF(C10&lt;&gt;"",SUMIF(Resultados!$C$4:$C$29,'Temporada 2026'!C10,Resultados!$F$4:$F$29),"")</f>
        <v>15</v>
      </c>
      <c r="K10" s="121">
        <f>IF(C10&lt;&gt;"",SUMIF(Resultados!$C$33:$C$82,'Temporada 2026'!C10,Resultados!$F$33:$F$82),"")</f>
        <v>19</v>
      </c>
      <c r="L10" s="121">
        <f>IF(C10&lt;&gt;"",SUMIF(Resultados!$C$85:$C$110,'Temporada 2026'!C10,Resultados!$F$85:$F$110),"")</f>
        <v>0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0</v>
      </c>
      <c r="P10" s="121">
        <f>IF(C10&lt;&gt;"",SUMIF(Resultados!$C$247:$C$272,'Temporada 2026'!C10,Resultados!$F$247:$F$272),"")</f>
        <v>0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0</v>
      </c>
      <c r="S10" s="121">
        <f>IF(C10&lt;&gt;"",SUMIF(Resultados!$C$331:$C$356,'Temporada 2026'!C10,Resultados!$F$331:$F$356),"")</f>
        <v>0</v>
      </c>
      <c r="T10" s="121">
        <f>IF(C10&lt;&gt;"",SUMIF(Resultados!$C$384:$C$409,'Temporada 2026'!C10,Resultados!$F$384:$F$409),"")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IF(C10&lt;&gt;"",SUMIF(Resultados!$C$439:$C$465,'Temporada 2026'!C10,Resultados!$F$439:$F$465),"")</f>
        <v>0</v>
      </c>
      <c r="W10" s="121">
        <f>IF(C10&lt;&gt;"",SUMIF(Resultados!$C$493:$C$518,'Temporada 2026'!C10,Resultados!$F$493:$F$518),"")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IF(C10&lt;&gt;"",SUMIF(Resultados!$C$630:$C$655,'Temporada 2026'!C10,Resultados!$F$630:$F$655),"")</f>
        <v>0</v>
      </c>
      <c r="AB10" s="121">
        <f>IF(C10&lt;&gt;"",SUMIF(Resultados!$C$606:$C$683,'Temporada 2026'!C10,Resultados!$F$606:$F$683),"")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IF(C10&lt;&gt;"",SUMIF(Resultados!$C$360:$C$739,'Temporada 2026'!C10,Resultados!$F$360:$F$739),"")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IF(C10&lt;&gt;"",SUMIF(Resultados!$C$223:$C$795,'Temporada 2026'!C10,Resultados!$F$223:$F$795),"")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Lewis Hamilton</v>
      </c>
      <c r="D11" s="123" t="str">
        <f>VLOOKUP(B11,'Dummy Table'!$A$3:$C$30,3,FALSE)</f>
        <v>Inglaterra</v>
      </c>
      <c r="E11" s="123" t="str">
        <f>VLOOKUP(B11,'Dummy Table'!$A$3:$D$30,4,FALSE)</f>
        <v>Ferrari</v>
      </c>
      <c r="F11" s="124" t="str">
        <f>IF(C11&lt;&gt;"",IF(G11+Resultados!$K$35&gt;$G$8,"J","L"),"")</f>
        <v>J</v>
      </c>
      <c r="G11" s="125">
        <f>VLOOKUP(B11,'Dummy Table'!$A$3:$E$30,5,FALSE)</f>
        <v>33</v>
      </c>
      <c r="H11" s="123">
        <f t="shared" si="0"/>
        <v>-18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12</v>
      </c>
      <c r="K11" s="121">
        <f>IF(C11&lt;&gt;"",SUMIF(Resultados!$C$33:$C$82,'Temporada 2026'!C11,Resultados!$F$33:$F$82),"")</f>
        <v>21</v>
      </c>
      <c r="L11" s="121">
        <f>IF(C11&lt;&gt;"",SUMIF(Resultados!$C$85:$C$110,'Temporada 2026'!C11,Resultados!$F$85:$F$110),"")</f>
        <v>0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0</v>
      </c>
      <c r="P11" s="121">
        <f>IF(C11&lt;&gt;"",SUMIF(Resultados!$C$247:$C$272,'Temporada 2026'!C11,Resultados!$F$247:$F$272),"")</f>
        <v>0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0</v>
      </c>
      <c r="T11" s="121">
        <f>IF(C11&lt;&gt;"",SUMIF(Resultados!$C$384:$C$409,'Temporada 2026'!C11,Resultados!$F$384:$F$409),"")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IF(C11&lt;&gt;"",SUMIF(Resultados!$C$439:$C$465,'Temporada 2026'!C11,Resultados!$F$439:$F$465),"")</f>
        <v>0</v>
      </c>
      <c r="W11" s="121">
        <f>IF(C11&lt;&gt;"",SUMIF(Resultados!$C$493:$C$518,'Temporada 2026'!C11,Resultados!$F$493:$F$518),"")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IF(C11&lt;&gt;"",SUMIF(Resultados!$C$630:$C$655,'Temporada 2026'!C11,Resultados!$F$630:$F$655),"")</f>
        <v>0</v>
      </c>
      <c r="AB11" s="121">
        <f>IF(C11&lt;&gt;"",SUMIF(Resultados!$C$606:$C$683,'Temporada 2026'!C11,Resultados!$F$606:$F$683),"")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IF(C11&lt;&gt;"",SUMIF(Resultados!$C$360:$C$739,'Temporada 2026'!C11,Resultados!$F$360:$F$739),"")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IF(C11&lt;&gt;"",SUMIF(Resultados!$C$223:$C$795,'Temporada 2026'!C11,Resultados!$F$223:$F$795),"")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Oliver Bearman</v>
      </c>
      <c r="D12" s="123" t="str">
        <f>VLOOKUP(B12,'Dummy Table'!$A$3:$C$30,3,FALSE)</f>
        <v>Inglaterra</v>
      </c>
      <c r="E12" s="123" t="str">
        <f>VLOOKUP(B12,'Dummy Table'!$A$3:$D$30,4,FALSE)</f>
        <v>Haas</v>
      </c>
      <c r="F12" s="124" t="str">
        <f>IF(C12&lt;&gt;"",IF(G12+Resultados!$K$35&gt;$G$8,"J","L"),"")</f>
        <v>J</v>
      </c>
      <c r="G12" s="125">
        <f>VLOOKUP(B12,'Dummy Table'!$A$3:$E$30,5,FALSE)</f>
        <v>17</v>
      </c>
      <c r="H12" s="123">
        <f t="shared" si="0"/>
        <v>-34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6</v>
      </c>
      <c r="K12" s="121">
        <f>IF(C12&lt;&gt;"",SUMIF(Resultados!$C$33:$C$82,'Temporada 2026'!C12,Resultados!$F$33:$F$82),"")</f>
        <v>11</v>
      </c>
      <c r="L12" s="121">
        <f>IF(C12&lt;&gt;"",SUMIF(Resultados!$C$85:$C$110,'Temporada 2026'!C12,Resultados!$F$85:$F$110),"")</f>
        <v>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0</v>
      </c>
      <c r="P12" s="121">
        <f>IF(C12&lt;&gt;"",SUMIF(Resultados!$C$247:$C$272,'Temporada 2026'!C12,Resultados!$F$247:$F$272),"")</f>
        <v>0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0</v>
      </c>
      <c r="T12" s="121">
        <f>IF(C12&lt;&gt;"",SUMIF(Resultados!$C$384:$C$409,'Temporada 2026'!C12,Resultados!$F$384:$F$409),"")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IF(C12&lt;&gt;"",SUMIF(Resultados!$C$439:$C$465,'Temporada 2026'!C12,Resultados!$F$439:$F$465),"")</f>
        <v>0</v>
      </c>
      <c r="W12" s="121">
        <f>IF(C12&lt;&gt;"",SUMIF(Resultados!$C$493:$C$518,'Temporada 2026'!C12,Resultados!$F$493:$F$518),"")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IF(C12&lt;&gt;"",SUMIF(Resultados!$C$630:$C$655,'Temporada 2026'!C12,Resultados!$F$630:$F$655),"")</f>
        <v>0</v>
      </c>
      <c r="AB12" s="121">
        <f>IF(C12&lt;&gt;"",SUMIF(Resultados!$C$606:$C$683,'Temporada 2026'!C12,Resultados!$F$606:$F$683),"")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IF(C12&lt;&gt;"",SUMIF(Resultados!$C$360:$C$739,'Temporada 2026'!C12,Resultados!$F$360:$F$739),"")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IF(C12&lt;&gt;"",SUMIF(Resultados!$C$223:$C$795,'Temporada 2026'!C12,Resultados!$F$223:$F$795),"")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Lando Norris</v>
      </c>
      <c r="D13" s="123" t="str">
        <f>VLOOKUP(B13,'Dummy Table'!$A$3:$C$30,3,FALSE)</f>
        <v>Inglaterra</v>
      </c>
      <c r="E13" s="123" t="str">
        <f>VLOOKUP(B13,'Dummy Table'!$A$3:$D$30,4,FALSE)</f>
        <v>McLaren</v>
      </c>
      <c r="F13" s="124" t="str">
        <f>IF(C13&lt;&gt;"",IF(G13+Resultados!$K$35&gt;$G$8,"J","L"),"")</f>
        <v>J</v>
      </c>
      <c r="G13" s="125">
        <f>VLOOKUP(B13,'Dummy Table'!$A$3:$E$30,5,FALSE)</f>
        <v>15</v>
      </c>
      <c r="H13" s="123">
        <f t="shared" si="0"/>
        <v>-36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10</v>
      </c>
      <c r="K13" s="121">
        <f>IF(C13&lt;&gt;"",SUMIF(Resultados!$C$33:$C$82,'Temporada 2026'!C13,Resultados!$F$33:$F$82),"")</f>
        <v>5</v>
      </c>
      <c r="L13" s="121">
        <f>IF(C13&lt;&gt;"",SUMIF(Resultados!$C$85:$C$110,'Temporada 2026'!C13,Resultados!$F$85:$F$110),"")</f>
        <v>0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0</v>
      </c>
      <c r="P13" s="121">
        <f>IF(C13&lt;&gt;"",SUMIF(Resultados!$C$247:$C$272,'Temporada 2026'!C13,Resultados!$F$247:$F$272),"")</f>
        <v>0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0</v>
      </c>
      <c r="S13" s="121">
        <f>IF(C13&lt;&gt;"",SUMIF(Resultados!$C$331:$C$356,'Temporada 2026'!C13,Resultados!$F$331:$F$356),"")</f>
        <v>0</v>
      </c>
      <c r="T13" s="121">
        <f>IF(C13&lt;&gt;"",SUMIF(Resultados!$C$384:$C$409,'Temporada 2026'!C13,Resultados!$F$384:$F$409),"")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IF(C13&lt;&gt;"",SUMIF(Resultados!$C$439:$C$465,'Temporada 2026'!C13,Resultados!$F$439:$F$465),"")</f>
        <v>0</v>
      </c>
      <c r="W13" s="121">
        <f>IF(C13&lt;&gt;"",SUMIF(Resultados!$C$493:$C$518,'Temporada 2026'!C13,Resultados!$F$493:$F$518),"")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IF(C13&lt;&gt;"",SUMIF(Resultados!$C$630:$C$655,'Temporada 2026'!C13,Resultados!$F$630:$F$655),"")</f>
        <v>0</v>
      </c>
      <c r="AB13" s="121">
        <f>IF(C13&lt;&gt;"",SUMIF(Resultados!$C$606:$C$683,'Temporada 2026'!C13,Resultados!$F$606:$F$683),"")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IF(C13&lt;&gt;"",SUMIF(Resultados!$C$360:$C$739,'Temporada 2026'!C13,Resultados!$F$360:$F$739),"")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IF(C13&lt;&gt;"",SUMIF(Resultados!$C$223:$C$795,'Temporada 2026'!C13,Resultados!$F$223:$F$795),"")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Pierre Gasly</v>
      </c>
      <c r="D14" s="123" t="str">
        <f>VLOOKUP(B14,'Dummy Table'!$A$3:$C$30,3,FALSE)</f>
        <v>França</v>
      </c>
      <c r="E14" s="123" t="str">
        <f>VLOOKUP(B14,'Dummy Table'!$A$3:$D$30,4,FALSE)</f>
        <v>Alpine</v>
      </c>
      <c r="F14" s="124" t="str">
        <f>IF(C14&lt;&gt;"",IF(G14+Resultados!$K$35&gt;$G$8,"J","L"),"")</f>
        <v>J</v>
      </c>
      <c r="G14" s="125">
        <f>VLOOKUP(B14,'Dummy Table'!$A$3:$E$30,5,FALSE)</f>
        <v>9</v>
      </c>
      <c r="H14" s="123">
        <f t="shared" si="0"/>
        <v>-42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1</v>
      </c>
      <c r="K14" s="121">
        <f>IF(C14&lt;&gt;"",SUMIF(Resultados!$C$33:$C$82,'Temporada 2026'!C14,Resultados!$F$33:$F$82),"")</f>
        <v>8</v>
      </c>
      <c r="L14" s="121">
        <f>IF(C14&lt;&gt;"",SUMIF(Resultados!$C$85:$C$110,'Temporada 2026'!C14,Resultados!$F$85:$F$110),"")</f>
        <v>0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0</v>
      </c>
      <c r="P14" s="121">
        <f>IF(C14&lt;&gt;"",SUMIF(Resultados!$C$247:$C$272,'Temporada 2026'!C14,Resultados!$F$247:$F$272),"")</f>
        <v>0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0</v>
      </c>
      <c r="S14" s="121">
        <f>IF(C14&lt;&gt;"",SUMIF(Resultados!$C$331:$C$356,'Temporada 2026'!C14,Resultados!$F$331:$F$356),"")</f>
        <v>0</v>
      </c>
      <c r="T14" s="121">
        <f>IF(C14&lt;&gt;"",SUMIF(Resultados!$C$384:$C$409,'Temporada 2026'!C14,Resultados!$F$384:$F$409),"")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IF(C14&lt;&gt;"",SUMIF(Resultados!$C$439:$C$465,'Temporada 2026'!C14,Resultados!$F$439:$F$465),"")</f>
        <v>0</v>
      </c>
      <c r="W14" s="121">
        <f>IF(C14&lt;&gt;"",SUMIF(Resultados!$C$493:$C$518,'Temporada 2026'!C14,Resultados!$F$493:$F$518),"")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IF(C14&lt;&gt;"",SUMIF(Resultados!$C$630:$C$655,'Temporada 2026'!C14,Resultados!$F$630:$F$655),"")</f>
        <v>0</v>
      </c>
      <c r="AB14" s="121">
        <f>IF(C14&lt;&gt;"",SUMIF(Resultados!$C$606:$C$683,'Temporada 2026'!C14,Resultados!$F$606:$F$683),"")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IF(C14&lt;&gt;"",SUMIF(Resultados!$C$360:$C$739,'Temporada 2026'!C14,Resultados!$F$360:$F$739),"")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IF(C14&lt;&gt;"",SUMIF(Resultados!$C$223:$C$795,'Temporada 2026'!C14,Resultados!$F$223:$F$795),"")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Max Verstappen</v>
      </c>
      <c r="D15" s="123" t="str">
        <f>VLOOKUP(B15,'Dummy Table'!$A$3:$C$30,3,FALSE)</f>
        <v>Holanda</v>
      </c>
      <c r="E15" s="123" t="str">
        <f>VLOOKUP(B15,'Dummy Table'!$A$3:$D$30,4,FALSE)</f>
        <v>Red Bull</v>
      </c>
      <c r="F15" s="124" t="str">
        <f>IF(C15&lt;&gt;"",IF(G15+Resultados!$K$35&gt;$G$8,"J","L"),"")</f>
        <v>J</v>
      </c>
      <c r="G15" s="125">
        <f>VLOOKUP(B15,'Dummy Table'!$A$3:$E$30,5,FALSE)</f>
        <v>8</v>
      </c>
      <c r="H15" s="123">
        <f t="shared" si="0"/>
        <v>-43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8</v>
      </c>
      <c r="K15" s="121">
        <f>IF(C15&lt;&gt;"",SUMIF(Resultados!$C$33:$C$82,'Temporada 2026'!C15,Resultados!$F$33:$F$82),"")</f>
        <v>0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IF(C15&lt;&gt;"",SUMIF(Resultados!$C$247:$C$272,'Temporada 2026'!C15,Resultados!$F$247:$F$272),"")</f>
        <v>0</v>
      </c>
      <c r="Q15" s="121">
        <f>IF(C15&lt;&gt;"",SUMIF(Resultados!$C$275:$C$300,'Temporada 2026'!C15,Resultados!$F$275:$F$300),"")</f>
        <v>0</v>
      </c>
      <c r="R15" s="121">
        <f>IF(C15&lt;&gt;"",SUMIF(Resultados!$C$303:$C$328,'Temporada 2026'!C15,Resultados!$F$303:$F$328),"")</f>
        <v>0</v>
      </c>
      <c r="S15" s="121">
        <f>IF(C15&lt;&gt;"",SUMIF(Resultados!$C$331:$C$356,'Temporada 2026'!C15,Resultados!$F$331:$F$356),"")</f>
        <v>0</v>
      </c>
      <c r="T15" s="121">
        <f>IF(C15&lt;&gt;"",SUMIF(Resultados!$C$384:$C$409,'Temporada 2026'!C15,Resultados!$F$384:$F$409),"")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IF(C15&lt;&gt;"",SUMIF(Resultados!$C$439:$C$465,'Temporada 2026'!C15,Resultados!$F$439:$F$465),"")</f>
        <v>0</v>
      </c>
      <c r="W15" s="121">
        <f>IF(C15&lt;&gt;"",SUMIF(Resultados!$C$493:$C$518,'Temporada 2026'!C15,Resultados!$F$493:$F$518),"")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IF(C15&lt;&gt;"",SUMIF(Resultados!$C$630:$C$655,'Temporada 2026'!C15,Resultados!$F$630:$F$655),"")</f>
        <v>0</v>
      </c>
      <c r="AB15" s="121">
        <f>IF(C15&lt;&gt;"",SUMIF(Resultados!$C$606:$C$683,'Temporada 2026'!C15,Resultados!$F$606:$F$683),"")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IF(C15&lt;&gt;"",SUMIF(Resultados!$C$360:$C$739,'Temporada 2026'!C15,Resultados!$F$360:$F$739),"")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IF(C15&lt;&gt;"",SUMIF(Resultados!$C$223:$C$795,'Temporada 2026'!C15,Resultados!$F$223:$F$795),"")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Liam Lawson</v>
      </c>
      <c r="D16" s="123" t="str">
        <f>VLOOKUP(B16,'Dummy Table'!$A$3:$C$30,3,FALSE)</f>
        <v>Austrália</v>
      </c>
      <c r="E16" s="123" t="str">
        <f>VLOOKUP(B16,'Dummy Table'!$A$3:$D$30,4,FALSE)</f>
        <v>Racing Bulls</v>
      </c>
      <c r="F16" s="124" t="str">
        <f>IF(C16&lt;&gt;"",IF(G16+Resultados!$K$35&gt;$G$8,"J","L"),"")</f>
        <v>J</v>
      </c>
      <c r="G16" s="125">
        <f>VLOOKUP(B16,'Dummy Table'!$A$3:$E$30,5,FALSE)</f>
        <v>8</v>
      </c>
      <c r="H16" s="123">
        <f t="shared" si="0"/>
        <v>-43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0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IF(C16&lt;&gt;"",SUMIF(Resultados!$C$247:$C$272,'Temporada 2026'!C16,Resultados!$F$247:$F$272),"")</f>
        <v>0</v>
      </c>
      <c r="Q16" s="121">
        <f>IF(C16&lt;&gt;"",SUMIF(Resultados!$C$275:$C$300,'Temporada 2026'!C16,Resultados!$F$275:$F$300),"")</f>
        <v>0</v>
      </c>
      <c r="R16" s="121">
        <f>IF(C16&lt;&gt;"",SUMIF(Resultados!$C$303:$C$328,'Temporada 2026'!C16,Resultados!$F$303:$F$328),"")</f>
        <v>0</v>
      </c>
      <c r="S16" s="121">
        <f>IF(C16&lt;&gt;"",SUMIF(Resultados!$C$331:$C$356,'Temporada 2026'!C16,Resultados!$F$331:$F$356),"")</f>
        <v>0</v>
      </c>
      <c r="T16" s="121">
        <f>IF(C16&lt;&gt;"",SUMIF(Resultados!$C$384:$C$409,'Temporada 2026'!C16,Resultados!$F$384:$F$409),"")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IF(C16&lt;&gt;"",SUMIF(Resultados!$C$439:$C$465,'Temporada 2026'!C16,Resultados!$F$439:$F$465),"")</f>
        <v>0</v>
      </c>
      <c r="W16" s="121">
        <f>IF(C16&lt;&gt;"",SUMIF(Resultados!$C$493:$C$518,'Temporada 2026'!C16,Resultados!$F$493:$F$518),"")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IF(C16&lt;&gt;"",SUMIF(Resultados!$C$630:$C$655,'Temporada 2026'!C16,Resultados!$F$630:$F$655),"")</f>
        <v>0</v>
      </c>
      <c r="AB16" s="121">
        <f>IF(C16&lt;&gt;"",SUMIF(Resultados!$C$606:$C$683,'Temporada 2026'!C16,Resultados!$F$606:$F$683),"")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IF(C16&lt;&gt;"",SUMIF(Resultados!$C$360:$C$739,'Temporada 2026'!C16,Resultados!$F$360:$F$739),"")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IF(C16&lt;&gt;"",SUMIF(Resultados!$C$223:$C$795,'Temporada 2026'!C16,Resultados!$F$223:$F$795),"")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Arvid Lindblad</v>
      </c>
      <c r="D17" s="123" t="str">
        <f>VLOOKUP(B17,'Dummy Table'!$A$3:$C$30,3,FALSE)</f>
        <v>Inglaterra</v>
      </c>
      <c r="E17" s="123" t="str">
        <f>VLOOKUP(B17,'Dummy Table'!$A$3:$D$30,4,FALSE)</f>
        <v>Racing Bulls</v>
      </c>
      <c r="F17" s="124" t="str">
        <f>IF(C17&lt;&gt;"",IF(G17+Resultados!$K$35&gt;$G$8,"J","L"),"")</f>
        <v>J</v>
      </c>
      <c r="G17" s="125">
        <f>VLOOKUP(B17,'Dummy Table'!$A$3:$E$30,5,FALSE)</f>
        <v>4</v>
      </c>
      <c r="H17" s="123">
        <f t="shared" si="0"/>
        <v>-47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4</v>
      </c>
      <c r="K17" s="121">
        <f>IF(C17&lt;&gt;"",SUMIF(Resultados!$C$33:$C$82,'Temporada 2026'!C17,Resultados!$F$33:$F$82),"")</f>
        <v>0</v>
      </c>
      <c r="L17" s="121">
        <f>IF(C17&lt;&gt;"",SUMIF(Resultados!$C$85:$C$110,'Temporada 2026'!C17,Resultados!$F$85:$F$110),"")</f>
        <v>0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IF(C17&lt;&gt;"",SUMIF(Resultados!$C$247:$C$272,'Temporada 2026'!C17,Resultados!$F$247:$F$272),"")</f>
        <v>0</v>
      </c>
      <c r="Q17" s="121">
        <f>IF(C17&lt;&gt;"",SUMIF(Resultados!$C$275:$C$300,'Temporada 2026'!C17,Resultados!$F$275:$F$300),"")</f>
        <v>0</v>
      </c>
      <c r="R17" s="121">
        <f>IF(C17&lt;&gt;"",SUMIF(Resultados!$C$303:$C$328,'Temporada 2026'!C17,Resultados!$F$303:$F$328),"")</f>
        <v>0</v>
      </c>
      <c r="S17" s="121">
        <f>IF(C17&lt;&gt;"",SUMIF(Resultados!$C$331:$C$356,'Temporada 2026'!C17,Resultados!$F$331:$F$356),"")</f>
        <v>0</v>
      </c>
      <c r="T17" s="121">
        <f>IF(C17&lt;&gt;"",SUMIF(Resultados!$C$384:$C$409,'Temporada 2026'!C17,Resultados!$F$384:$F$409),"")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IF(C17&lt;&gt;"",SUMIF(Resultados!$C$439:$C$465,'Temporada 2026'!C17,Resultados!$F$439:$F$465),"")</f>
        <v>0</v>
      </c>
      <c r="W17" s="121">
        <f>IF(C17&lt;&gt;"",SUMIF(Resultados!$C$493:$C$518,'Temporada 2026'!C17,Resultados!$F$493:$F$518),"")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IF(C17&lt;&gt;"",SUMIF(Resultados!$C$630:$C$655,'Temporada 2026'!C17,Resultados!$F$630:$F$655),"")</f>
        <v>0</v>
      </c>
      <c r="AB17" s="121">
        <f>IF(C17&lt;&gt;"",SUMIF(Resultados!$C$606:$C$683,'Temporada 2026'!C17,Resultados!$F$606:$F$683),"")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IF(C17&lt;&gt;"",SUMIF(Resultados!$C$360:$C$739,'Temporada 2026'!C17,Resultados!$F$360:$F$739),"")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IF(C17&lt;&gt;"",SUMIF(Resultados!$C$223:$C$795,'Temporada 2026'!C17,Resultados!$F$223:$F$795),"")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Isack Hadjar</v>
      </c>
      <c r="D18" s="123" t="str">
        <f>VLOOKUP(B18,'Dummy Table'!$A$3:$C$30,3,FALSE)</f>
        <v>França</v>
      </c>
      <c r="E18" s="123" t="str">
        <f>VLOOKUP(B18,'Dummy Table'!$A$3:$D$30,4,FALSE)</f>
        <v>Red Bull</v>
      </c>
      <c r="F18" s="124" t="str">
        <f>IF(C18&lt;&gt;"",IF(G18+Resultados!$K$35&gt;$G$8,"J","L"),"")</f>
        <v>J</v>
      </c>
      <c r="G18" s="125">
        <f>VLOOKUP(B18,'Dummy Table'!$A$3:$E$30,5,FALSE)</f>
        <v>4</v>
      </c>
      <c r="H18" s="123">
        <f t="shared" si="0"/>
        <v>-47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0</v>
      </c>
      <c r="K18" s="121">
        <f>IF(C18&lt;&gt;"",SUMIF(Resultados!$C$33:$C$82,'Temporada 2026'!C18,Resultados!$F$33:$F$82),"")</f>
        <v>4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IF(C18&lt;&gt;"",SUMIF(Resultados!$C$247:$C$272,'Temporada 2026'!C18,Resultados!$F$247:$F$272),"")</f>
        <v>0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IF(C18&lt;&gt;"",SUMIF(Resultados!$C$384:$C$409,'Temporada 2026'!C18,Resultados!$F$384:$F$409),"")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IF(C18&lt;&gt;"",SUMIF(Resultados!$C$439:$C$465,'Temporada 2026'!C18,Resultados!$F$439:$F$465),"")</f>
        <v>0</v>
      </c>
      <c r="W18" s="121">
        <f>IF(C18&lt;&gt;"",SUMIF(Resultados!$C$493:$C$518,'Temporada 2026'!C18,Resultados!$F$493:$F$518),"")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IF(C18&lt;&gt;"",SUMIF(Resultados!$C$630:$C$655,'Temporada 2026'!C18,Resultados!$F$630:$F$655),"")</f>
        <v>0</v>
      </c>
      <c r="AB18" s="121">
        <f>IF(C18&lt;&gt;"",SUMIF(Resultados!$C$606:$C$683,'Temporada 2026'!C18,Resultados!$F$606:$F$683),"")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IF(C18&lt;&gt;"",SUMIF(Resultados!$C$360:$C$739,'Temporada 2026'!C18,Resultados!$F$360:$F$739),"")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IF(C18&lt;&gt;"",SUMIF(Resultados!$C$223:$C$795,'Temporada 2026'!C18,Resultados!$F$223:$F$795),"")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Oscar Piastri</v>
      </c>
      <c r="D19" s="123" t="str">
        <f>VLOOKUP(B19,'Dummy Table'!$A$3:$C$30,3,FALSE)</f>
        <v>Austrália</v>
      </c>
      <c r="E19" s="123" t="str">
        <f>VLOOKUP(B19,'Dummy Table'!$A$3:$D$30,4,FALSE)</f>
        <v>McLaren</v>
      </c>
      <c r="F19" s="124" t="str">
        <f>IF(C19&lt;&gt;"",IF(G19+Resultados!$K$35&gt;$G$8,"J","L"),"")</f>
        <v>J</v>
      </c>
      <c r="G19" s="125">
        <f>VLOOKUP(B19,'Dummy Table'!$A$3:$E$30,5,FALSE)</f>
        <v>3</v>
      </c>
      <c r="H19" s="123">
        <f t="shared" si="0"/>
        <v>-48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3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0</v>
      </c>
      <c r="P19" s="121">
        <f>IF(C19&lt;&gt;"",SUMIF(Resultados!$C$247:$C$272,'Temporada 2026'!C19,Resultados!$F$247:$F$272),"")</f>
        <v>0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0</v>
      </c>
      <c r="S19" s="121">
        <f>IF(C19&lt;&gt;"",SUMIF(Resultados!$C$331:$C$356,'Temporada 2026'!C19,Resultados!$F$331:$F$356),"")</f>
        <v>0</v>
      </c>
      <c r="T19" s="121">
        <f>IF(C19&lt;&gt;"",SUMIF(Resultados!$C$384:$C$409,'Temporada 2026'!C19,Resultados!$F$384:$F$409),"")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IF(C19&lt;&gt;"",SUMIF(Resultados!$C$439:$C$465,'Temporada 2026'!C19,Resultados!$F$439:$F$465),"")</f>
        <v>0</v>
      </c>
      <c r="W19" s="121">
        <f>IF(C19&lt;&gt;"",SUMIF(Resultados!$C$493:$C$518,'Temporada 2026'!C19,Resultados!$F$493:$F$518),"")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IF(C19&lt;&gt;"",SUMIF(Resultados!$C$630:$C$655,'Temporada 2026'!C19,Resultados!$F$630:$F$655),"")</f>
        <v>0</v>
      </c>
      <c r="AB19" s="121">
        <f>IF(C19&lt;&gt;"",SUMIF(Resultados!$C$606:$C$683,'Temporada 2026'!C19,Resultados!$F$606:$F$683),"")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IF(C19&lt;&gt;"",SUMIF(Resultados!$C$360:$C$739,'Temporada 2026'!C19,Resultados!$F$360:$F$739),"")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IF(C19&lt;&gt;"",SUMIF(Resultados!$C$223:$C$795,'Temporada 2026'!C19,Resultados!$F$223:$F$795),"")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Carlos Sainz</v>
      </c>
      <c r="D20" s="123" t="str">
        <f>VLOOKUP(B20,'Dummy Table'!$A$3:$C$30,3,FALSE)</f>
        <v>Espanha</v>
      </c>
      <c r="E20" s="123" t="str">
        <f>VLOOKUP(B20,'Dummy Table'!$A$3:$D$30,4,FALSE)</f>
        <v>Williams</v>
      </c>
      <c r="F20" s="124" t="str">
        <f>IF(C20&lt;&gt;"",IF(G20+Resultados!$K$35&gt;$G$8,"J","L"),"")</f>
        <v>J</v>
      </c>
      <c r="G20" s="125">
        <f>VLOOKUP(B20,'Dummy Table'!$A$3:$E$30,5,FALSE)</f>
        <v>2</v>
      </c>
      <c r="H20" s="123">
        <f t="shared" si="0"/>
        <v>-49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0</v>
      </c>
      <c r="K20" s="121">
        <f>IF(C20&lt;&gt;"",SUMIF(Resultados!$C$33:$C$82,'Temporada 2026'!C20,Resultados!$F$33:$F$82),"")</f>
        <v>2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IF(C20&lt;&gt;"",SUMIF(Resultados!$C$247:$C$272,'Temporada 2026'!C20,Resultados!$F$247:$F$272),"")</f>
        <v>0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IF(C20&lt;&gt;"",SUMIF(Resultados!$C$384:$C$409,'Temporada 2026'!C20,Resultados!$F$384:$F$409),"")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IF(C20&lt;&gt;"",SUMIF(Resultados!$C$439:$C$465,'Temporada 2026'!C20,Resultados!$F$439:$F$465),"")</f>
        <v>0</v>
      </c>
      <c r="W20" s="121">
        <f>IF(C20&lt;&gt;"",SUMIF(Resultados!$C$493:$C$518,'Temporada 2026'!C20,Resultados!$F$493:$F$518),"")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IF(C20&lt;&gt;"",SUMIF(Resultados!$C$630:$C$655,'Temporada 2026'!C20,Resultados!$F$630:$F$655),"")</f>
        <v>0</v>
      </c>
      <c r="AB20" s="121">
        <f>IF(C20&lt;&gt;"",SUMIF(Resultados!$C$606:$C$683,'Temporada 2026'!C20,Resultados!$F$606:$F$683),"")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IF(C20&lt;&gt;"",SUMIF(Resultados!$C$360:$C$739,'Temporada 2026'!C20,Resultados!$F$360:$F$739),"")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IF(C20&lt;&gt;"",SUMIF(Resultados!$C$223:$C$795,'Temporada 2026'!C20,Resultados!$F$223:$F$795),"")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Gabriel Bortoleto</v>
      </c>
      <c r="D21" s="123" t="str">
        <f>VLOOKUP(B21,'Dummy Table'!$A$3:$C$30,3,FALSE)</f>
        <v>Brasil</v>
      </c>
      <c r="E21" s="123" t="str">
        <f>VLOOKUP(B21,'Dummy Table'!$A$3:$D$30,4,FALSE)</f>
        <v>Audi</v>
      </c>
      <c r="F21" s="124" t="str">
        <f>IF(C21&lt;&gt;"",IF(G21+Resultados!$K$35&gt;$G$8,"J","L"),"")</f>
        <v>J</v>
      </c>
      <c r="G21" s="125">
        <f>VLOOKUP(B21,'Dummy Table'!$A$3:$E$30,5,FALSE)</f>
        <v>2</v>
      </c>
      <c r="H21" s="123">
        <f t="shared" si="0"/>
        <v>-49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2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IF(C21&lt;&gt;"",SUMIF(Resultados!$C$247:$C$272,'Temporada 2026'!C21,Resultados!$F$247:$F$272),"")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IF(C21&lt;&gt;"",SUMIF(Resultados!$C$384:$C$409,'Temporada 2026'!C21,Resultados!$F$384:$F$409),"")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IF(C21&lt;&gt;"",SUMIF(Resultados!$C$439:$C$465,'Temporada 2026'!C21,Resultados!$F$439:$F$465),"")</f>
        <v>0</v>
      </c>
      <c r="W21" s="121">
        <f>IF(C21&lt;&gt;"",SUMIF(Resultados!$C$493:$C$518,'Temporada 2026'!C21,Resultados!$F$493:$F$518),"")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IF(C21&lt;&gt;"",SUMIF(Resultados!$C$630:$C$655,'Temporada 2026'!C21,Resultados!$F$630:$F$655),"")</f>
        <v>0</v>
      </c>
      <c r="AB21" s="121">
        <f>IF(C21&lt;&gt;"",SUMIF(Resultados!$C$606:$C$683,'Temporada 2026'!C21,Resultados!$F$606:$F$683),"")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IF(C21&lt;&gt;"",SUMIF(Resultados!$C$360:$C$739,'Temporada 2026'!C21,Resultados!$F$360:$F$739),"")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IF(C21&lt;&gt;"",SUMIF(Resultados!$C$223:$C$795,'Temporada 2026'!C21,Resultados!$F$223:$F$795),"")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Franco Colapinto</v>
      </c>
      <c r="D22" s="123" t="str">
        <f>VLOOKUP(B22,'Dummy Table'!$A$3:$C$30,3,FALSE)</f>
        <v>Argentina</v>
      </c>
      <c r="E22" s="123" t="str">
        <f>VLOOKUP(B22,'Dummy Table'!$A$3:$D$30,4,FALSE)</f>
        <v>Alpine</v>
      </c>
      <c r="F22" s="124" t="str">
        <f>IF(C22&lt;&gt;"",IF(G22+Resultados!$K$35&gt;$G$8,"J","L"),"")</f>
        <v>J</v>
      </c>
      <c r="G22" s="125">
        <f>VLOOKUP(B22,'Dummy Table'!$A$3:$E$30,5,FALSE)</f>
        <v>1</v>
      </c>
      <c r="H22" s="123">
        <f t="shared" si="0"/>
        <v>-50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1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IF(C22&lt;&gt;"",SUMIF(Resultados!$C$247:$C$272,'Temporada 2026'!C22,Resultados!$F$247:$F$272),"")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IF(C22&lt;&gt;"",SUMIF(Resultados!$C$384:$C$409,'Temporada 2026'!C22,Resultados!$F$384:$F$409),"")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IF(C22&lt;&gt;"",SUMIF(Resultados!$C$439:$C$465,'Temporada 2026'!C22,Resultados!$F$439:$F$465),"")</f>
        <v>0</v>
      </c>
      <c r="W22" s="121">
        <f>IF(C22&lt;&gt;"",SUMIF(Resultados!$C$493:$C$518,'Temporada 2026'!C22,Resultados!$F$493:$F$518),"")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IF(C22&lt;&gt;"",SUMIF(Resultados!$C$630:$C$655,'Temporada 2026'!C22,Resultados!$F$630:$F$655),"")</f>
        <v>0</v>
      </c>
      <c r="AB22" s="121">
        <f>IF(C22&lt;&gt;"",SUMIF(Resultados!$C$606:$C$683,'Temporada 2026'!C22,Resultados!$F$606:$F$683),"")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IF(C22&lt;&gt;"",SUMIF(Resultados!$C$360:$C$739,'Temporada 2026'!C22,Resultados!$F$360:$F$739),"")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IF(C22&lt;&gt;"",SUMIF(Resultados!$C$223:$C$795,'Temporada 2026'!C22,Resultados!$F$223:$F$795),"")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Esteban Ocon</v>
      </c>
      <c r="D23" s="123" t="str">
        <f>VLOOKUP(B23,'Dummy Table'!$A$3:$C$30,3,FALSE)</f>
        <v>França</v>
      </c>
      <c r="E23" s="123" t="str">
        <f>VLOOKUP(B23,'Dummy Table'!$A$3:$D$30,4,FALSE)</f>
        <v>Haas</v>
      </c>
      <c r="F23" s="124" t="str">
        <f>IF(C23&lt;&gt;"",IF(G23+Resultados!$K$35&gt;$G$8,"J","L"),"")</f>
        <v>J</v>
      </c>
      <c r="G23" s="125">
        <f>VLOOKUP(B23,'Dummy Table'!$A$3:$E$30,5,FALSE)</f>
        <v>0</v>
      </c>
      <c r="H23" s="123">
        <f t="shared" si="0"/>
        <v>-51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IF(C23&lt;&gt;"",SUMIF(Resultados!$C$247:$C$272,'Temporada 2026'!C23,Resultados!$F$247:$F$272),"")</f>
        <v>0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IF(C23&lt;&gt;"",SUMIF(Resultados!$C$384:$C$409,'Temporada 2026'!C23,Resultados!$F$384:$F$409),"")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IF(C23&lt;&gt;"",SUMIF(Resultados!$C$439:$C$465,'Temporada 2026'!C23,Resultados!$F$439:$F$465),"")</f>
        <v>0</v>
      </c>
      <c r="W23" s="121">
        <f>IF(C23&lt;&gt;"",SUMIF(Resultados!$C$493:$C$518,'Temporada 2026'!C23,Resultados!$F$493:$F$518),"")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IF(C23&lt;&gt;"",SUMIF(Resultados!$C$630:$C$655,'Temporada 2026'!C23,Resultados!$F$630:$F$655),"")</f>
        <v>0</v>
      </c>
      <c r="AB23" s="121">
        <f>IF(C23&lt;&gt;"",SUMIF(Resultados!$C$606:$C$683,'Temporada 2026'!C23,Resultados!$F$606:$F$683),"")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IF(C23&lt;&gt;"",SUMIF(Resultados!$C$360:$C$739,'Temporada 2026'!C23,Resultados!$F$360:$F$739),"")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IF(C23&lt;&gt;"",SUMIF(Resultados!$C$223:$C$795,'Temporada 2026'!C23,Resultados!$F$223:$F$795),"")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Nico Hulkenberg</v>
      </c>
      <c r="D24" s="123" t="str">
        <f>VLOOKUP(B24,'Dummy Table'!$A$3:$C$30,3,FALSE)</f>
        <v>Alemanha</v>
      </c>
      <c r="E24" s="123" t="str">
        <f>VLOOKUP(B24,'Dummy Table'!$A$3:$D$30,4,FALSE)</f>
        <v>Audi</v>
      </c>
      <c r="F24" s="124" t="str">
        <f>IF(C24&lt;&gt;"",IF(G24+Resultados!$K$35&gt;$G$8,"J","L"),"")</f>
        <v>J</v>
      </c>
      <c r="G24" s="125">
        <f>VLOOKUP(B24,'Dummy Table'!$A$3:$E$30,5,FALSE)</f>
        <v>0</v>
      </c>
      <c r="H24" s="123">
        <f t="shared" si="0"/>
        <v>-51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IF(C24&lt;&gt;"",SUMIF(Resultados!$C$247:$C$272,'Temporada 2026'!C24,Resultados!$F$247:$F$272),"")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IF(C24&lt;&gt;"",SUMIF(Resultados!$C$384:$C$409,'Temporada 2026'!C24,Resultados!$F$384:$F$409),"")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IF(C24&lt;&gt;"",SUMIF(Resultados!$C$439:$C$465,'Temporada 2026'!C24,Resultados!$F$439:$F$465),"")</f>
        <v>0</v>
      </c>
      <c r="W24" s="121">
        <f>IF(C24&lt;&gt;"",SUMIF(Resultados!$C$493:$C$518,'Temporada 2026'!C24,Resultados!$F$493:$F$518),"")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IF(C24&lt;&gt;"",SUMIF(Resultados!$C$630:$C$655,'Temporada 2026'!C24,Resultados!$F$630:$F$655),"")</f>
        <v>0</v>
      </c>
      <c r="AB24" s="121">
        <f>IF(C24&lt;&gt;"",SUMIF(Resultados!$C$606:$C$683,'Temporada 2026'!C24,Resultados!$F$606:$F$683),"")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IF(C24&lt;&gt;"",SUMIF(Resultados!$C$360:$C$739,'Temporada 2026'!C24,Resultados!$F$360:$F$739),"")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IF(C24&lt;&gt;"",SUMIF(Resultados!$C$223:$C$795,'Temporada 2026'!C24,Resultados!$F$223:$F$795),"")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Alexander Albon</v>
      </c>
      <c r="D25" s="123" t="str">
        <f>VLOOKUP(B25,'Dummy Table'!$A$3:$C$30,3,FALSE)</f>
        <v>Tailandia</v>
      </c>
      <c r="E25" s="123" t="str">
        <f>VLOOKUP(B25,'Dummy Table'!$A$3:$D$30,4,FALSE)</f>
        <v>Williams</v>
      </c>
      <c r="F25" s="124" t="str">
        <f>IF(C25&lt;&gt;"",IF(G25+Resultados!$K$35&gt;$G$8,"J","L"),"")</f>
        <v>J</v>
      </c>
      <c r="G25" s="125">
        <f>VLOOKUP(B25,'Dummy Table'!$A$3:$E$30,5,FALSE)</f>
        <v>0</v>
      </c>
      <c r="H25" s="123">
        <f t="shared" si="0"/>
        <v>-51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IF(C25&lt;&gt;"",SUMIF(Resultados!$C$247:$C$272,'Temporada 2026'!C25,Resultados!$F$247:$F$272),"")</f>
        <v>0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IF(C25&lt;&gt;"",SUMIF(Resultados!$C$384:$C$409,'Temporada 2026'!C25,Resultados!$F$384:$F$409),"")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IF(C25&lt;&gt;"",SUMIF(Resultados!$C$439:$C$465,'Temporada 2026'!C25,Resultados!$F$439:$F$465),"")</f>
        <v>0</v>
      </c>
      <c r="W25" s="121">
        <f>IF(C25&lt;&gt;"",SUMIF(Resultados!$C$493:$C$518,'Temporada 2026'!C25,Resultados!$F$493:$F$518),"")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IF(C25&lt;&gt;"",SUMIF(Resultados!$C$630:$C$655,'Temporada 2026'!C25,Resultados!$F$630:$F$655),"")</f>
        <v>0</v>
      </c>
      <c r="AB25" s="121">
        <f>IF(C25&lt;&gt;"",SUMIF(Resultados!$C$606:$C$683,'Temporada 2026'!C25,Resultados!$F$606:$F$683),"")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IF(C25&lt;&gt;"",SUMIF(Resultados!$C$360:$C$739,'Temporada 2026'!C25,Resultados!$F$360:$F$739),"")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IF(C25&lt;&gt;"",SUMIF(Resultados!$C$223:$C$795,'Temporada 2026'!C25,Resultados!$F$223:$F$795),"")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Valtteri Bottas</v>
      </c>
      <c r="D26" s="123" t="str">
        <f>VLOOKUP(B26,'Dummy Table'!$A$3:$C$30,3,FALSE)</f>
        <v>Finlândia</v>
      </c>
      <c r="E26" s="123" t="str">
        <f>VLOOKUP(B26,'Dummy Table'!$A$3:$D$30,4,FALSE)</f>
        <v>Cadillac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-51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IF(C26&lt;&gt;"",SUMIF(Resultados!$C$247:$C$272,'Temporada 2026'!C26,Resultados!$F$247:$F$272),"")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IF(C26&lt;&gt;"",SUMIF(Resultados!$C$384:$C$409,'Temporada 2026'!C26,Resultados!$F$384:$F$409),"")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IF(C26&lt;&gt;"",SUMIF(Resultados!$C$439:$C$465,'Temporada 2026'!C26,Resultados!$F$439:$F$465),"")</f>
        <v>0</v>
      </c>
      <c r="W26" s="121">
        <f>IF(C26&lt;&gt;"",SUMIF(Resultados!$C$493:$C$518,'Temporada 2026'!C26,Resultados!$F$493:$F$518),"")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IF(C26&lt;&gt;"",SUMIF(Resultados!$C$630:$C$655,'Temporada 2026'!C26,Resultados!$F$630:$F$655),"")</f>
        <v>0</v>
      </c>
      <c r="AB26" s="121">
        <f>IF(C26&lt;&gt;"",SUMIF(Resultados!$C$606:$C$683,'Temporada 2026'!C26,Resultados!$F$606:$F$683),"")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IF(C26&lt;&gt;"",SUMIF(Resultados!$C$360:$C$739,'Temporada 2026'!C26,Resultados!$F$360:$F$739),"")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IF(C26&lt;&gt;"",SUMIF(Resultados!$C$223:$C$795,'Temporada 2026'!C26,Resultados!$F$223:$F$795),"")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Sergio Perez</v>
      </c>
      <c r="D27" s="123" t="str">
        <f>VLOOKUP(B27,'Dummy Table'!$A$3:$C$30,3,FALSE)</f>
        <v>México</v>
      </c>
      <c r="E27" s="123" t="str">
        <f>VLOOKUP(B27,'Dummy Table'!$A$3:$D$30,4,FALSE)</f>
        <v>Cadillac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-51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IF(C27&lt;&gt;"",SUMIF(Resultados!$C$247:$C$272,'Temporada 2026'!C27,Resultados!$F$247:$F$272),"")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IF(C27&lt;&gt;"",SUMIF(Resultados!$C$384:$C$409,'Temporada 2026'!C27,Resultados!$F$384:$F$409),"")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IF(C27&lt;&gt;"",SUMIF(Resultados!$C$439:$C$465,'Temporada 2026'!C27,Resultados!$F$439:$F$465),"")</f>
        <v>0</v>
      </c>
      <c r="W27" s="121">
        <f>IF(C27&lt;&gt;"",SUMIF(Resultados!$C$493:$C$518,'Temporada 2026'!C27,Resultados!$F$493:$F$518),"")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IF(C27&lt;&gt;"",SUMIF(Resultados!$C$630:$C$655,'Temporada 2026'!C27,Resultados!$F$630:$F$655),"")</f>
        <v>0</v>
      </c>
      <c r="AB27" s="121">
        <f>IF(C27&lt;&gt;"",SUMIF(Resultados!$C$606:$C$683,'Temporada 2026'!C27,Resultados!$F$606:$F$683),"")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IF(C27&lt;&gt;"",SUMIF(Resultados!$C$360:$C$739,'Temporada 2026'!C27,Resultados!$F$360:$F$739),"")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IF(C27&lt;&gt;"",SUMIF(Resultados!$C$223:$C$795,'Temporada 2026'!C27,Resultados!$F$223:$F$795),"")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Fernando Alonso</v>
      </c>
      <c r="D28" s="123" t="str">
        <f>VLOOKUP(B28,'Dummy Table'!$A$3:$C$30,3,FALSE)</f>
        <v>Espanha</v>
      </c>
      <c r="E28" s="123" t="str">
        <f>VLOOKUP(B28,'Dummy Table'!$A$3:$D$30,4,FALSE)</f>
        <v>Aston Martin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-51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IF(C28&lt;&gt;"",SUMIF(Resultados!$C$247:$C$272,'Temporada 2026'!C28,Resultados!$F$247:$F$272),"")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IF(C28&lt;&gt;"",SUMIF(Resultados!$C$384:$C$409,'Temporada 2026'!C28,Resultados!$F$384:$F$409),"")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IF(C28&lt;&gt;"",SUMIF(Resultados!$C$439:$C$465,'Temporada 2026'!C28,Resultados!$F$439:$F$465),"")</f>
        <v>0</v>
      </c>
      <c r="W28" s="121">
        <f>IF(C28&lt;&gt;"",SUMIF(Resultados!$C$493:$C$518,'Temporada 2026'!C28,Resultados!$F$493:$F$518),"")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IF(C28&lt;&gt;"",SUMIF(Resultados!$C$630:$C$655,'Temporada 2026'!C28,Resultados!$F$630:$F$655),"")</f>
        <v>0</v>
      </c>
      <c r="AB28" s="121">
        <f>IF(C28&lt;&gt;"",SUMIF(Resultados!$C$606:$C$683,'Temporada 2026'!C28,Resultados!$F$606:$F$683),"")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IF(C28&lt;&gt;"",SUMIF(Resultados!$C$360:$C$739,'Temporada 2026'!C28,Resultados!$F$360:$F$739),"")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IF(C28&lt;&gt;"",SUMIF(Resultados!$C$223:$C$795,'Temporada 2026'!C28,Resultados!$F$223:$F$795),"")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Lance Stroll</v>
      </c>
      <c r="D29" s="123" t="str">
        <f>VLOOKUP(B29,'Dummy Table'!$A$3:$C$30,3,FALSE)</f>
        <v>Canadá</v>
      </c>
      <c r="E29" s="123" t="str">
        <f>VLOOKUP(B29,'Dummy Table'!$A$3:$D$30,4,FALSE)</f>
        <v>Aston Martin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-51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IF(C29&lt;&gt;"",SUMIF(Resultados!$C$247:$C$272,'Temporada 2026'!C29,Resultados!$F$247:$F$272),"")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IF(C29&lt;&gt;"",SUMIF(Resultados!$C$384:$C$409,'Temporada 2026'!C29,Resultados!$F$384:$F$409),"")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IF(C29&lt;&gt;"",SUMIF(Resultados!$C$439:$C$465,'Temporada 2026'!C29,Resultados!$F$439:$F$465),"")</f>
        <v>0</v>
      </c>
      <c r="W29" s="121">
        <f>IF(C29&lt;&gt;"",SUMIF(Resultados!$C$493:$C$518,'Temporada 2026'!C29,Resultados!$F$493:$F$518),"")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IF(C29&lt;&gt;"",SUMIF(Resultados!$C$630:$C$655,'Temporada 2026'!C29,Resultados!$F$630:$F$655),"")</f>
        <v>0</v>
      </c>
      <c r="AB29" s="121">
        <f>IF(C29&lt;&gt;"",SUMIF(Resultados!$C$606:$C$683,'Temporada 2026'!C29,Resultados!$F$606:$F$683),"")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IF(C29&lt;&gt;"",SUMIF(Resultados!$C$360:$C$739,'Temporada 2026'!C29,Resultados!$F$360:$F$739),"")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IF(C29&lt;&gt;"",SUMIF(Resultados!$C$223:$C$795,'Temporada 2026'!C29,Resultados!$F$223:$F$795),"")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IF(C30&lt;&gt;"",SUMIF(Resultados!$C$247:$C$272,'Temporada 2026'!C30,Resultados!$F$247:$F$272),"")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IF(C30&lt;&gt;"",SUMIF(Resultados!$C$384:$C$409,'Temporada 2026'!C30,Resultados!$F$384:$F$409),"")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IF(C30&lt;&gt;"",SUMIF(Resultados!$C$439:$C$465,'Temporada 2026'!C30,Resultados!$F$439:$F$465),"")</f>
        <v/>
      </c>
      <c r="W30" s="121" t="str">
        <f>IF(C30&lt;&gt;"",SUMIF(Resultados!$C$493:$C$518,'Temporada 2026'!C30,Resultados!$F$493:$F$518),"")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IF(C30&lt;&gt;"",SUMIF(Resultados!$C$630:$C$655,'Temporada 2026'!C30,Resultados!$F$630:$F$655),"")</f>
        <v/>
      </c>
      <c r="AB30" s="121" t="str">
        <f>IF(C30&lt;&gt;"",SUMIF(Resultados!$C$606:$C$683,'Temporada 2026'!C30,Resultados!$F$606:$F$683),"")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IF(C30&lt;&gt;"",SUMIF(Resultados!$C$360:$C$739,'Temporada 2026'!C30,Resultados!$F$360:$F$739),"")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IF(C30&lt;&gt;"",SUMIF(Resultados!$C$223:$C$795,'Temporada 2026'!C30,Resultados!$F$223:$F$795),"")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IF(C31&lt;&gt;"",SUMIF(Resultados!$C$247:$C$272,'Temporada 2026'!C31,Resultados!$F$247:$F$272),"")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IF(C31&lt;&gt;"",SUMIF(Resultados!$C$384:$C$409,'Temporada 2026'!C31,Resultados!$F$384:$F$409),"")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IF(C31&lt;&gt;"",SUMIF(Resultados!$C$439:$C$465,'Temporada 2026'!C31,Resultados!$F$439:$F$465),"")</f>
        <v/>
      </c>
      <c r="W31" s="121" t="str">
        <f>IF(C31&lt;&gt;"",SUMIF(Resultados!$C$493:$C$518,'Temporada 2026'!C31,Resultados!$F$493:$F$518),"")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IF(C31&lt;&gt;"",SUMIF(Resultados!$C$630:$C$655,'Temporada 2026'!C31,Resultados!$F$630:$F$655),"")</f>
        <v/>
      </c>
      <c r="AB31" s="121" t="str">
        <f>IF(C31&lt;&gt;"",SUMIF(Resultados!$C$606:$C$683,'Temporada 2026'!C31,Resultados!$F$606:$F$683),"")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IF(C31&lt;&gt;"",SUMIF(Resultados!$C$360:$C$739,'Temporada 2026'!C31,Resultados!$F$360:$F$739),"")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IF(C31&lt;&gt;"",SUMIF(Resultados!$C$223:$C$795,'Temporada 2026'!C31,Resultados!$F$223:$F$795),"")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58" t="s">
        <v>358</v>
      </c>
      <c r="C36" s="158"/>
      <c r="D36" s="158"/>
      <c r="E36" s="158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 spans="2:33" x14ac:dyDescent="0.2">
      <c r="B37" s="156" t="s">
        <v>244</v>
      </c>
      <c r="C37" s="156" t="s">
        <v>233</v>
      </c>
      <c r="D37" s="156" t="s">
        <v>16</v>
      </c>
      <c r="E37" s="156" t="s">
        <v>236</v>
      </c>
      <c r="F37" s="156" t="s">
        <v>245</v>
      </c>
      <c r="G37" s="156" t="s">
        <v>246</v>
      </c>
      <c r="H37" s="120"/>
      <c r="I37" s="156" t="s">
        <v>253</v>
      </c>
      <c r="J37" s="157" t="s">
        <v>232</v>
      </c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</row>
    <row r="38" spans="2:33" x14ac:dyDescent="0.2">
      <c r="B38" s="156"/>
      <c r="C38" s="156"/>
      <c r="D38" s="156"/>
      <c r="E38" s="156"/>
      <c r="F38" s="156"/>
      <c r="G38" s="156"/>
      <c r="H38" s="120"/>
      <c r="I38" s="156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98</v>
      </c>
      <c r="H39" s="125"/>
      <c r="I39" s="126">
        <f>IF(B39="","",SUMIF(Resultados!$N$3:$N$30,C39,Resultados!$O$3:$O$30))</f>
        <v>2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0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0</v>
      </c>
      <c r="P39" s="121">
        <f>IF(C39&lt;&gt;"",SUMIF(Resultados!$E$247:$E$272,'Temporada 2026'!C39,Resultados!$F$247:$F$272),"")</f>
        <v>0</v>
      </c>
      <c r="Q39" s="121">
        <f>IF(C39&lt;&gt;"",SUMIF(Resultados!$E$275:$E$300,'Temporada 2026'!C39,Resultados!$F$275:$F$300),"")</f>
        <v>0</v>
      </c>
      <c r="R39" s="121">
        <f>IF(C39&lt;&gt;"",SUMIF(Resultados!$E$303:$E$328,'Temporada 2026'!C39,Resultados!$F$303:$F$328),"")</f>
        <v>0</v>
      </c>
      <c r="S39" s="121">
        <f>IF(C39&lt;&gt;"",SUMIF(Resultados!$E$331:$E$356,'Temporada 2026'!C39,Resultados!$F$331:$F$356),"")</f>
        <v>0</v>
      </c>
      <c r="T39" s="121">
        <f>IF(C39&lt;&gt;"",SUMIF(Resultados!$E$384:$E$409,'Temporada 2026'!C39,Resultados!$F$384:$F$409),"")</f>
        <v>0</v>
      </c>
      <c r="U39" s="121">
        <f>IF(C39&lt;&gt;"",SUMIF(Resultados!$E$412:$E$437,'Temporada 2026'!C39,Resultados!$F$412:$F$437),"")</f>
        <v>0</v>
      </c>
      <c r="V39" s="121">
        <f>IF(C39&lt;&gt;"",SUMIF(Resultados!$E$439:$E$465,'Temporada 2026'!C39,Resultados!$F$439:$F$465),"")</f>
        <v>0</v>
      </c>
      <c r="W39" s="121">
        <f>IF(C39&lt;&gt;"",SUMIF(Resultados!$E$493:$E$518,'Temporada 2026'!C39,Resultados!$F$493:$F$518),"")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IF(C39&lt;&gt;"",SUMIF(Resultados!$E$630:$E$655,'Temporada 2026'!C39,Resultados!$F$630:$F$655),"")</f>
        <v>0</v>
      </c>
      <c r="AB39" s="121">
        <f>IF(C39&lt;&gt;"",SUMIF(Resultados!$E$606:$E$683,'Temporada 2026'!C39,Resultados!$F$606:$F$683),"")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IF(C39&lt;&gt;"",SUMIF(Resultados!$E$360:$E$739,'Temporada 2026'!C39,Resultados!$F$360:$F$739),"")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IF(C39&lt;&gt;"",SUMIF(Resultados!$E$223:$E$795,'Temporada 2026'!C39,Resultados!$F$223:$F$795),"")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67</v>
      </c>
      <c r="H40" s="123">
        <f>IF(C40&lt;&gt;"",G40-G$39,"")</f>
        <v>-31</v>
      </c>
      <c r="I40" s="126">
        <f>IF(B40="","",SUMIF(Resultados!$N$3:$N$30,C40,Resultados!$O$3:$O$30))</f>
        <v>0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0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0</v>
      </c>
      <c r="P40" s="121">
        <f>IF(C40&lt;&gt;"",SUMIF(Resultados!$E$247:$E$272,'Temporada 2026'!C40,Resultados!$F$247:$F$272),"")</f>
        <v>0</v>
      </c>
      <c r="Q40" s="121">
        <f>IF(C40&lt;&gt;"",SUMIF(Resultados!$E$275:$E$300,'Temporada 2026'!C40,Resultados!$F$275:$F$300),"")</f>
        <v>0</v>
      </c>
      <c r="R40" s="121">
        <f>IF(C40&lt;&gt;"",SUMIF(Resultados!$E$303:$E$328,'Temporada 2026'!C40,Resultados!$F$303:$F$328),"")</f>
        <v>0</v>
      </c>
      <c r="S40" s="121">
        <f>IF(C40&lt;&gt;"",SUMIF(Resultados!$E$331:$E$356,'Temporada 2026'!C40,Resultados!$F$331:$F$356),"")</f>
        <v>0</v>
      </c>
      <c r="T40" s="121">
        <f>IF(C40&lt;&gt;"",SUMIF(Resultados!$E$384:$E$409,'Temporada 2026'!C40,Resultados!$F$384:$F$409),"")</f>
        <v>0</v>
      </c>
      <c r="U40" s="121">
        <f>IF(C40&lt;&gt;"",SUMIF(Resultados!$E$412:$E$437,'Temporada 2026'!C40,Resultados!$F$412:$F$437),"")</f>
        <v>0</v>
      </c>
      <c r="V40" s="121">
        <f>IF(C40&lt;&gt;"",SUMIF(Resultados!$E$439:$E$465,'Temporada 2026'!C40,Resultados!$F$439:$F$465),"")</f>
        <v>0</v>
      </c>
      <c r="W40" s="121">
        <f>IF(C40&lt;&gt;"",SUMIF(Resultados!$E$493:$E$518,'Temporada 2026'!C40,Resultados!$F$493:$F$518),"")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IF(C40&lt;&gt;"",SUMIF(Resultados!$E$630:$E$655,'Temporada 2026'!C40,Resultados!$F$630:$F$655),"")</f>
        <v>0</v>
      </c>
      <c r="AB40" s="121">
        <f>IF(C40&lt;&gt;"",SUMIF(Resultados!$E$606:$E$683,'Temporada 2026'!C40,Resultados!$F$606:$F$683),"")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IF(C40&lt;&gt;"",SUMIF(Resultados!$E$360:$E$739,'Temporada 2026'!C40,Resultados!$F$360:$F$739),"")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IF(C40&lt;&gt;"",SUMIF(Resultados!$E$223:$E$795,'Temporada 2026'!C40,Resultados!$F$223:$F$795),"")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18</v>
      </c>
      <c r="H41" s="123">
        <f t="shared" ref="H41:H51" si="1">IF(C41&lt;&gt;"",G41-G$39,"")</f>
        <v>-80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0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0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0</v>
      </c>
      <c r="R41" s="121">
        <f>IF(C41&lt;&gt;"",SUMIF(Resultados!$E$303:$E$328,'Temporada 2026'!C41,Resultados!$F$303:$F$328),"")</f>
        <v>0</v>
      </c>
      <c r="S41" s="121">
        <f>IF(C41&lt;&gt;"",SUMIF(Resultados!$E$331:$E$356,'Temporada 2026'!C41,Resultados!$F$331:$F$356),"")</f>
        <v>0</v>
      </c>
      <c r="T41" s="121">
        <f>IF(C41&lt;&gt;"",SUMIF(Resultados!$E$384:$E$409,'Temporada 2026'!C41,Resultados!$F$384:$F$409),"")</f>
        <v>0</v>
      </c>
      <c r="U41" s="121">
        <f>IF(C41&lt;&gt;"",SUMIF(Resultados!$E$412:$E$437,'Temporada 2026'!C41,Resultados!$F$412:$F$437),"")</f>
        <v>0</v>
      </c>
      <c r="V41" s="121">
        <f>IF(C41&lt;&gt;"",SUMIF(Resultados!$E$439:$E$465,'Temporada 2026'!C41,Resultados!$F$439:$F$465),"")</f>
        <v>0</v>
      </c>
      <c r="W41" s="121">
        <f>IF(C41&lt;&gt;"",SUMIF(Resultados!$E$493:$E$518,'Temporada 2026'!C41,Resultados!$F$493:$F$518),"")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IF(C41&lt;&gt;"",SUMIF(Resultados!$E$630:$E$655,'Temporada 2026'!C41,Resultados!$F$630:$F$655),"")</f>
        <v>0</v>
      </c>
      <c r="AB41" s="121">
        <f>IF(C41&lt;&gt;"",SUMIF(Resultados!$E$606:$E$683,'Temporada 2026'!C41,Resultados!$F$606:$F$683),"")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IF(C41&lt;&gt;"",SUMIF(Resultados!$E$360:$E$739,'Temporada 2026'!C41,Resultados!$F$360:$F$739),"")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IF(C41&lt;&gt;"",SUMIF(Resultados!$E$223:$E$795,'Temporada 2026'!C41,Resultados!$F$223:$F$795),"")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Haas</v>
      </c>
      <c r="D42" s="123" t="str">
        <f>VLOOKUP(B42,'Dummy Table'!$A$34:$C$47,3,FALSE)</f>
        <v>USA</v>
      </c>
      <c r="E42" s="123" t="str">
        <f>VLOOKUP(B42,'Dummy Table'!$A$34:$D$47,4,FALSE)</f>
        <v>Ferrari</v>
      </c>
      <c r="F42" s="124" t="str">
        <f>IF(C42&lt;&gt;"",IF(G42+Resultados!$K$30&gt;$G$39,"J","L"),"")</f>
        <v>J</v>
      </c>
      <c r="G42" s="125">
        <f>VLOOKUP(B42,'Dummy Table'!$A$34:$E$47,5,FALSE)</f>
        <v>17</v>
      </c>
      <c r="H42" s="123">
        <f t="shared" si="1"/>
        <v>-81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6</v>
      </c>
      <c r="K42" s="121">
        <f>IF(C42&lt;&gt;"",SUMIF(Resultados!$E$33:$E$82,'Temporada 2026'!C42,Resultados!$F$33:$F$82),"")</f>
        <v>11</v>
      </c>
      <c r="L42" s="121">
        <f>IF(C42&lt;&gt;"",SUMIF(Resultados!$E$85:$E$110,'Temporada 2026'!C42,Resultados!$F$85:$F$110),"")</f>
        <v>0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0</v>
      </c>
      <c r="P42" s="121">
        <f>IF(C42&lt;&gt;"",SUMIF(Resultados!$E$247:$E$272,'Temporada 2026'!C42,Resultados!$F$247:$F$272),"")</f>
        <v>0</v>
      </c>
      <c r="Q42" s="121">
        <f>IF(C42&lt;&gt;"",SUMIF(Resultados!$E$275:$E$300,'Temporada 2026'!C42,Resultados!$F$275:$F$300),"")</f>
        <v>0</v>
      </c>
      <c r="R42" s="121">
        <f>IF(C42&lt;&gt;"",SUMIF(Resultados!$E$303:$E$328,'Temporada 2026'!C42,Resultados!$F$303:$F$328),"")</f>
        <v>0</v>
      </c>
      <c r="S42" s="121">
        <f>IF(C42&lt;&gt;"",SUMIF(Resultados!$E$331:$E$356,'Temporada 2026'!C42,Resultados!$F$331:$F$356),"")</f>
        <v>0</v>
      </c>
      <c r="T42" s="121">
        <f>IF(C42&lt;&gt;"",SUMIF(Resultados!$E$384:$E$409,'Temporada 2026'!C42,Resultados!$F$384:$F$409),"")</f>
        <v>0</v>
      </c>
      <c r="U42" s="121">
        <f>IF(C42&lt;&gt;"",SUMIF(Resultados!$E$412:$E$437,'Temporada 2026'!C42,Resultados!$F$412:$F$437),"")</f>
        <v>0</v>
      </c>
      <c r="V42" s="121">
        <f>IF(C42&lt;&gt;"",SUMIF(Resultados!$E$439:$E$465,'Temporada 2026'!C42,Resultados!$F$439:$F$465),"")</f>
        <v>0</v>
      </c>
      <c r="W42" s="121">
        <f>IF(C42&lt;&gt;"",SUMIF(Resultados!$E$493:$E$518,'Temporada 2026'!C42,Resultados!$F$493:$F$518),"")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IF(C42&lt;&gt;"",SUMIF(Resultados!$E$630:$E$655,'Temporada 2026'!C42,Resultados!$F$630:$F$655),"")</f>
        <v>0</v>
      </c>
      <c r="AB42" s="121">
        <f>IF(C42&lt;&gt;"",SUMIF(Resultados!$E$606:$E$683,'Temporada 2026'!C42,Resultados!$F$606:$F$683),"")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IF(C42&lt;&gt;"",SUMIF(Resultados!$E$360:$E$739,'Temporada 2026'!C42,Resultados!$F$360:$F$739),"")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IF(C42&lt;&gt;"",SUMIF(Resultados!$E$223:$E$795,'Temporada 2026'!C42,Resultados!$F$223:$F$795),"")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Red Bull</v>
      </c>
      <c r="D43" s="123" t="str">
        <f>VLOOKUP(B43,'Dummy Table'!$A$34:$C$47,3,FALSE)</f>
        <v>Áustria</v>
      </c>
      <c r="E43" s="123" t="str">
        <f>VLOOKUP(B43,'Dummy Table'!$A$34:$D$47,4,FALSE)</f>
        <v>RB Ford</v>
      </c>
      <c r="F43" s="124" t="str">
        <f>IF(C43&lt;&gt;"",IF(G43+Resultados!$K$30&gt;$G$39,"J","L"),"")</f>
        <v>J</v>
      </c>
      <c r="G43" s="125">
        <f>VLOOKUP(B43,'Dummy Table'!$A$34:$E$47,5,FALSE)</f>
        <v>12</v>
      </c>
      <c r="H43" s="123">
        <f t="shared" si="1"/>
        <v>-86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8</v>
      </c>
      <c r="K43" s="121">
        <f>IF(C43&lt;&gt;"",SUMIF(Resultados!$E$33:$E$82,'Temporada 2026'!C43,Resultados!$F$33:$F$82),"")</f>
        <v>4</v>
      </c>
      <c r="L43" s="121">
        <f>IF(C43&lt;&gt;"",SUMIF(Resultados!$E$85:$E$110,'Temporada 2026'!C43,Resultados!$F$85:$F$110),"")</f>
        <v>0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0</v>
      </c>
      <c r="Q43" s="121">
        <f>IF(C43&lt;&gt;"",SUMIF(Resultados!$E$275:$E$300,'Temporada 2026'!C43,Resultados!$F$275:$F$300),"")</f>
        <v>0</v>
      </c>
      <c r="R43" s="121">
        <f>IF(C43&lt;&gt;"",SUMIF(Resultados!$E$303:$E$328,'Temporada 2026'!C43,Resultados!$F$303:$F$328),"")</f>
        <v>0</v>
      </c>
      <c r="S43" s="121">
        <f>IF(C43&lt;&gt;"",SUMIF(Resultados!$E$331:$E$356,'Temporada 2026'!C43,Resultados!$F$331:$F$356),"")</f>
        <v>0</v>
      </c>
      <c r="T43" s="121">
        <f>IF(C43&lt;&gt;"",SUMIF(Resultados!$E$384:$E$409,'Temporada 2026'!C43,Resultados!$F$384:$F$409),"")</f>
        <v>0</v>
      </c>
      <c r="U43" s="121">
        <f>IF(C43&lt;&gt;"",SUMIF(Resultados!$E$412:$E$437,'Temporada 2026'!C43,Resultados!$F$412:$F$437),"")</f>
        <v>0</v>
      </c>
      <c r="V43" s="121">
        <f>IF(C43&lt;&gt;"",SUMIF(Resultados!$E$439:$E$465,'Temporada 2026'!C43,Resultados!$F$439:$F$465),"")</f>
        <v>0</v>
      </c>
      <c r="W43" s="121">
        <f>IF(C43&lt;&gt;"",SUMIF(Resultados!$E$493:$E$518,'Temporada 2026'!C43,Resultados!$F$493:$F$518),"")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IF(C43&lt;&gt;"",SUMIF(Resultados!$E$630:$E$655,'Temporada 2026'!C43,Resultados!$F$630:$F$655),"")</f>
        <v>0</v>
      </c>
      <c r="AB43" s="121">
        <f>IF(C43&lt;&gt;"",SUMIF(Resultados!$E$606:$E$683,'Temporada 2026'!C43,Resultados!$F$606:$F$683),"")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IF(C43&lt;&gt;"",SUMIF(Resultados!$E$360:$E$739,'Temporada 2026'!C43,Resultados!$F$360:$F$739),"")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IF(C43&lt;&gt;"",SUMIF(Resultados!$E$223:$E$795,'Temporada 2026'!C43,Resultados!$F$223:$F$795),"")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12</v>
      </c>
      <c r="H44" s="123">
        <f t="shared" si="1"/>
        <v>-86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4</v>
      </c>
      <c r="K44" s="121">
        <f>IF(C44&lt;&gt;"",SUMIF(Resultados!$E$33:$E$82,'Temporada 2026'!C44,Resultados!$F$33:$F$82),"")</f>
        <v>8</v>
      </c>
      <c r="L44" s="121">
        <f>IF(C44&lt;&gt;"",SUMIF(Resultados!$E$85:$E$110,'Temporada 2026'!C44,Resultados!$F$85:$F$110),"")</f>
        <v>0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0</v>
      </c>
      <c r="Q44" s="121">
        <f>IF(C44&lt;&gt;"",SUMIF(Resultados!$E$275:$E$300,'Temporada 2026'!C44,Resultados!$F$275:$F$300),"")</f>
        <v>0</v>
      </c>
      <c r="R44" s="121">
        <f>IF(C44&lt;&gt;"",SUMIF(Resultados!$E$303:$E$328,'Temporada 2026'!C44,Resultados!$F$303:$F$328),"")</f>
        <v>0</v>
      </c>
      <c r="S44" s="121">
        <f>IF(C44&lt;&gt;"",SUMIF(Resultados!$E$331:$E$356,'Temporada 2026'!C44,Resultados!$F$331:$F$356),"")</f>
        <v>0</v>
      </c>
      <c r="T44" s="121">
        <f>IF(C44&lt;&gt;"",SUMIF(Resultados!$E$384:$E$409,'Temporada 2026'!C44,Resultados!$F$384:$F$409),"")</f>
        <v>0</v>
      </c>
      <c r="U44" s="121">
        <f>IF(C44&lt;&gt;"",SUMIF(Resultados!$E$412:$E$437,'Temporada 2026'!C44,Resultados!$F$412:$F$437),"")</f>
        <v>0</v>
      </c>
      <c r="V44" s="121">
        <f>IF(C44&lt;&gt;"",SUMIF(Resultados!$E$439:$E$465,'Temporada 2026'!C44,Resultados!$F$439:$F$465),"")</f>
        <v>0</v>
      </c>
      <c r="W44" s="121">
        <f>IF(C44&lt;&gt;"",SUMIF(Resultados!$E$493:$E$518,'Temporada 2026'!C44,Resultados!$F$493:$F$518),"")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IF(C44&lt;&gt;"",SUMIF(Resultados!$E$630:$E$655,'Temporada 2026'!C44,Resultados!$F$630:$F$655),"")</f>
        <v>0</v>
      </c>
      <c r="AB44" s="121">
        <f>IF(C44&lt;&gt;"",SUMIF(Resultados!$E$606:$E$683,'Temporada 2026'!C44,Resultados!$F$606:$F$683),"")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IF(C44&lt;&gt;"",SUMIF(Resultados!$E$360:$E$739,'Temporada 2026'!C44,Resultados!$F$360:$F$739),"")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IF(C44&lt;&gt;"",SUMIF(Resultados!$E$223:$E$795,'Temporada 2026'!C44,Resultados!$F$223:$F$795),"")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Alpine</v>
      </c>
      <c r="D45" s="123" t="str">
        <f>VLOOKUP(B45,'Dummy Table'!$A$34:$C$47,3,FALSE)</f>
        <v>França</v>
      </c>
      <c r="E45" s="123" t="str">
        <f>VLOOKUP(B45,'Dummy Table'!$A$34:$D$47,4,FALSE)</f>
        <v>Renault</v>
      </c>
      <c r="F45" s="124" t="str">
        <f>IF(C45&lt;&gt;"",IF(G45+Resultados!$K$30&gt;$G$39,"J","L"),"")</f>
        <v>J</v>
      </c>
      <c r="G45" s="125">
        <f>VLOOKUP(B45,'Dummy Table'!$A$34:$E$47,5,FALSE)</f>
        <v>10</v>
      </c>
      <c r="H45" s="123">
        <f t="shared" si="1"/>
        <v>-88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1</v>
      </c>
      <c r="K45" s="121">
        <f>IF(C45&lt;&gt;"",SUMIF(Resultados!$E$33:$E$82,'Temporada 2026'!C45,Resultados!$F$33:$F$82),"")</f>
        <v>9</v>
      </c>
      <c r="L45" s="121">
        <f>IF(C45&lt;&gt;"",SUMIF(Resultados!$E$85:$E$110,'Temporada 2026'!C45,Resultados!$F$85:$F$110),"")</f>
        <v>0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0</v>
      </c>
      <c r="Q45" s="121">
        <f>IF(C45&lt;&gt;"",SUMIF(Resultados!$E$275:$E$300,'Temporada 2026'!C45,Resultados!$F$275:$F$300),"")</f>
        <v>0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IF(C45&lt;&gt;"",SUMIF(Resultados!$E$384:$E$409,'Temporada 2026'!C45,Resultados!$F$384:$F$409),"")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IF(C45&lt;&gt;"",SUMIF(Resultados!$E$439:$E$465,'Temporada 2026'!C45,Resultados!$F$439:$F$465),"")</f>
        <v>0</v>
      </c>
      <c r="W45" s="121">
        <f>IF(C45&lt;&gt;"",SUMIF(Resultados!$E$493:$E$518,'Temporada 2026'!C45,Resultados!$F$493:$F$518),"")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IF(C45&lt;&gt;"",SUMIF(Resultados!$E$630:$E$655,'Temporada 2026'!C45,Resultados!$F$630:$F$655),"")</f>
        <v>0</v>
      </c>
      <c r="AB45" s="121">
        <f>IF(C45&lt;&gt;"",SUMIF(Resultados!$E$606:$E$683,'Temporada 2026'!C45,Resultados!$F$606:$F$683),"")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IF(C45&lt;&gt;"",SUMIF(Resultados!$E$360:$E$739,'Temporada 2026'!C45,Resultados!$F$360:$F$739),"")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IF(C45&lt;&gt;"",SUMIF(Resultados!$E$223:$E$795,'Temporada 2026'!C45,Resultados!$F$223:$F$795),"")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Audi</v>
      </c>
      <c r="D46" s="123" t="str">
        <f>VLOOKUP(B46,'Dummy Table'!$A$34:$C$47,3,FALSE)</f>
        <v>Alemanha</v>
      </c>
      <c r="E46" s="123" t="str">
        <f>VLOOKUP(B46,'Dummy Table'!$A$34:$D$47,4,FALSE)</f>
        <v>Audi</v>
      </c>
      <c r="F46" s="124" t="str">
        <f>IF(C46&lt;&gt;"",IF(G46+Resultados!$K$30&gt;$G$39,"J","L"),"")</f>
        <v>J</v>
      </c>
      <c r="G46" s="125">
        <f>VLOOKUP(B46,'Dummy Table'!$A$34:$E$47,5,FALSE)</f>
        <v>2</v>
      </c>
      <c r="H46" s="123">
        <f t="shared" si="1"/>
        <v>-96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2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IF(C46&lt;&gt;"",SUMIF(Resultados!$E$384:$E$409,'Temporada 2026'!C46,Resultados!$F$384:$F$409),"")</f>
        <v>0</v>
      </c>
      <c r="U46" s="121">
        <f>IF(C46&lt;&gt;"",SUMIF(Resultados!$E$412:$E$437,'Temporada 2026'!C46,Resultados!$F$412:$F$437),"")</f>
        <v>0</v>
      </c>
      <c r="V46" s="121">
        <f>IF(C46&lt;&gt;"",SUMIF(Resultados!$E$439:$E$465,'Temporada 2026'!C46,Resultados!$F$439:$F$465),"")</f>
        <v>0</v>
      </c>
      <c r="W46" s="121">
        <f>IF(C46&lt;&gt;"",SUMIF(Resultados!$E$493:$E$518,'Temporada 2026'!C46,Resultados!$F$493:$F$518),"")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IF(C46&lt;&gt;"",SUMIF(Resultados!$E$630:$E$655,'Temporada 2026'!C46,Resultados!$F$630:$F$655),"")</f>
        <v>0</v>
      </c>
      <c r="AB46" s="121">
        <f>IF(C46&lt;&gt;"",SUMIF(Resultados!$E$606:$E$683,'Temporada 2026'!C46,Resultados!$F$606:$F$683),"")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IF(C46&lt;&gt;"",SUMIF(Resultados!$E$360:$E$739,'Temporada 2026'!C46,Resultados!$F$360:$F$739),"")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IF(C46&lt;&gt;"",SUMIF(Resultados!$E$223:$E$795,'Temporada 2026'!C46,Resultados!$F$223:$F$795),"")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J</v>
      </c>
      <c r="G47" s="125">
        <f>VLOOKUP(B47,'Dummy Table'!$A$34:$E$47,5,FALSE)</f>
        <v>2</v>
      </c>
      <c r="H47" s="123">
        <f t="shared" si="1"/>
        <v>-96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2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IF(C47&lt;&gt;"",SUMIF(Resultados!$E$275:$E$300,'Temporada 2026'!C47,Resultados!$F$275:$F$300),"")</f>
        <v>0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IF(C47&lt;&gt;"",SUMIF(Resultados!$E$384:$E$409,'Temporada 2026'!C47,Resultados!$F$384:$F$409),"")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IF(C47&lt;&gt;"",SUMIF(Resultados!$E$439:$E$465,'Temporada 2026'!C47,Resultados!$F$439:$F$465),"")</f>
        <v>0</v>
      </c>
      <c r="W47" s="121">
        <f>IF(C47&lt;&gt;"",SUMIF(Resultados!$E$493:$E$518,'Temporada 2026'!C47,Resultados!$F$493:$F$518),"")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IF(C47&lt;&gt;"",SUMIF(Resultados!$E$630:$E$655,'Temporada 2026'!C47,Resultados!$F$630:$F$655),"")</f>
        <v>0</v>
      </c>
      <c r="AB47" s="121">
        <f>IF(C47&lt;&gt;"",SUMIF(Resultados!$E$606:$E$683,'Temporada 2026'!C47,Resultados!$F$606:$F$683),"")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IF(C47&lt;&gt;"",SUMIF(Resultados!$E$360:$E$739,'Temporada 2026'!C47,Resultados!$F$360:$F$739),"")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IF(C47&lt;&gt;"",SUMIF(Resultados!$E$223:$E$795,'Temporada 2026'!C47,Resultados!$F$223:$F$795),"")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Cadillac</v>
      </c>
      <c r="D48" s="123" t="str">
        <f>VLOOKUP(B48,'Dummy Table'!$A$34:$C$47,3,FALSE)</f>
        <v>EUA</v>
      </c>
      <c r="E48" s="123" t="str">
        <f>VLOOKUP(B48,'Dummy Table'!$A$34:$D$47,4,FALSE)</f>
        <v>Ferrari</v>
      </c>
      <c r="F48" s="124" t="str">
        <f>IF(C48&lt;&gt;"",IF(G48+Resultados!$K$30&gt;$G$39,"J","L"),"")</f>
        <v>J</v>
      </c>
      <c r="G48" s="125">
        <f>VLOOKUP(B48,'Dummy Table'!$A$34:$E$47,5,FALSE)</f>
        <v>0</v>
      </c>
      <c r="H48" s="123">
        <f t="shared" si="1"/>
        <v>-98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0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IF(C48&lt;&gt;"",SUMIF(Resultados!$E$384:$E$409,'Temporada 2026'!C48,Resultados!$F$384:$F$409),"")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IF(C48&lt;&gt;"",SUMIF(Resultados!$E$439:$E$465,'Temporada 2026'!C48,Resultados!$F$439:$F$465),"")</f>
        <v>0</v>
      </c>
      <c r="W48" s="121">
        <f>IF(C48&lt;&gt;"",SUMIF(Resultados!$E$493:$E$518,'Temporada 2026'!C48,Resultados!$F$493:$F$518),"")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IF(C48&lt;&gt;"",SUMIF(Resultados!$E$630:$E$655,'Temporada 2026'!C48,Resultados!$F$630:$F$655),"")</f>
        <v>0</v>
      </c>
      <c r="AB48" s="121">
        <f>IF(C48&lt;&gt;"",SUMIF(Resultados!$E$606:$E$683,'Temporada 2026'!C48,Resultados!$F$606:$F$683),"")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IF(C48&lt;&gt;"",SUMIF(Resultados!$E$360:$E$739,'Temporada 2026'!C48,Resultados!$F$360:$F$739),"")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IF(C48&lt;&gt;"",SUMIF(Resultados!$E$223:$E$795,'Temporada 2026'!C48,Resultados!$F$223:$F$795),"")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Aston Martin</v>
      </c>
      <c r="D49" s="123" t="str">
        <f>VLOOKUP(B49,'Dummy Table'!$A$34:$C$47,3,FALSE)</f>
        <v>Inglaterra</v>
      </c>
      <c r="E49" s="123" t="str">
        <f>VLOOKUP(B49,'Dummy Table'!$A$34:$D$47,4,FALSE)</f>
        <v>Honda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-98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IF(C49&lt;&gt;"",SUMIF(Resultados!$E$384:$E$409,'Temporada 2026'!C49,Resultados!$F$384:$F$409),"")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IF(C49&lt;&gt;"",SUMIF(Resultados!$E$439:$E$465,'Temporada 2026'!C49,Resultados!$F$439:$F$465),"")</f>
        <v>0</v>
      </c>
      <c r="W49" s="121">
        <f>IF(C49&lt;&gt;"",SUMIF(Resultados!$E$493:$E$518,'Temporada 2026'!C49,Resultados!$F$493:$F$518),"")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IF(C49&lt;&gt;"",SUMIF(Resultados!$E$630:$E$655,'Temporada 2026'!C49,Resultados!$F$630:$F$655),"")</f>
        <v>0</v>
      </c>
      <c r="AB49" s="121">
        <f>IF(C49&lt;&gt;"",SUMIF(Resultados!$E$606:$E$683,'Temporada 2026'!C49,Resultados!$F$606:$F$683),"")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IF(C49&lt;&gt;"",SUMIF(Resultados!$E$360:$E$739,'Temporada 2026'!C49,Resultados!$F$360:$F$739),"")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IF(C49&lt;&gt;"",SUMIF(Resultados!$E$223:$E$795,'Temporada 2026'!C49,Resultados!$F$223:$F$795),"")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IF(C50&lt;&gt;"",SUMIF(Resultados!$E$384:$E$409,'Temporada 2026'!C50,Resultados!$F$384:$F$409),"")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IF(C50&lt;&gt;"",SUMIF(Resultados!$E$439:$E$465,'Temporada 2026'!C50,Resultados!$F$439:$F$465),"")</f>
        <v/>
      </c>
      <c r="W50" s="121" t="str">
        <f>IF(C50&lt;&gt;"",SUMIF(Resultados!$E$493:$E$518,'Temporada 2026'!C50,Resultados!$F$493:$F$518),"")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IF(C50&lt;&gt;"",SUMIF(Resultados!$E$630:$E$655,'Temporada 2026'!C50,Resultados!$F$630:$F$655),"")</f>
        <v/>
      </c>
      <c r="AB50" s="121" t="str">
        <f>IF(C50&lt;&gt;"",SUMIF(Resultados!$E$606:$E$683,'Temporada 2026'!C50,Resultados!$F$606:$F$683),"")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IF(C50&lt;&gt;"",SUMIF(Resultados!$E$360:$E$739,'Temporada 2026'!C50,Resultados!$F$360:$F$739),"")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IF(C50&lt;&gt;"",SUMIF(Resultados!$E$223:$E$795,'Temporada 2026'!C50,Resultados!$F$223:$F$795),"")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5" t="s">
        <v>249</v>
      </c>
      <c r="C54" s="155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84REhSXhW6byyX7dUqq60dlopcP5cZc6sLjpaQpwZDLBYJ6IXIn9a5CLUwuR+ov0yBwyRoMQU896O6mxiDTqYw==" saltValue="VM0VCxh548b2YZoXifBN6Q==" spinCount="100000" sheet="1" selectLockedCells="1"/>
  <mergeCells count="21">
    <mergeCell ref="B36:E36"/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68" t="s">
        <v>28</v>
      </c>
      <c r="C2" s="168"/>
      <c r="D2" s="168"/>
      <c r="E2" s="168"/>
      <c r="F2" s="168"/>
      <c r="G2" s="168"/>
      <c r="H2" s="168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9" t="s">
        <v>27</v>
      </c>
      <c r="H4" s="169"/>
    </row>
    <row r="5" spans="2:8" x14ac:dyDescent="0.2">
      <c r="B5" s="159">
        <v>1</v>
      </c>
      <c r="C5" s="160">
        <f>'Calendário atual'!B2</f>
        <v>46089</v>
      </c>
      <c r="D5" s="165" t="str">
        <f>'Calendário atual'!C2</f>
        <v>Australia</v>
      </c>
      <c r="E5" s="162" t="str">
        <f>'Calendário atual'!D2</f>
        <v>FORMULA 1 QATAR AIRWAYS AUSTRALIAN GRAND PRIX 2026</v>
      </c>
      <c r="F5" s="165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59"/>
      <c r="C6" s="160"/>
      <c r="D6" s="166"/>
      <c r="E6" s="163"/>
      <c r="F6" s="166"/>
      <c r="G6" s="105">
        <v>2</v>
      </c>
      <c r="H6" s="103" t="str">
        <f>IF(Resultados!C5&lt;&gt;"",Resultados!C5,"")</f>
        <v>Kimi Antonelli</v>
      </c>
    </row>
    <row r="7" spans="2:8" x14ac:dyDescent="0.2">
      <c r="B7" s="159"/>
      <c r="C7" s="160"/>
      <c r="D7" s="167"/>
      <c r="E7" s="164"/>
      <c r="F7" s="167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0">
        <v>2</v>
      </c>
      <c r="C8" s="160">
        <f>'Calendário atual'!B3</f>
        <v>46096</v>
      </c>
      <c r="D8" s="167" t="str">
        <f>'Calendário atual'!C3</f>
        <v>China</v>
      </c>
      <c r="E8" s="162" t="str">
        <f>'Calendário atual'!D3</f>
        <v>FORMULA 1 HEINEKEN CHINESE GRAND PRIX 2026</v>
      </c>
      <c r="F8" s="165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59"/>
      <c r="C9" s="160"/>
      <c r="D9" s="161"/>
      <c r="E9" s="163"/>
      <c r="F9" s="166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59"/>
      <c r="C10" s="160"/>
      <c r="D10" s="161"/>
      <c r="E10" s="164"/>
      <c r="F10" s="167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59">
        <v>3</v>
      </c>
      <c r="C11" s="160">
        <f>'Calendário atual'!B4</f>
        <v>46110</v>
      </c>
      <c r="D11" s="161" t="str">
        <f>'Calendário atual'!C4</f>
        <v>Japão</v>
      </c>
      <c r="E11" s="162" t="str">
        <f>'Calendário atual'!D4</f>
        <v>FORMULA 1 ARAMCO JAPANESE GRAND PRIX 2026</v>
      </c>
      <c r="F11" s="165" t="str">
        <f>'Calendário atual'!E4</f>
        <v>Suzuka</v>
      </c>
      <c r="G11" s="101">
        <v>1</v>
      </c>
      <c r="H11" s="102" t="str">
        <f>IF(Resultados!C85&lt;&gt;"",Resultados!C85,"")</f>
        <v/>
      </c>
    </row>
    <row r="12" spans="2:8" ht="12.75" customHeight="1" x14ac:dyDescent="0.2">
      <c r="B12" s="159"/>
      <c r="C12" s="160"/>
      <c r="D12" s="161"/>
      <c r="E12" s="163"/>
      <c r="F12" s="166"/>
      <c r="G12" s="105">
        <v>2</v>
      </c>
      <c r="H12" s="103" t="str">
        <f>IF(Resultados!C86&lt;&gt;"",Resultados!C86,"")</f>
        <v/>
      </c>
    </row>
    <row r="13" spans="2:8" ht="12.75" customHeight="1" x14ac:dyDescent="0.2">
      <c r="B13" s="159"/>
      <c r="C13" s="160"/>
      <c r="D13" s="161"/>
      <c r="E13" s="164"/>
      <c r="F13" s="167"/>
      <c r="G13" s="106">
        <v>3</v>
      </c>
      <c r="H13" s="104" t="str">
        <f>IF(Resultados!C87&lt;&gt;"",Resultados!C87,"")</f>
        <v/>
      </c>
    </row>
    <row r="14" spans="2:8" ht="12.75" customHeight="1" x14ac:dyDescent="0.2">
      <c r="B14" s="159">
        <v>4</v>
      </c>
      <c r="C14" s="160">
        <f>'Calendário atual'!B5</f>
        <v>46124</v>
      </c>
      <c r="D14" s="161" t="str">
        <f>'Calendário atual'!C5</f>
        <v>Bahrein</v>
      </c>
      <c r="E14" s="162" t="str">
        <f>'Calendário atual'!D5</f>
        <v>SUSPENSA - FORMULA 1 GULF AIR BAHRAIN GRAND PRIX 2026 - SUSPENSA</v>
      </c>
      <c r="F14" s="165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59"/>
      <c r="C15" s="160"/>
      <c r="D15" s="161"/>
      <c r="E15" s="163"/>
      <c r="F15" s="166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59"/>
      <c r="C16" s="160"/>
      <c r="D16" s="161"/>
      <c r="E16" s="164"/>
      <c r="F16" s="167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59">
        <v>5</v>
      </c>
      <c r="C17" s="160">
        <f>'Calendário atual'!B6</f>
        <v>46131</v>
      </c>
      <c r="D17" s="161" t="str">
        <f>'Calendário atual'!C6</f>
        <v>Arabia Saudita</v>
      </c>
      <c r="E17" s="162" t="str">
        <f>'Calendário atual'!D6</f>
        <v>SUSPENSA - FORMULA 1 STC SAUDI ARABIAN GRAND PRIX 2026 - SUSPENSA</v>
      </c>
      <c r="F17" s="165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59"/>
      <c r="C18" s="160"/>
      <c r="D18" s="161"/>
      <c r="E18" s="163"/>
      <c r="F18" s="166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59"/>
      <c r="C19" s="160"/>
      <c r="D19" s="161"/>
      <c r="E19" s="164"/>
      <c r="F19" s="167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59">
        <v>6</v>
      </c>
      <c r="C20" s="160">
        <f>'Calendário atual'!B7</f>
        <v>46145</v>
      </c>
      <c r="D20" s="161" t="str">
        <f>'Calendário atual'!C7</f>
        <v>USA</v>
      </c>
      <c r="E20" s="162" t="str">
        <f>'Calendário atual'!D7</f>
        <v>FORMULA 1 CRYPTO.COM MIAMI GRAND PRIX 2026</v>
      </c>
      <c r="F20" s="161" t="str">
        <f>'Calendário atual'!E7</f>
        <v>Miami International Autodrome</v>
      </c>
      <c r="G20" s="101">
        <v>1</v>
      </c>
      <c r="H20" s="102" t="str">
        <f>IF(Resultados!C194&lt;&gt;"",Resultados!C194,"")</f>
        <v/>
      </c>
    </row>
    <row r="21" spans="2:8" ht="12.75" customHeight="1" x14ac:dyDescent="0.2">
      <c r="B21" s="159"/>
      <c r="C21" s="160"/>
      <c r="D21" s="161"/>
      <c r="E21" s="163"/>
      <c r="F21" s="161"/>
      <c r="G21" s="105">
        <v>2</v>
      </c>
      <c r="H21" s="103" t="str">
        <f>IF(Resultados!C195&lt;&gt;"",Resultados!C195,"")</f>
        <v/>
      </c>
    </row>
    <row r="22" spans="2:8" ht="12.75" customHeight="1" x14ac:dyDescent="0.2">
      <c r="B22" s="159"/>
      <c r="C22" s="160"/>
      <c r="D22" s="161"/>
      <c r="E22" s="164"/>
      <c r="F22" s="161"/>
      <c r="G22" s="106">
        <v>3</v>
      </c>
      <c r="H22" s="104" t="str">
        <f>IF(Resultados!C196&lt;&gt;"",Resultados!C196,"")</f>
        <v/>
      </c>
    </row>
    <row r="23" spans="2:8" ht="12.75" customHeight="1" x14ac:dyDescent="0.2">
      <c r="B23" s="159">
        <v>7</v>
      </c>
      <c r="C23" s="160">
        <f>'Calendário atual'!B8</f>
        <v>46166</v>
      </c>
      <c r="D23" s="161" t="str">
        <f>'Calendário atual'!C8</f>
        <v>Canadá</v>
      </c>
      <c r="E23" s="162" t="str">
        <f>'Calendário atual'!D8</f>
        <v>FORMULA 1 LENOVO GRAND PRIX DU CANADA 2026</v>
      </c>
      <c r="F23" s="161" t="str">
        <f>'Calendário atual'!E8</f>
        <v>Circuit Gilles Villeneuve</v>
      </c>
      <c r="G23" s="101">
        <v>1</v>
      </c>
      <c r="H23" s="102" t="str">
        <f>IF(Resultados!C247&lt;&gt;"",Resultados!C247,"")</f>
        <v/>
      </c>
    </row>
    <row r="24" spans="2:8" ht="12.75" customHeight="1" x14ac:dyDescent="0.2">
      <c r="B24" s="159"/>
      <c r="C24" s="160"/>
      <c r="D24" s="161"/>
      <c r="E24" s="163"/>
      <c r="F24" s="161"/>
      <c r="G24" s="105">
        <v>2</v>
      </c>
      <c r="H24" s="103" t="str">
        <f>IF(Resultados!C248&lt;&gt;"",Resultados!C248,"")</f>
        <v/>
      </c>
    </row>
    <row r="25" spans="2:8" ht="12.75" customHeight="1" x14ac:dyDescent="0.2">
      <c r="B25" s="159"/>
      <c r="C25" s="160"/>
      <c r="D25" s="161"/>
      <c r="E25" s="164"/>
      <c r="F25" s="161"/>
      <c r="G25" s="106">
        <v>3</v>
      </c>
      <c r="H25" s="104" t="str">
        <f>IF(Resultados!C249&lt;&gt;"",Resultados!C249,"")</f>
        <v/>
      </c>
    </row>
    <row r="26" spans="2:8" ht="12.75" customHeight="1" x14ac:dyDescent="0.2">
      <c r="B26" s="159">
        <v>8</v>
      </c>
      <c r="C26" s="160">
        <f>'Calendário atual'!B9</f>
        <v>46180</v>
      </c>
      <c r="D26" s="161" t="str">
        <f>'Calendário atual'!C9</f>
        <v>Mônaco</v>
      </c>
      <c r="E26" s="162" t="str">
        <f>'Calendário atual'!D9</f>
        <v>FORMULA 1 LOUIS VUITTON GRAND PRIX DE MONACO 2026</v>
      </c>
      <c r="F26" s="161" t="str">
        <f>'Calendário atual'!E9</f>
        <v>Monaco</v>
      </c>
      <c r="G26" s="101">
        <v>1</v>
      </c>
      <c r="H26" s="102" t="str">
        <f>IF(Resultados!C275&lt;&gt;"",Resultados!C275,"")</f>
        <v/>
      </c>
    </row>
    <row r="27" spans="2:8" ht="12.75" customHeight="1" x14ac:dyDescent="0.2">
      <c r="B27" s="159"/>
      <c r="C27" s="160"/>
      <c r="D27" s="161"/>
      <c r="E27" s="163"/>
      <c r="F27" s="161"/>
      <c r="G27" s="105">
        <v>2</v>
      </c>
      <c r="H27" s="103" t="str">
        <f>IF(Resultados!C276&lt;&gt;"",Resultados!C276,"")</f>
        <v/>
      </c>
    </row>
    <row r="28" spans="2:8" ht="12.75" customHeight="1" x14ac:dyDescent="0.2">
      <c r="B28" s="159"/>
      <c r="C28" s="160"/>
      <c r="D28" s="161"/>
      <c r="E28" s="164"/>
      <c r="F28" s="161"/>
      <c r="G28" s="106">
        <v>3</v>
      </c>
      <c r="H28" s="104" t="str">
        <f>IF(Resultados!C277&lt;&gt;"",Resultados!C277,"")</f>
        <v/>
      </c>
    </row>
    <row r="29" spans="2:8" ht="12.75" customHeight="1" x14ac:dyDescent="0.2">
      <c r="B29" s="159">
        <v>9</v>
      </c>
      <c r="C29" s="160">
        <f>'Calendário atual'!B10</f>
        <v>46187</v>
      </c>
      <c r="D29" s="161" t="str">
        <f>'Calendário atual'!C10</f>
        <v>Espanha</v>
      </c>
      <c r="E29" s="162" t="str">
        <f>'Calendário atual'!D10</f>
        <v>FORMULA 1 MSC CRUISES GRAN PREMIO DE BARCELONA-CATALUNYA 2026</v>
      </c>
      <c r="F29" s="161" t="str">
        <f>'Calendário atual'!E10</f>
        <v>Circuit de Catalunya</v>
      </c>
      <c r="G29" s="101">
        <v>1</v>
      </c>
      <c r="H29" s="102" t="str">
        <f>IF(Resultados!C303&lt;&gt;"",Resultados!C303,"")</f>
        <v/>
      </c>
    </row>
    <row r="30" spans="2:8" ht="12.75" customHeight="1" x14ac:dyDescent="0.2">
      <c r="B30" s="159"/>
      <c r="C30" s="160"/>
      <c r="D30" s="161"/>
      <c r="E30" s="163"/>
      <c r="F30" s="161"/>
      <c r="G30" s="105">
        <v>2</v>
      </c>
      <c r="H30" s="103" t="str">
        <f>IF(Resultados!C304&lt;&gt;"",Resultados!C304,"")</f>
        <v/>
      </c>
    </row>
    <row r="31" spans="2:8" ht="12.75" customHeight="1" x14ac:dyDescent="0.2">
      <c r="B31" s="159"/>
      <c r="C31" s="160"/>
      <c r="D31" s="161"/>
      <c r="E31" s="164"/>
      <c r="F31" s="161"/>
      <c r="G31" s="106">
        <v>3</v>
      </c>
      <c r="H31" s="104" t="str">
        <f>IF(Resultados!C305&lt;&gt;"",Resultados!C305,"")</f>
        <v/>
      </c>
    </row>
    <row r="32" spans="2:8" ht="12.75" customHeight="1" x14ac:dyDescent="0.2">
      <c r="B32" s="159">
        <v>10</v>
      </c>
      <c r="C32" s="160">
        <f>'Calendário atual'!B11</f>
        <v>46201</v>
      </c>
      <c r="D32" s="165" t="str">
        <f>'Calendário atual'!C11</f>
        <v>Austria</v>
      </c>
      <c r="E32" s="162" t="str">
        <f>'Calendário atual'!D11</f>
        <v>FORMULA 1 LENOVO AUSTRIAN GRAND PRIX 2026</v>
      </c>
      <c r="F32" s="165" t="str">
        <f>'Calendário atual'!E11</f>
        <v>Red Bull Ring</v>
      </c>
      <c r="G32" s="101">
        <v>1</v>
      </c>
      <c r="H32" s="102" t="str">
        <f>IF(Resultados!C331&lt;&gt;"",Resultados!C331,"")</f>
        <v/>
      </c>
    </row>
    <row r="33" spans="2:8" ht="12.75" customHeight="1" x14ac:dyDescent="0.2">
      <c r="B33" s="159"/>
      <c r="C33" s="160"/>
      <c r="D33" s="166"/>
      <c r="E33" s="163"/>
      <c r="F33" s="166"/>
      <c r="G33" s="105">
        <v>2</v>
      </c>
      <c r="H33" s="103" t="str">
        <f>IF(Resultados!C332&lt;&gt;"",Resultados!C332,"")</f>
        <v/>
      </c>
    </row>
    <row r="34" spans="2:8" ht="12.75" customHeight="1" x14ac:dyDescent="0.2">
      <c r="B34" s="159"/>
      <c r="C34" s="160"/>
      <c r="D34" s="167"/>
      <c r="E34" s="164"/>
      <c r="F34" s="167"/>
      <c r="G34" s="106">
        <v>3</v>
      </c>
      <c r="H34" s="104" t="str">
        <f>IF(Resultados!C333&lt;&gt;"",Resultados!C333,"")</f>
        <v/>
      </c>
    </row>
    <row r="35" spans="2:8" ht="12.75" customHeight="1" x14ac:dyDescent="0.2">
      <c r="B35" s="159">
        <v>11</v>
      </c>
      <c r="C35" s="160">
        <f>'Calendário atual'!B12</f>
        <v>46208</v>
      </c>
      <c r="D35" s="161" t="str">
        <f>'Calendário atual'!C12</f>
        <v>Inglaterra</v>
      </c>
      <c r="E35" s="162" t="str">
        <f>'Calendário atual'!D12</f>
        <v>FORMULA 1 PIRELLI BRITISH GRAND PRIX 2026</v>
      </c>
      <c r="F35" s="161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59"/>
      <c r="C36" s="160"/>
      <c r="D36" s="161"/>
      <c r="E36" s="163"/>
      <c r="F36" s="161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59"/>
      <c r="C37" s="160"/>
      <c r="D37" s="161"/>
      <c r="E37" s="164"/>
      <c r="F37" s="161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59">
        <v>12</v>
      </c>
      <c r="C38" s="160">
        <f>'Calendário atual'!B13</f>
        <v>46222</v>
      </c>
      <c r="D38" s="161" t="str">
        <f>'Calendário atual'!C13</f>
        <v>Bélgica</v>
      </c>
      <c r="E38" s="162" t="str">
        <f>'Calendário atual'!D13</f>
        <v>FORMULA 1 MOËT &amp; CHANDON BELGIAN GRAND PRIX 2026</v>
      </c>
      <c r="F38" s="161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59"/>
      <c r="C39" s="160"/>
      <c r="D39" s="161"/>
      <c r="E39" s="163"/>
      <c r="F39" s="161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59"/>
      <c r="C40" s="160"/>
      <c r="D40" s="161"/>
      <c r="E40" s="164"/>
      <c r="F40" s="161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59">
        <v>13</v>
      </c>
      <c r="C41" s="160">
        <f>'Calendário atual'!B14</f>
        <v>46229</v>
      </c>
      <c r="D41" s="161" t="str">
        <f>'Calendário atual'!C14</f>
        <v>Hungria</v>
      </c>
      <c r="E41" s="162" t="str">
        <f>'Calendário atual'!D14</f>
        <v>FORMULA 1 AWS HUNGARIAN GRAND PRIX 2026</v>
      </c>
      <c r="F41" s="161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59"/>
      <c r="C42" s="160"/>
      <c r="D42" s="161"/>
      <c r="E42" s="163"/>
      <c r="F42" s="161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59"/>
      <c r="C43" s="160"/>
      <c r="D43" s="161"/>
      <c r="E43" s="164"/>
      <c r="F43" s="161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59">
        <v>14</v>
      </c>
      <c r="C44" s="160">
        <f>'Calendário atual'!B15</f>
        <v>46257</v>
      </c>
      <c r="D44" s="161" t="str">
        <f>'Calendário atual'!C15</f>
        <v>Holanda</v>
      </c>
      <c r="E44" s="162" t="str">
        <f>'Calendário atual'!D15</f>
        <v>FORMULA 1 HEINEKEN DUTCH GRAND PRIX 2026</v>
      </c>
      <c r="F44" s="161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59"/>
      <c r="C45" s="160"/>
      <c r="D45" s="161"/>
      <c r="E45" s="163"/>
      <c r="F45" s="161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59"/>
      <c r="C46" s="160"/>
      <c r="D46" s="161"/>
      <c r="E46" s="164"/>
      <c r="F46" s="161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59">
        <v>15</v>
      </c>
      <c r="C47" s="160">
        <f>'Calendário atual'!B16</f>
        <v>46271</v>
      </c>
      <c r="D47" s="161" t="str">
        <f>'Calendário atual'!C16</f>
        <v>Itália</v>
      </c>
      <c r="E47" s="162" t="str">
        <f>'Calendário atual'!D16</f>
        <v>FORMULA 1 PIRELLI GRAN PREMIO D’ITALIA 2026</v>
      </c>
      <c r="F47" s="161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59"/>
      <c r="C48" s="160"/>
      <c r="D48" s="161"/>
      <c r="E48" s="163"/>
      <c r="F48" s="161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59"/>
      <c r="C49" s="160"/>
      <c r="D49" s="161"/>
      <c r="E49" s="164"/>
      <c r="F49" s="161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59">
        <v>16</v>
      </c>
      <c r="C50" s="160">
        <f>'Calendário atual'!B17</f>
        <v>46278</v>
      </c>
      <c r="D50" s="161" t="str">
        <f>'Calendário atual'!C17</f>
        <v>Espanha</v>
      </c>
      <c r="E50" s="162" t="str">
        <f>'Calendário atual'!D17</f>
        <v>FORMULA 1 TAG HEUER GRAN PREMIO DE ESPAÑA 2026</v>
      </c>
      <c r="F50" s="161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59"/>
      <c r="C51" s="160"/>
      <c r="D51" s="161"/>
      <c r="E51" s="163"/>
      <c r="F51" s="161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59"/>
      <c r="C52" s="160"/>
      <c r="D52" s="161"/>
      <c r="E52" s="164"/>
      <c r="F52" s="161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59">
        <v>17</v>
      </c>
      <c r="C53" s="160">
        <f>'Calendário atual'!B18</f>
        <v>46292</v>
      </c>
      <c r="D53" s="161" t="str">
        <f>'Calendário atual'!C18</f>
        <v>Azerbaijão</v>
      </c>
      <c r="E53" s="162" t="str">
        <f>'Calendário atual'!D18</f>
        <v>FORMULA 1 QATAR AIRWAYS AZERBAIJAN GRAND PRIX 2026</v>
      </c>
      <c r="F53" s="161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59"/>
      <c r="C54" s="160"/>
      <c r="D54" s="161"/>
      <c r="E54" s="163"/>
      <c r="F54" s="161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59"/>
      <c r="C55" s="160"/>
      <c r="D55" s="161"/>
      <c r="E55" s="164"/>
      <c r="F55" s="161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59">
        <v>18</v>
      </c>
      <c r="C56" s="160">
        <f>'Calendário atual'!B19</f>
        <v>46306</v>
      </c>
      <c r="D56" s="161" t="str">
        <f>'Calendário atual'!C19</f>
        <v>Singapura</v>
      </c>
      <c r="E56" s="162" t="str">
        <f>'Calendário atual'!D19</f>
        <v>FORMULA 1 SINGAPORE AIRLINES SINGAPORE GRAND PRIX 2026</v>
      </c>
      <c r="F56" s="161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59"/>
      <c r="C57" s="160"/>
      <c r="D57" s="161"/>
      <c r="E57" s="163"/>
      <c r="F57" s="161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59"/>
      <c r="C58" s="160"/>
      <c r="D58" s="161"/>
      <c r="E58" s="164"/>
      <c r="F58" s="161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59">
        <v>19</v>
      </c>
      <c r="C59" s="160">
        <f>'Calendário atual'!B20</f>
        <v>46320</v>
      </c>
      <c r="D59" s="161" t="str">
        <f>'Calendário atual'!C20</f>
        <v>USA</v>
      </c>
      <c r="E59" s="162" t="str">
        <f>'Calendário atual'!D20</f>
        <v>FORMULA 1 MSC CRUISES UNITED STATES GRAND PRIX 2026</v>
      </c>
      <c r="F59" s="161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59"/>
      <c r="C60" s="160"/>
      <c r="D60" s="161"/>
      <c r="E60" s="163"/>
      <c r="F60" s="161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59"/>
      <c r="C61" s="160"/>
      <c r="D61" s="161"/>
      <c r="E61" s="164"/>
      <c r="F61" s="161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59">
        <v>20</v>
      </c>
      <c r="C62" s="160">
        <f>'Calendário atual'!B21</f>
        <v>46327</v>
      </c>
      <c r="D62" s="161" t="str">
        <f>'Calendário atual'!C21</f>
        <v>México</v>
      </c>
      <c r="E62" s="162" t="str">
        <f>'Calendário atual'!D21</f>
        <v>FORMULA 1 GRAN PREMIO DE LA CIUDAD DE MÉXICO 2026</v>
      </c>
      <c r="F62" s="161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59"/>
      <c r="C63" s="160"/>
      <c r="D63" s="161"/>
      <c r="E63" s="163"/>
      <c r="F63" s="161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59"/>
      <c r="C64" s="160"/>
      <c r="D64" s="161"/>
      <c r="E64" s="164"/>
      <c r="F64" s="161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59">
        <v>21</v>
      </c>
      <c r="C65" s="160">
        <f>'Calendário atual'!B22</f>
        <v>46334</v>
      </c>
      <c r="D65" s="161" t="str">
        <f>'Calendário atual'!C22</f>
        <v>Brasil</v>
      </c>
      <c r="E65" s="162" t="str">
        <f>'Calendário atual'!D22</f>
        <v>FORMULA 1 MSC CRUISES GRANDE PRÊMIO DE SÃO PAULO 2026</v>
      </c>
      <c r="F65" s="161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59"/>
      <c r="C66" s="160"/>
      <c r="D66" s="161"/>
      <c r="E66" s="163"/>
      <c r="F66" s="161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59"/>
      <c r="C67" s="160"/>
      <c r="D67" s="161"/>
      <c r="E67" s="164"/>
      <c r="F67" s="161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59">
        <v>22</v>
      </c>
      <c r="C68" s="160">
        <f>'Calendário atual'!B23</f>
        <v>46347</v>
      </c>
      <c r="D68" s="161" t="str">
        <f>'Calendário atual'!C23</f>
        <v>USA</v>
      </c>
      <c r="E68" s="162" t="str">
        <f>'Calendário atual'!D23</f>
        <v>FORMULA 1 HEINEKEN LAS VEGAS GRAND PRIX 2026</v>
      </c>
      <c r="F68" s="161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59"/>
      <c r="C69" s="160"/>
      <c r="D69" s="161"/>
      <c r="E69" s="163"/>
      <c r="F69" s="161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59"/>
      <c r="C70" s="160"/>
      <c r="D70" s="161"/>
      <c r="E70" s="164"/>
      <c r="F70" s="161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59">
        <v>23</v>
      </c>
      <c r="C71" s="160">
        <f>'Calendário atual'!B24</f>
        <v>46355</v>
      </c>
      <c r="D71" s="161" t="str">
        <f>'Calendário atual'!C24</f>
        <v>Qatar</v>
      </c>
      <c r="E71" s="162" t="str">
        <f>'Calendário atual'!D24</f>
        <v>FORMULA 1 QATAR AIRWAYS QATAR GRAND PRIX 2026</v>
      </c>
      <c r="F71" s="161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59"/>
      <c r="C72" s="160"/>
      <c r="D72" s="161"/>
      <c r="E72" s="163"/>
      <c r="F72" s="161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59"/>
      <c r="C73" s="160"/>
      <c r="D73" s="161"/>
      <c r="E73" s="164"/>
      <c r="F73" s="161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59">
        <v>24</v>
      </c>
      <c r="C74" s="160">
        <f>'Calendário atual'!B25</f>
        <v>46362</v>
      </c>
      <c r="D74" s="161" t="str">
        <f>'Calendário atual'!C25</f>
        <v>Abu Dhabi</v>
      </c>
      <c r="E74" s="162" t="str">
        <f>'Calendário atual'!D25</f>
        <v>FORMULA 1 ETIHAD AIRWAYS ABU DHABI GRAND PRIX 2026</v>
      </c>
      <c r="F74" s="161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59"/>
      <c r="C75" s="160"/>
      <c r="D75" s="161"/>
      <c r="E75" s="163"/>
      <c r="F75" s="161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59"/>
      <c r="C76" s="160"/>
      <c r="D76" s="161"/>
      <c r="E76" s="164"/>
      <c r="F76" s="161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83" workbookViewId="0">
      <selection activeCell="C85" sqref="C85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1" t="str">
        <f>VLOOKUP($A2,'Calendário atual'!$A$2:$E$30,4,FALSE)</f>
        <v>FORMULA 1 QATAR AIRWAYS AUSTRALIAN GRAND PRIX 2026</v>
      </c>
      <c r="D2" s="171"/>
      <c r="E2" s="171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3" t="s">
        <v>229</v>
      </c>
      <c r="N2" s="173"/>
      <c r="O2" s="173"/>
      <c r="P2" s="173" t="s">
        <v>230</v>
      </c>
      <c r="Q2" s="173"/>
      <c r="R2" s="173"/>
      <c r="S2" s="172" t="s">
        <v>263</v>
      </c>
      <c r="T2" s="172"/>
      <c r="U2" s="172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355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325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>
        <f>C85</f>
        <v>0</v>
      </c>
      <c r="N5" s="77" t="str">
        <f>E85</f>
        <v/>
      </c>
      <c r="O5" s="77">
        <v>1</v>
      </c>
      <c r="P5" s="77">
        <f>C109</f>
        <v>0</v>
      </c>
      <c r="Q5" s="77" t="str">
        <f>E109</f>
        <v/>
      </c>
      <c r="R5" s="77">
        <v>1</v>
      </c>
      <c r="S5" s="77">
        <f>C110</f>
        <v>0</v>
      </c>
      <c r="T5" s="77" t="str">
        <f>E110</f>
        <v/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308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311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>
        <f>C194</f>
        <v>0</v>
      </c>
      <c r="N8" s="77" t="str">
        <f>E194</f>
        <v/>
      </c>
      <c r="O8" s="77">
        <v>1</v>
      </c>
      <c r="P8" s="77">
        <f>C218</f>
        <v>0</v>
      </c>
      <c r="Q8" s="77" t="str">
        <f>E218</f>
        <v/>
      </c>
      <c r="R8" s="77">
        <v>1</v>
      </c>
      <c r="S8" s="77">
        <f>C219</f>
        <v>0</v>
      </c>
      <c r="T8" s="77" t="str">
        <f>E219</f>
        <v/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300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>
        <f>C247</f>
        <v>0</v>
      </c>
      <c r="N9" s="77" t="str">
        <f>E247</f>
        <v/>
      </c>
      <c r="O9" s="77">
        <v>1</v>
      </c>
      <c r="P9" s="77">
        <f>C271</f>
        <v>0</v>
      </c>
      <c r="Q9" s="77" t="str">
        <f>D271</f>
        <v/>
      </c>
      <c r="R9" s="77">
        <v>1</v>
      </c>
      <c r="S9" s="77">
        <f>C272</f>
        <v>0</v>
      </c>
      <c r="T9" s="77" t="str">
        <f>E272</f>
        <v/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326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>
        <f>C275</f>
        <v>0</v>
      </c>
      <c r="N10" s="77" t="str">
        <f>E275</f>
        <v/>
      </c>
      <c r="O10" s="77">
        <v>1</v>
      </c>
      <c r="P10" s="77">
        <f>C299</f>
        <v>0</v>
      </c>
      <c r="Q10" s="77" t="str">
        <f>E299</f>
        <v/>
      </c>
      <c r="R10" s="77">
        <v>1</v>
      </c>
      <c r="S10" s="77">
        <f>C300</f>
        <v>0</v>
      </c>
      <c r="T10" s="77" t="str">
        <f>E300</f>
        <v/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411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>
        <f>C303</f>
        <v>0</v>
      </c>
      <c r="N11" s="77" t="str">
        <f>E303</f>
        <v/>
      </c>
      <c r="O11" s="77">
        <v>1</v>
      </c>
      <c r="P11" s="77">
        <f>C327</f>
        <v>0</v>
      </c>
      <c r="Q11" s="77" t="str">
        <f>E327</f>
        <v/>
      </c>
      <c r="R11" s="77">
        <v>1</v>
      </c>
      <c r="S11" s="77">
        <f>C328</f>
        <v>0</v>
      </c>
      <c r="T11" s="77" t="str">
        <f>E328</f>
        <v/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330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>
        <f>C331</f>
        <v>0</v>
      </c>
      <c r="N12" s="77" t="str">
        <f>E331</f>
        <v/>
      </c>
      <c r="O12" s="77">
        <v>1</v>
      </c>
      <c r="P12" s="77">
        <f>C355</f>
        <v>0</v>
      </c>
      <c r="Q12" s="77" t="str">
        <f>E355</f>
        <v/>
      </c>
      <c r="R12" s="77">
        <v>1</v>
      </c>
      <c r="S12" s="77">
        <f>C356</f>
        <v>0</v>
      </c>
      <c r="T12" s="77" t="str">
        <f>E356</f>
        <v/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307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314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310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412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416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329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400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306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431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431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401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431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410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431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324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432</v>
      </c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432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355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300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1" t="str">
        <f>VLOOKUP($A30,'Calendário atual'!$A$2:$E$30,4,FALSE)</f>
        <v>FORMULA 1 HEINEKEN CHINESE GRAND PRIX 2026</v>
      </c>
      <c r="D30" s="171"/>
      <c r="E30" s="171"/>
      <c r="F30" s="133" t="str">
        <f>VLOOKUP($A30,'Calendário atual'!$A$2:$E$30,3,FALSE)</f>
        <v>China</v>
      </c>
      <c r="G30" s="75"/>
      <c r="H30" s="75"/>
      <c r="I30" s="75"/>
      <c r="K30" s="81">
        <f>SUM(H:H)</f>
        <v>1021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355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308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590</v>
      </c>
      <c r="L35" s="77">
        <f>SUM(H:H)</f>
        <v>1021</v>
      </c>
    </row>
    <row r="36" spans="1:26" x14ac:dyDescent="0.2">
      <c r="B36" s="138">
        <f>$J$5</f>
        <v>4</v>
      </c>
      <c r="C36" s="86" t="s">
        <v>311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 t="s">
        <v>325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324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412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326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300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314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307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329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330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416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410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310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306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400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431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401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431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411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431</v>
      </c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325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355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308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326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307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412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410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329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416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411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401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314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400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300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431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431</v>
      </c>
      <c r="G73" s="75"/>
      <c r="H73" s="75"/>
      <c r="I73" s="75"/>
    </row>
    <row r="74" spans="1:26" x14ac:dyDescent="0.2">
      <c r="B74" s="138">
        <f>$J$19</f>
        <v>18</v>
      </c>
      <c r="C74" s="86" t="s">
        <v>306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431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324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432</v>
      </c>
      <c r="G75" s="75"/>
      <c r="H75" s="75"/>
      <c r="I75" s="75"/>
    </row>
    <row r="76" spans="1:26" x14ac:dyDescent="0.2">
      <c r="B76" s="138">
        <f>$J$21</f>
        <v>20</v>
      </c>
      <c r="C76" s="86" t="s">
        <v>311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432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330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432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310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432</v>
      </c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325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325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1" t="str">
        <f>VLOOKUP(A83,'Calendário atual'!$A$2:$E$30,4,FALSE)</f>
        <v>FORMULA 1 ARAMCO JAPANESE GRAND PRIX 2026</v>
      </c>
      <c r="D83" s="171"/>
      <c r="E83" s="171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/>
      <c r="D85" s="87" t="str">
        <f>IF(C85&lt;&gt;"",VLOOKUP(C85,'Dummy Table'!$B$3:$C$30,2,FALSE),"")</f>
        <v/>
      </c>
      <c r="E85" s="87" t="str">
        <f>IF(C85&lt;&gt;"",VLOOKUP(C85,'Dummy Table'!$B$3:$D$30,3,FALSE),"")</f>
        <v/>
      </c>
      <c r="F85" s="137">
        <v>25</v>
      </c>
      <c r="G85" s="69">
        <f>IF(C85="",F85,0)</f>
        <v>25</v>
      </c>
      <c r="H85" s="69">
        <f>IF(C85="",F85,0)</f>
        <v>25</v>
      </c>
      <c r="I85" s="69">
        <f>IF(C85="",1,0)</f>
        <v>1</v>
      </c>
      <c r="K85" s="74"/>
    </row>
    <row r="86" spans="1:26" x14ac:dyDescent="0.2">
      <c r="B86" s="138">
        <f>$J$3</f>
        <v>2</v>
      </c>
      <c r="C86" s="86"/>
      <c r="D86" s="87" t="str">
        <f>IF(C86&lt;&gt;"",VLOOKUP(C86,'Dummy Table'!$B$3:$C$30,2,FALSE),"")</f>
        <v/>
      </c>
      <c r="E86" s="87" t="str">
        <f>IF(C86&lt;&gt;"",VLOOKUP(C86,'Dummy Table'!$B$3:$D$30,3,FALSE),"")</f>
        <v/>
      </c>
      <c r="F86" s="137">
        <v>18</v>
      </c>
      <c r="H86" s="69">
        <f>IF(C86="",F86,0)</f>
        <v>18</v>
      </c>
      <c r="K86" s="74"/>
    </row>
    <row r="87" spans="1:26" x14ac:dyDescent="0.2">
      <c r="B87" s="138">
        <f>$J$4</f>
        <v>3</v>
      </c>
      <c r="C87" s="86"/>
      <c r="D87" s="87" t="str">
        <f>IF(C87&lt;&gt;"",VLOOKUP(C87,'Dummy Table'!$B$3:$C$30,2,FALSE),"")</f>
        <v/>
      </c>
      <c r="E87" s="87" t="str">
        <f>IF(C87&lt;&gt;"",VLOOKUP(C87,'Dummy Table'!$B$3:$D$30,3,FALSE),"")</f>
        <v/>
      </c>
      <c r="F87" s="137">
        <v>15</v>
      </c>
    </row>
    <row r="88" spans="1:26" x14ac:dyDescent="0.2">
      <c r="B88" s="138">
        <f>$J$5</f>
        <v>4</v>
      </c>
      <c r="C88" s="86"/>
      <c r="D88" s="87" t="str">
        <f>IF(C88&lt;&gt;"",VLOOKUP(C88,'Dummy Table'!$B$3:$C$30,2,FALSE),"")</f>
        <v/>
      </c>
      <c r="E88" s="87" t="str">
        <f>IF(C88&lt;&gt;"",VLOOKUP(C88,'Dummy Table'!$B$3:$D$30,3,FALSE),"")</f>
        <v/>
      </c>
      <c r="F88" s="137">
        <v>12</v>
      </c>
      <c r="K88" s="79"/>
    </row>
    <row r="89" spans="1:26" x14ac:dyDescent="0.2">
      <c r="B89" s="138">
        <f>$J$6</f>
        <v>5</v>
      </c>
      <c r="C89" s="86"/>
      <c r="D89" s="87" t="str">
        <f>IF(C89&lt;&gt;"",VLOOKUP(C89,'Dummy Table'!$B$3:$C$30,2,FALSE),"")</f>
        <v/>
      </c>
      <c r="E89" s="87" t="str">
        <f>IF(C89&lt;&gt;"",VLOOKUP(C89,'Dummy Table'!$B$3:$D$30,3,FALSE),"")</f>
        <v/>
      </c>
      <c r="F89" s="137">
        <v>10</v>
      </c>
    </row>
    <row r="90" spans="1:26" x14ac:dyDescent="0.2">
      <c r="B90" s="138">
        <f>$J$7</f>
        <v>6</v>
      </c>
      <c r="C90" s="86"/>
      <c r="D90" s="87" t="str">
        <f>IF(C90&lt;&gt;"",VLOOKUP(C90,'Dummy Table'!$B$3:$C$30,2,FALSE),"")</f>
        <v/>
      </c>
      <c r="E90" s="87" t="str">
        <f>IF(C90&lt;&gt;"",VLOOKUP(C90,'Dummy Table'!$B$3:$D$30,3,FALSE),"")</f>
        <v/>
      </c>
      <c r="F90" s="137">
        <v>8</v>
      </c>
      <c r="K90" s="74"/>
    </row>
    <row r="91" spans="1:26" x14ac:dyDescent="0.2">
      <c r="B91" s="138">
        <f>$J$8</f>
        <v>7</v>
      </c>
      <c r="C91" s="86"/>
      <c r="D91" s="87" t="str">
        <f>IF(C91&lt;&gt;"",VLOOKUP(C91,'Dummy Table'!$B$3:$C$30,2,FALSE),"")</f>
        <v/>
      </c>
      <c r="E91" s="87" t="str">
        <f>IF(C91&lt;&gt;"",VLOOKUP(C91,'Dummy Table'!$B$3:$D$30,3,FALSE),"")</f>
        <v/>
      </c>
      <c r="F91" s="137">
        <v>6</v>
      </c>
      <c r="K91" s="74"/>
    </row>
    <row r="92" spans="1:26" x14ac:dyDescent="0.2">
      <c r="B92" s="138">
        <f>$J$9</f>
        <v>8</v>
      </c>
      <c r="C92" s="86"/>
      <c r="D92" s="87" t="str">
        <f>IF(C92&lt;&gt;"",VLOOKUP(C92,'Dummy Table'!$B$3:$C$30,2,FALSE),"")</f>
        <v/>
      </c>
      <c r="E92" s="87" t="str">
        <f>IF(C92&lt;&gt;"",VLOOKUP(C92,'Dummy Table'!$B$3:$D$30,3,FALSE),"")</f>
        <v/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/>
      <c r="D93" s="87" t="str">
        <f>IF(C93&lt;&gt;"",VLOOKUP(C93,'Dummy Table'!$B$3:$C$30,2,FALSE),"")</f>
        <v/>
      </c>
      <c r="E93" s="87" t="str">
        <f>IF(C93&lt;&gt;"",VLOOKUP(C93,'Dummy Table'!$B$3:$D$30,3,FALSE),"")</f>
        <v/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/>
      <c r="D94" s="87" t="str">
        <f>IF(C94&lt;&gt;"",VLOOKUP(C94,'Dummy Table'!$B$3:$C$30,2,FALSE),"")</f>
        <v/>
      </c>
      <c r="E94" s="87" t="str">
        <f>IF(C94&lt;&gt;"",VLOOKUP(C94,'Dummy Table'!$B$3:$D$30,3,FALSE),"")</f>
        <v/>
      </c>
      <c r="F94" s="137">
        <v>1</v>
      </c>
      <c r="K94" s="74"/>
    </row>
    <row r="95" spans="1:26" x14ac:dyDescent="0.2">
      <c r="B95" s="138">
        <f>$J$12</f>
        <v>11</v>
      </c>
      <c r="C95" s="86"/>
      <c r="D95" s="87" t="str">
        <f>IF(C95&lt;&gt;"",VLOOKUP(C95,'Dummy Table'!$B$3:$C$30,2,FALSE),"")</f>
        <v/>
      </c>
      <c r="E95" s="87" t="str">
        <f>IF(C95&lt;&gt;"",VLOOKUP(C95,'Dummy Table'!$B$3:$D$30,3,FALSE),"")</f>
        <v/>
      </c>
      <c r="F95" s="139"/>
      <c r="K95" s="74"/>
    </row>
    <row r="96" spans="1:26" x14ac:dyDescent="0.2">
      <c r="B96" s="138">
        <f>$J$13</f>
        <v>12</v>
      </c>
      <c r="C96" s="86"/>
      <c r="D96" s="87" t="str">
        <f>IF(C96&lt;&gt;"",VLOOKUP(C96,'Dummy Table'!$B$3:$C$30,2,FALSE),"")</f>
        <v/>
      </c>
      <c r="E96" s="87" t="str">
        <f>IF(C96&lt;&gt;"",VLOOKUP(C96,'Dummy Table'!$B$3:$D$30,3,FALSE),"")</f>
        <v/>
      </c>
      <c r="F96" s="139"/>
      <c r="K96" s="74"/>
    </row>
    <row r="97" spans="1:26" x14ac:dyDescent="0.2">
      <c r="B97" s="138">
        <f>$J$14</f>
        <v>13</v>
      </c>
      <c r="C97" s="86"/>
      <c r="D97" s="87" t="str">
        <f>IF(C97&lt;&gt;"",VLOOKUP(C97,'Dummy Table'!$B$3:$C$30,2,FALSE),"")</f>
        <v/>
      </c>
      <c r="E97" s="87" t="str">
        <f>IF(C97&lt;&gt;"",VLOOKUP(C97,'Dummy Table'!$B$3:$D$30,3,FALSE),"")</f>
        <v/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/>
      <c r="D98" s="87" t="str">
        <f>IF(C98&lt;&gt;"",VLOOKUP(C98,'Dummy Table'!$B$3:$C$30,2,FALSE),"")</f>
        <v/>
      </c>
      <c r="E98" s="87" t="str">
        <f>IF(C98&lt;&gt;"",VLOOKUP(C98,'Dummy Table'!$B$3:$D$30,3,FALSE),"")</f>
        <v/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/>
      <c r="D99" s="87" t="str">
        <f>IF(C99&lt;&gt;"",VLOOKUP(C99,'Dummy Table'!$B$3:$C$30,2,FALSE),"")</f>
        <v/>
      </c>
      <c r="E99" s="87" t="str">
        <f>IF(C99&lt;&gt;"",VLOOKUP(C99,'Dummy Table'!$B$3:$D$30,3,FALSE),"")</f>
        <v/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/>
      <c r="D100" s="87" t="str">
        <f>IF(C100&lt;&gt;"",VLOOKUP(C100,'Dummy Table'!$B$3:$C$30,2,FALSE),"")</f>
        <v/>
      </c>
      <c r="E100" s="87" t="str">
        <f>IF(C100&lt;&gt;"",VLOOKUP(C100,'Dummy Table'!$B$3:$D$30,3,FALSE),"")</f>
        <v/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/>
      <c r="D101" s="87" t="str">
        <f>IF(C101&lt;&gt;"",VLOOKUP(C101,'Dummy Table'!$B$3:$C$30,2,FALSE),"")</f>
        <v/>
      </c>
      <c r="E101" s="87" t="str">
        <f>IF(C101&lt;&gt;"",VLOOKUP(C101,'Dummy Table'!$B$3:$D$30,3,FALSE),"")</f>
        <v/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/>
      <c r="D102" s="87" t="str">
        <f>IF(C102&lt;&gt;"",VLOOKUP(C102,'Dummy Table'!$B$3:$C$30,2,FALSE),"")</f>
        <v/>
      </c>
      <c r="E102" s="87" t="str">
        <f>IF(C102&lt;&gt;"",VLOOKUP(C102,'Dummy Table'!$B$3:$D$30,3,FALSE),"")</f>
        <v/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/>
      <c r="D103" s="87" t="str">
        <f>IF(C103&lt;&gt;"",VLOOKUP(C103,'Dummy Table'!$B$3:$C$30,2,FALSE),"")</f>
        <v/>
      </c>
      <c r="E103" s="87" t="str">
        <f>IF(C103&lt;&gt;"",VLOOKUP(C103,'Dummy Table'!$B$3:$D$30,3,FALSE),"")</f>
        <v/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/>
      <c r="D104" s="87" t="str">
        <f>IF(C104&lt;&gt;"",VLOOKUP(C104,'Dummy Table'!$B$3:$C$30,2,FALSE),"")</f>
        <v/>
      </c>
      <c r="E104" s="87" t="str">
        <f>IF(C104&lt;&gt;"",VLOOKUP(C104,'Dummy Table'!$B$3:$D$30,3,FALSE),"")</f>
        <v/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/>
      <c r="D105" s="87" t="str">
        <f>IF(C105&lt;&gt;"",VLOOKUP(C105,'Dummy Table'!$B$3:$C$30,2,FALSE),"")</f>
        <v/>
      </c>
      <c r="E105" s="87" t="str">
        <f>IF(C105&lt;&gt;"",VLOOKUP(C105,'Dummy Table'!$B$3:$D$30,3,FALSE),"")</f>
        <v/>
      </c>
      <c r="F105" s="139"/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/>
      <c r="D106" s="87" t="str">
        <f>IF(C106&lt;&gt;"",VLOOKUP(C106,'Dummy Table'!$B$3:$C$30,2,FALSE),"")</f>
        <v/>
      </c>
      <c r="E106" s="87" t="str">
        <f>IF(C106&lt;&gt;"",VLOOKUP(C106,'Dummy Table'!$B$3:$D$30,3,FALSE),"")</f>
        <v/>
      </c>
      <c r="F106" s="139"/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/>
      <c r="D109" s="89" t="str">
        <f>IF(C109&lt;&gt;"",VLOOKUP(C109,'Dummy Table'!$B$3:$C$30,2,FALSE),"")</f>
        <v/>
      </c>
      <c r="E109" s="89" t="str">
        <f>IF(C109&lt;&gt;"",VLOOKUP(C109,'Dummy Table'!$B$3:$D$30,3,FALSE),"")</f>
        <v/>
      </c>
      <c r="F109" s="142"/>
      <c r="H109" s="75"/>
      <c r="K109" s="74"/>
    </row>
    <row r="110" spans="1:26" ht="13.5" thickBot="1" x14ac:dyDescent="0.25">
      <c r="B110" s="143" t="s">
        <v>234</v>
      </c>
      <c r="C110" s="144"/>
      <c r="D110" s="145" t="str">
        <f>IF(C110&lt;&gt;"",VLOOKUP(C110,'Dummy Table'!$B$3:$C$30,2,FALSE),"")</f>
        <v/>
      </c>
      <c r="E110" s="145" t="str">
        <f>IF(C110&lt;&gt;"",VLOOKUP(C110,'Dummy Table'!$B$3:$D$30,3,FALSE),"")</f>
        <v/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71" t="str">
        <f>VLOOKUP($A111,'Calendário atual'!$A$2:$E$30,4,FALSE)</f>
        <v>SUSPENSA - FORMULA 1 GULF AIR BAHRAIN GRAND PRIX 2026 - SUSPENSA</v>
      </c>
      <c r="D111" s="171"/>
      <c r="E111" s="171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1" t="str">
        <f>VLOOKUP(A139,'Calendário atual'!$A$2:$E$30,4,FALSE)</f>
        <v>SUSPENSA - FORMULA 1 STC SAUDI ARABIAN GRAND PRIX 2026 - SUSPENSA</v>
      </c>
      <c r="D139" s="171"/>
      <c r="E139" s="171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1" t="str">
        <f>VLOOKUP($A167,'Calendário atual'!$A$2:$E$30,4,FALSE)</f>
        <v>FORMULA 1 CRYPTO.COM MIAMI GRAND PRIX 2026</v>
      </c>
      <c r="D167" s="171"/>
      <c r="E167" s="171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/>
      <c r="D170" s="87" t="str">
        <f>IF(C170&lt;&gt;"",VLOOKUP(C170,'Dummy Table'!$B$3:$C$30,2,FALSE),"")</f>
        <v/>
      </c>
      <c r="E170" s="87" t="str">
        <f>IF(C170&lt;&gt;"",VLOOKUP(C170,'Dummy Table'!$B$3:$D$30,3,FALSE),"")</f>
        <v/>
      </c>
      <c r="F170" s="137">
        <v>8</v>
      </c>
      <c r="G170" s="69">
        <f>IF(C170="",F170,0)</f>
        <v>8</v>
      </c>
      <c r="H170" s="69">
        <f>IF(C170="",F170,0)</f>
        <v>8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/>
      <c r="D171" s="87" t="str">
        <f>IF(C171&lt;&gt;"",VLOOKUP(C171,'Dummy Table'!$B$3:$C$30,2,FALSE),"")</f>
        <v/>
      </c>
      <c r="E171" s="87" t="str">
        <f>IF(C171&lt;&gt;"",VLOOKUP(C171,'Dummy Table'!$B$3:$D$30,3,FALSE),"")</f>
        <v/>
      </c>
      <c r="F171" s="137">
        <v>7</v>
      </c>
      <c r="H171" s="69">
        <f>IF(C171="",F171,0)</f>
        <v>7</v>
      </c>
      <c r="K171" s="74"/>
    </row>
    <row r="172" spans="1:26" x14ac:dyDescent="0.2">
      <c r="B172" s="138">
        <f>$J$4</f>
        <v>3</v>
      </c>
      <c r="C172" s="86"/>
      <c r="D172" s="87" t="str">
        <f>IF(C172&lt;&gt;"",VLOOKUP(C172,'Dummy Table'!$B$3:$C$30,2,FALSE),"")</f>
        <v/>
      </c>
      <c r="E172" s="87" t="str">
        <f>IF(C172&lt;&gt;"",VLOOKUP(C172,'Dummy Table'!$B$3:$D$30,3,FALSE),"")</f>
        <v/>
      </c>
      <c r="F172" s="137">
        <v>6</v>
      </c>
    </row>
    <row r="173" spans="1:26" x14ac:dyDescent="0.2">
      <c r="B173" s="138">
        <f>$J$5</f>
        <v>4</v>
      </c>
      <c r="C173" s="86"/>
      <c r="D173" s="87" t="str">
        <f>IF(C173&lt;&gt;"",VLOOKUP(C173,'Dummy Table'!$B$3:$C$30,2,FALSE),"")</f>
        <v/>
      </c>
      <c r="E173" s="87" t="str">
        <f>IF(C173&lt;&gt;"",VLOOKUP(C173,'Dummy Table'!$B$3:$D$30,3,FALSE),"")</f>
        <v/>
      </c>
      <c r="F173" s="137">
        <v>5</v>
      </c>
      <c r="K173" s="79"/>
    </row>
    <row r="174" spans="1:26" x14ac:dyDescent="0.2">
      <c r="B174" s="138">
        <f>$J$6</f>
        <v>5</v>
      </c>
      <c r="C174" s="86"/>
      <c r="D174" s="87" t="str">
        <f>IF(C174&lt;&gt;"",VLOOKUP(C174,'Dummy Table'!$B$3:$C$30,2,FALSE),"")</f>
        <v/>
      </c>
      <c r="E174" s="87" t="str">
        <f>IF(C174&lt;&gt;"",VLOOKUP(C174,'Dummy Table'!$B$3:$D$30,3,FALSE),"")</f>
        <v/>
      </c>
      <c r="F174" s="137">
        <v>4</v>
      </c>
    </row>
    <row r="175" spans="1:26" x14ac:dyDescent="0.2">
      <c r="B175" s="138">
        <f>$J$7</f>
        <v>6</v>
      </c>
      <c r="C175" s="86"/>
      <c r="D175" s="87" t="str">
        <f>IF(C175&lt;&gt;"",VLOOKUP(C175,'Dummy Table'!$B$3:$C$30,2,FALSE),"")</f>
        <v/>
      </c>
      <c r="E175" s="87" t="str">
        <f>IF(C175&lt;&gt;"",VLOOKUP(C175,'Dummy Table'!$B$3:$D$30,3,FALSE),"")</f>
        <v/>
      </c>
      <c r="F175" s="137">
        <v>3</v>
      </c>
      <c r="K175" s="74"/>
    </row>
    <row r="176" spans="1:26" x14ac:dyDescent="0.2">
      <c r="B176" s="138">
        <f>$J$8</f>
        <v>7</v>
      </c>
      <c r="C176" s="86"/>
      <c r="D176" s="87" t="str">
        <f>IF(C176&lt;&gt;"",VLOOKUP(C176,'Dummy Table'!$B$3:$C$30,2,FALSE),"")</f>
        <v/>
      </c>
      <c r="E176" s="87" t="str">
        <f>IF(C176&lt;&gt;"",VLOOKUP(C176,'Dummy Table'!$B$3:$D$30,3,FALSE),"")</f>
        <v/>
      </c>
      <c r="F176" s="137">
        <v>2</v>
      </c>
      <c r="K176" s="74"/>
    </row>
    <row r="177" spans="1:26" x14ac:dyDescent="0.2">
      <c r="B177" s="138">
        <f>$J$9</f>
        <v>8</v>
      </c>
      <c r="C177" s="86"/>
      <c r="D177" s="87" t="str">
        <f>IF(C177&lt;&gt;"",VLOOKUP(C177,'Dummy Table'!$B$3:$C$30,2,FALSE),"")</f>
        <v/>
      </c>
      <c r="E177" s="87" t="str">
        <f>IF(C177&lt;&gt;"",VLOOKUP(C177,'Dummy Table'!$B$3:$D$30,3,FALSE),"")</f>
        <v/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/>
      <c r="D178" s="87" t="str">
        <f>IF(C178&lt;&gt;"",VLOOKUP(C178,'Dummy Table'!$B$3:$C$30,2,FALSE),"")</f>
        <v/>
      </c>
      <c r="E178" s="87" t="str">
        <f>IF(C178&lt;&gt;"",VLOOKUP(C178,'Dummy Table'!$B$3:$D$30,3,FALSE),"")</f>
        <v/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/>
      <c r="D179" s="87" t="str">
        <f>IF(C179&lt;&gt;"",VLOOKUP(C179,'Dummy Table'!$B$3:$C$30,2,FALSE),"")</f>
        <v/>
      </c>
      <c r="E179" s="87" t="str">
        <f>IF(C179&lt;&gt;"",VLOOKUP(C179,'Dummy Table'!$B$3:$D$30,3,FALSE),"")</f>
        <v/>
      </c>
      <c r="F179" s="137"/>
      <c r="K179" s="74"/>
    </row>
    <row r="180" spans="1:26" x14ac:dyDescent="0.2">
      <c r="B180" s="138">
        <f>$J$12</f>
        <v>11</v>
      </c>
      <c r="C180" s="86"/>
      <c r="D180" s="87" t="str">
        <f>IF(C180&lt;&gt;"",VLOOKUP(C180,'Dummy Table'!$B$3:$C$30,2,FALSE),"")</f>
        <v/>
      </c>
      <c r="E180" s="87" t="str">
        <f>IF(C180&lt;&gt;"",VLOOKUP(C180,'Dummy Table'!$B$3:$D$30,3,FALSE),"")</f>
        <v/>
      </c>
      <c r="F180" s="139"/>
      <c r="K180" s="74"/>
    </row>
    <row r="181" spans="1:26" x14ac:dyDescent="0.2">
      <c r="B181" s="138">
        <f>$J$13</f>
        <v>12</v>
      </c>
      <c r="C181" s="86"/>
      <c r="D181" s="87" t="str">
        <f>IF(C181&lt;&gt;"",VLOOKUP(C181,'Dummy Table'!$B$3:$C$30,2,FALSE),"")</f>
        <v/>
      </c>
      <c r="E181" s="87" t="str">
        <f>IF(C181&lt;&gt;"",VLOOKUP(C181,'Dummy Table'!$B$3:$D$30,3,FALSE),"")</f>
        <v/>
      </c>
      <c r="F181" s="139"/>
      <c r="K181" s="74"/>
    </row>
    <row r="182" spans="1:26" x14ac:dyDescent="0.2">
      <c r="B182" s="138">
        <f>$J$14</f>
        <v>13</v>
      </c>
      <c r="C182" s="86"/>
      <c r="D182" s="87" t="str">
        <f>IF(C182&lt;&gt;"",VLOOKUP(C182,'Dummy Table'!$B$3:$C$30,2,FALSE),"")</f>
        <v/>
      </c>
      <c r="E182" s="87" t="str">
        <f>IF(C182&lt;&gt;"",VLOOKUP(C182,'Dummy Table'!$B$3:$D$30,3,FALSE),"")</f>
        <v/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/>
      <c r="D183" s="87" t="str">
        <f>IF(C183&lt;&gt;"",VLOOKUP(C183,'Dummy Table'!$B$3:$C$30,2,FALSE),"")</f>
        <v/>
      </c>
      <c r="E183" s="87" t="str">
        <f>IF(C183&lt;&gt;"",VLOOKUP(C183,'Dummy Table'!$B$3:$D$30,3,FALSE),"")</f>
        <v/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/>
      <c r="D184" s="87" t="str">
        <f>IF(C184&lt;&gt;"",VLOOKUP(C184,'Dummy Table'!$B$3:$C$30,2,FALSE),"")</f>
        <v/>
      </c>
      <c r="E184" s="87" t="str">
        <f>IF(C184&lt;&gt;"",VLOOKUP(C184,'Dummy Table'!$B$3:$D$30,3,FALSE),"")</f>
        <v/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/>
      <c r="D185" s="87" t="str">
        <f>IF(C185&lt;&gt;"",VLOOKUP(C185,'Dummy Table'!$B$3:$C$30,2,FALSE),"")</f>
        <v/>
      </c>
      <c r="E185" s="87" t="str">
        <f>IF(C185&lt;&gt;"",VLOOKUP(C185,'Dummy Table'!$B$3:$D$30,3,FALSE),"")</f>
        <v/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/>
      <c r="D186" s="87" t="str">
        <f>IF(C186&lt;&gt;"",VLOOKUP(C186,'Dummy Table'!$B$3:$C$30,2,FALSE),"")</f>
        <v/>
      </c>
      <c r="E186" s="87" t="str">
        <f>IF(C186&lt;&gt;"",VLOOKUP(C186,'Dummy Table'!$B$3:$D$30,3,FALSE),"")</f>
        <v/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/>
      <c r="D187" s="87" t="str">
        <f>IF(C187&lt;&gt;"",VLOOKUP(C187,'Dummy Table'!$B$3:$C$30,2,FALSE),"")</f>
        <v/>
      </c>
      <c r="E187" s="87" t="str">
        <f>IF(C187&lt;&gt;"",VLOOKUP(C187,'Dummy Table'!$B$3:$D$30,3,FALSE),"")</f>
        <v/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/>
      <c r="D188" s="87" t="str">
        <f>IF(C188&lt;&gt;"",VLOOKUP(C188,'Dummy Table'!$B$3:$C$30,2,FALSE),"")</f>
        <v/>
      </c>
      <c r="E188" s="87" t="str">
        <f>IF(C188&lt;&gt;"",VLOOKUP(C188,'Dummy Table'!$B$3:$D$30,3,FALSE),"")</f>
        <v/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/>
      <c r="D189" s="87" t="str">
        <f>IF(C189&lt;&gt;"",VLOOKUP(C189,'Dummy Table'!$B$3:$C$30,2,FALSE),"")</f>
        <v/>
      </c>
      <c r="E189" s="87" t="str">
        <f>IF(C189&lt;&gt;"",VLOOKUP(C189,'Dummy Table'!$B$3:$D$30,3,FALSE),"")</f>
        <v/>
      </c>
      <c r="F189" s="139"/>
      <c r="G189" s="75"/>
      <c r="H189" s="75"/>
      <c r="I189" s="75"/>
      <c r="K189" s="74"/>
    </row>
    <row r="190" spans="1:26" x14ac:dyDescent="0.2">
      <c r="B190" s="138">
        <f>$J$22</f>
        <v>21</v>
      </c>
      <c r="C190" s="86"/>
      <c r="D190" s="87" t="str">
        <f>IF(C190&lt;&gt;"",VLOOKUP(C190,'Dummy Table'!$B$3:$C$30,2,FALSE),"")</f>
        <v/>
      </c>
      <c r="E190" s="87" t="str">
        <f>IF(C190&lt;&gt;"",VLOOKUP(C190,'Dummy Table'!$B$3:$D$30,3,FALSE),"")</f>
        <v/>
      </c>
      <c r="F190" s="139"/>
      <c r="G190" s="75"/>
      <c r="H190" s="75"/>
      <c r="I190" s="75"/>
      <c r="K190" s="74"/>
    </row>
    <row r="191" spans="1:26" x14ac:dyDescent="0.2">
      <c r="B191" s="138">
        <f>$J$23</f>
        <v>22</v>
      </c>
      <c r="C191" s="86"/>
      <c r="D191" s="87" t="str">
        <f>IF(C191&lt;&gt;"",VLOOKUP(C191,'Dummy Table'!$B$3:$C$30,2,FALSE),"")</f>
        <v/>
      </c>
      <c r="E191" s="87" t="str">
        <f>IF(C191&lt;&gt;"",VLOOKUP(C191,'Dummy Table'!$B$3:$D$30,3,FALSE),"")</f>
        <v/>
      </c>
      <c r="F191" s="139"/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/>
      <c r="D194" s="87" t="str">
        <f>IF(C194&lt;&gt;"",VLOOKUP(C194,'Dummy Table'!$B$3:$C$30,2,FALSE),"")</f>
        <v/>
      </c>
      <c r="E194" s="87" t="str">
        <f>IF(C194&lt;&gt;"",VLOOKUP(C194,'Dummy Table'!$B$3:$D$30,3,FALSE),"")</f>
        <v/>
      </c>
      <c r="F194" s="137">
        <v>25</v>
      </c>
      <c r="G194" s="69">
        <f>IF(C194="",F194,0)</f>
        <v>25</v>
      </c>
      <c r="H194" s="69">
        <f>IF(C194="",F194,0)</f>
        <v>25</v>
      </c>
      <c r="I194" s="69">
        <f>IF(C194="",1,0)</f>
        <v>1</v>
      </c>
      <c r="K194" s="74"/>
    </row>
    <row r="195" spans="1:26" x14ac:dyDescent="0.2">
      <c r="B195" s="138">
        <f>$J$3</f>
        <v>2</v>
      </c>
      <c r="C195" s="86"/>
      <c r="D195" s="87" t="str">
        <f>IF(C195&lt;&gt;"",VLOOKUP(C195,'Dummy Table'!$B$3:$C$30,2,FALSE),"")</f>
        <v/>
      </c>
      <c r="E195" s="87" t="str">
        <f>IF(C195&lt;&gt;"",VLOOKUP(C195,'Dummy Table'!$B$3:$D$30,3,FALSE),"")</f>
        <v/>
      </c>
      <c r="F195" s="137">
        <v>18</v>
      </c>
      <c r="H195" s="69">
        <f>IF(C195="",F195,0)</f>
        <v>18</v>
      </c>
      <c r="K195" s="74"/>
    </row>
    <row r="196" spans="1:26" x14ac:dyDescent="0.2">
      <c r="B196" s="138">
        <f>$J$4</f>
        <v>3</v>
      </c>
      <c r="C196" s="86"/>
      <c r="D196" s="87" t="str">
        <f>IF(C196&lt;&gt;"",VLOOKUP(C196,'Dummy Table'!$B$3:$C$30,2,FALSE),"")</f>
        <v/>
      </c>
      <c r="E196" s="87" t="str">
        <f>IF(C196&lt;&gt;"",VLOOKUP(C196,'Dummy Table'!$B$3:$D$30,3,FALSE),"")</f>
        <v/>
      </c>
      <c r="F196" s="137">
        <v>15</v>
      </c>
    </row>
    <row r="197" spans="1:26" x14ac:dyDescent="0.2">
      <c r="B197" s="138">
        <f>$J$5</f>
        <v>4</v>
      </c>
      <c r="C197" s="86"/>
      <c r="D197" s="87" t="str">
        <f>IF(C197&lt;&gt;"",VLOOKUP(C197,'Dummy Table'!$B$3:$C$30,2,FALSE),"")</f>
        <v/>
      </c>
      <c r="E197" s="87" t="str">
        <f>IF(C197&lt;&gt;"",VLOOKUP(C197,'Dummy Table'!$B$3:$D$30,3,FALSE),"")</f>
        <v/>
      </c>
      <c r="F197" s="137">
        <v>12</v>
      </c>
      <c r="K197" s="79"/>
    </row>
    <row r="198" spans="1:26" x14ac:dyDescent="0.2">
      <c r="B198" s="138">
        <f>$J$6</f>
        <v>5</v>
      </c>
      <c r="C198" s="86"/>
      <c r="D198" s="87" t="str">
        <f>IF(C198&lt;&gt;"",VLOOKUP(C198,'Dummy Table'!$B$3:$C$30,2,FALSE),"")</f>
        <v/>
      </c>
      <c r="E198" s="87" t="str">
        <f>IF(C198&lt;&gt;"",VLOOKUP(C198,'Dummy Table'!$B$3:$D$30,3,FALSE),"")</f>
        <v/>
      </c>
      <c r="F198" s="137">
        <v>10</v>
      </c>
    </row>
    <row r="199" spans="1:26" x14ac:dyDescent="0.2">
      <c r="B199" s="138">
        <f>$J$7</f>
        <v>6</v>
      </c>
      <c r="C199" s="86"/>
      <c r="D199" s="87" t="str">
        <f>IF(C199&lt;&gt;"",VLOOKUP(C199,'Dummy Table'!$B$3:$C$30,2,FALSE),"")</f>
        <v/>
      </c>
      <c r="E199" s="87" t="str">
        <f>IF(C199&lt;&gt;"",VLOOKUP(C199,'Dummy Table'!$B$3:$D$30,3,FALSE),"")</f>
        <v/>
      </c>
      <c r="F199" s="137">
        <v>8</v>
      </c>
      <c r="K199" s="74"/>
    </row>
    <row r="200" spans="1:26" x14ac:dyDescent="0.2">
      <c r="B200" s="138">
        <f>$J$8</f>
        <v>7</v>
      </c>
      <c r="C200" s="86"/>
      <c r="D200" s="87" t="str">
        <f>IF(C200&lt;&gt;"",VLOOKUP(C200,'Dummy Table'!$B$3:$C$30,2,FALSE),"")</f>
        <v/>
      </c>
      <c r="E200" s="87" t="str">
        <f>IF(C200&lt;&gt;"",VLOOKUP(C200,'Dummy Table'!$B$3:$D$30,3,FALSE),"")</f>
        <v/>
      </c>
      <c r="F200" s="137">
        <v>6</v>
      </c>
      <c r="K200" s="74"/>
    </row>
    <row r="201" spans="1:26" x14ac:dyDescent="0.2">
      <c r="B201" s="138">
        <f>$J$9</f>
        <v>8</v>
      </c>
      <c r="C201" s="86"/>
      <c r="D201" s="87" t="str">
        <f>IF(C201&lt;&gt;"",VLOOKUP(C201,'Dummy Table'!$B$3:$C$30,2,FALSE),"")</f>
        <v/>
      </c>
      <c r="E201" s="87" t="str">
        <f>IF(C201&lt;&gt;"",VLOOKUP(C201,'Dummy Table'!$B$3:$D$30,3,FALSE),"")</f>
        <v/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/>
      <c r="D202" s="87" t="str">
        <f>IF(C202&lt;&gt;"",VLOOKUP(C202,'Dummy Table'!$B$3:$C$30,2,FALSE),"")</f>
        <v/>
      </c>
      <c r="E202" s="87" t="str">
        <f>IF(C202&lt;&gt;"",VLOOKUP(C202,'Dummy Table'!$B$3:$D$30,3,FALSE),"")</f>
        <v/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/>
      <c r="D203" s="87" t="str">
        <f>IF(C203&lt;&gt;"",VLOOKUP(C203,'Dummy Table'!$B$3:$C$30,2,FALSE),"")</f>
        <v/>
      </c>
      <c r="E203" s="87" t="str">
        <f>IF(C203&lt;&gt;"",VLOOKUP(C203,'Dummy Table'!$B$3:$D$30,3,FALSE),"")</f>
        <v/>
      </c>
      <c r="F203" s="137">
        <v>1</v>
      </c>
      <c r="K203" s="74"/>
    </row>
    <row r="204" spans="1:26" x14ac:dyDescent="0.2">
      <c r="B204" s="138">
        <f>$J$12</f>
        <v>11</v>
      </c>
      <c r="C204" s="86"/>
      <c r="D204" s="87" t="str">
        <f>IF(C204&lt;&gt;"",VLOOKUP(C204,'Dummy Table'!$B$3:$C$30,2,FALSE),"")</f>
        <v/>
      </c>
      <c r="E204" s="87" t="str">
        <f>IF(C204&lt;&gt;"",VLOOKUP(C204,'Dummy Table'!$B$3:$D$30,3,FALSE),"")</f>
        <v/>
      </c>
      <c r="F204" s="139"/>
      <c r="K204" s="74"/>
    </row>
    <row r="205" spans="1:26" x14ac:dyDescent="0.2">
      <c r="B205" s="138">
        <f>$J$13</f>
        <v>12</v>
      </c>
      <c r="C205" s="86"/>
      <c r="D205" s="87" t="str">
        <f>IF(C205&lt;&gt;"",VLOOKUP(C205,'Dummy Table'!$B$3:$C$30,2,FALSE),"")</f>
        <v/>
      </c>
      <c r="E205" s="87" t="str">
        <f>IF(C205&lt;&gt;"",VLOOKUP(C205,'Dummy Table'!$B$3:$D$30,3,FALSE),"")</f>
        <v/>
      </c>
      <c r="F205" s="139"/>
      <c r="K205" s="74"/>
    </row>
    <row r="206" spans="1:26" x14ac:dyDescent="0.2">
      <c r="B206" s="138">
        <f>$J$14</f>
        <v>13</v>
      </c>
      <c r="C206" s="86"/>
      <c r="D206" s="87" t="str">
        <f>IF(C206&lt;&gt;"",VLOOKUP(C206,'Dummy Table'!$B$3:$C$30,2,FALSE),"")</f>
        <v/>
      </c>
      <c r="E206" s="87" t="str">
        <f>IF(C206&lt;&gt;"",VLOOKUP(C206,'Dummy Table'!$B$3:$D$30,3,FALSE),"")</f>
        <v/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/>
      <c r="D207" s="87" t="str">
        <f>IF(C207&lt;&gt;"",VLOOKUP(C207,'Dummy Table'!$B$3:$C$30,2,FALSE),"")</f>
        <v/>
      </c>
      <c r="E207" s="87" t="str">
        <f>IF(C207&lt;&gt;"",VLOOKUP(C207,'Dummy Table'!$B$3:$D$30,3,FALSE),"")</f>
        <v/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/>
      <c r="D208" s="87" t="str">
        <f>IF(C208&lt;&gt;"",VLOOKUP(C208,'Dummy Table'!$B$3:$C$30,2,FALSE),"")</f>
        <v/>
      </c>
      <c r="E208" s="87" t="str">
        <f>IF(C208&lt;&gt;"",VLOOKUP(C208,'Dummy Table'!$B$3:$D$30,3,FALSE),"")</f>
        <v/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/>
      <c r="D209" s="87" t="str">
        <f>IF(C209&lt;&gt;"",VLOOKUP(C209,'Dummy Table'!$B$3:$C$30,2,FALSE),"")</f>
        <v/>
      </c>
      <c r="E209" s="87" t="str">
        <f>IF(C209&lt;&gt;"",VLOOKUP(C209,'Dummy Table'!$B$3:$D$30,3,FALSE),"")</f>
        <v/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/>
      <c r="D210" s="87" t="str">
        <f>IF(C210&lt;&gt;"",VLOOKUP(C210,'Dummy Table'!$B$3:$C$30,2,FALSE),"")</f>
        <v/>
      </c>
      <c r="E210" s="87" t="str">
        <f>IF(C210&lt;&gt;"",VLOOKUP(C210,'Dummy Table'!$B$3:$D$30,3,FALSE),"")</f>
        <v/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/>
      <c r="D211" s="87" t="str">
        <f>IF(C211&lt;&gt;"",VLOOKUP(C211,'Dummy Table'!$B$3:$C$30,2,FALSE),"")</f>
        <v/>
      </c>
      <c r="E211" s="87" t="str">
        <f>IF(C211&lt;&gt;"",VLOOKUP(C211,'Dummy Table'!$B$3:$D$30,3,FALSE),"")</f>
        <v/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/>
      <c r="D212" s="87" t="str">
        <f>IF(C212&lt;&gt;"",VLOOKUP(C212,'Dummy Table'!$B$3:$C$30,2,FALSE),"")</f>
        <v/>
      </c>
      <c r="E212" s="87" t="str">
        <f>IF(C212&lt;&gt;"",VLOOKUP(C212,'Dummy Table'!$B$3:$D$30,3,FALSE),"")</f>
        <v/>
      </c>
      <c r="F212" s="139"/>
      <c r="G212" s="75"/>
      <c r="H212" s="75"/>
      <c r="I212" s="75"/>
    </row>
    <row r="213" spans="1:26" x14ac:dyDescent="0.2">
      <c r="B213" s="138">
        <f>$J$21</f>
        <v>20</v>
      </c>
      <c r="C213" s="86"/>
      <c r="D213" s="87" t="str">
        <f>IF(C213&lt;&gt;"",VLOOKUP(C213,'Dummy Table'!$B$3:$C$30,2,FALSE),"")</f>
        <v/>
      </c>
      <c r="E213" s="87" t="str">
        <f>IF(C213&lt;&gt;"",VLOOKUP(C213,'Dummy Table'!$B$3:$D$30,3,FALSE),"")</f>
        <v/>
      </c>
      <c r="F213" s="139"/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/>
      <c r="D214" s="87" t="str">
        <f>IF(C214&lt;&gt;"",VLOOKUP(C214,'Dummy Table'!$B$3:$C$30,2,FALSE),"")</f>
        <v/>
      </c>
      <c r="E214" s="87" t="str">
        <f>IF(C214&lt;&gt;"",VLOOKUP(C214,'Dummy Table'!$B$3:$D$30,3,FALSE),"")</f>
        <v/>
      </c>
      <c r="F214" s="139"/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/>
      <c r="D215" s="87" t="str">
        <f>IF(C215&lt;&gt;"",VLOOKUP(C215,'Dummy Table'!$B$3:$C$30,2,FALSE),"")</f>
        <v/>
      </c>
      <c r="E215" s="87" t="str">
        <f>IF(C215&lt;&gt;"",VLOOKUP(C215,'Dummy Table'!$B$3:$D$30,3,FALSE),"")</f>
        <v/>
      </c>
      <c r="F215" s="139"/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/>
      <c r="D218" s="89" t="str">
        <f>IF(C218&lt;&gt;"",VLOOKUP(C218,'Dummy Table'!$B$3:$C$30,2,FALSE),"")</f>
        <v/>
      </c>
      <c r="E218" s="89" t="str">
        <f>IF(C218&lt;&gt;"",VLOOKUP(C218,'Dummy Table'!$B$3:$D$30,3,FALSE),"")</f>
        <v/>
      </c>
      <c r="F218" s="142"/>
      <c r="H218" s="75"/>
      <c r="K218" s="74"/>
    </row>
    <row r="219" spans="1:26" ht="13.5" thickBot="1" x14ac:dyDescent="0.25">
      <c r="B219" s="143" t="s">
        <v>234</v>
      </c>
      <c r="C219" s="144"/>
      <c r="D219" s="145" t="str">
        <f>IF(C219&lt;&gt;"",VLOOKUP(C219,'Dummy Table'!$B$3:$C$30,2,FALSE),"")</f>
        <v/>
      </c>
      <c r="E219" s="145" t="str">
        <f>IF(C219&lt;&gt;"",VLOOKUP(C219,'Dummy Table'!$B$3:$D$30,3,FALSE),"")</f>
        <v/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1" t="str">
        <f>VLOOKUP($A220,'Calendário atual'!$A$2:$E$30,4,FALSE)</f>
        <v>FORMULA 1 LENOVO GRAND PRIX DU CANADA 2026</v>
      </c>
      <c r="D220" s="171"/>
      <c r="E220" s="171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/>
      <c r="D223" s="87" t="str">
        <f>IF(C223&lt;&gt;"",VLOOKUP(C223,'Dummy Table'!$B$3:$C$30,2,FALSE),"")</f>
        <v/>
      </c>
      <c r="E223" s="87" t="str">
        <f>IF(C223&lt;&gt;"",VLOOKUP(C223,'Dummy Table'!$B$3:$D$30,3,FALSE),"")</f>
        <v/>
      </c>
      <c r="F223" s="137">
        <v>8</v>
      </c>
      <c r="G223" s="69">
        <f>IF(C223="",F223,0)</f>
        <v>8</v>
      </c>
      <c r="H223" s="69">
        <f>IF(C223="",F223,0)</f>
        <v>8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/>
      <c r="D224" s="87" t="str">
        <f>IF(C224&lt;&gt;"",VLOOKUP(C224,'Dummy Table'!$B$3:$C$30,2,FALSE),"")</f>
        <v/>
      </c>
      <c r="E224" s="87" t="str">
        <f>IF(C224&lt;&gt;"",VLOOKUP(C224,'Dummy Table'!$B$3:$D$30,3,FALSE),"")</f>
        <v/>
      </c>
      <c r="F224" s="137">
        <v>7</v>
      </c>
      <c r="H224" s="69">
        <f>IF(C224="",F224,0)</f>
        <v>7</v>
      </c>
      <c r="K224" s="74"/>
    </row>
    <row r="225" spans="1:26" x14ac:dyDescent="0.2">
      <c r="B225" s="138">
        <f>$J$4</f>
        <v>3</v>
      </c>
      <c r="C225" s="86"/>
      <c r="D225" s="87" t="str">
        <f>IF(C225&lt;&gt;"",VLOOKUP(C225,'Dummy Table'!$B$3:$C$30,2,FALSE),"")</f>
        <v/>
      </c>
      <c r="E225" s="87" t="str">
        <f>IF(C225&lt;&gt;"",VLOOKUP(C225,'Dummy Table'!$B$3:$D$30,3,FALSE),"")</f>
        <v/>
      </c>
      <c r="F225" s="137">
        <v>6</v>
      </c>
    </row>
    <row r="226" spans="1:26" x14ac:dyDescent="0.2">
      <c r="B226" s="138">
        <f>$J$5</f>
        <v>4</v>
      </c>
      <c r="C226" s="86"/>
      <c r="D226" s="87" t="str">
        <f>IF(C226&lt;&gt;"",VLOOKUP(C226,'Dummy Table'!$B$3:$C$30,2,FALSE),"")</f>
        <v/>
      </c>
      <c r="E226" s="87" t="str">
        <f>IF(C226&lt;&gt;"",VLOOKUP(C226,'Dummy Table'!$B$3:$D$30,3,FALSE),"")</f>
        <v/>
      </c>
      <c r="F226" s="137">
        <v>5</v>
      </c>
      <c r="K226" s="79"/>
    </row>
    <row r="227" spans="1:26" x14ac:dyDescent="0.2">
      <c r="B227" s="138">
        <f>$J$6</f>
        <v>5</v>
      </c>
      <c r="C227" s="86"/>
      <c r="D227" s="87" t="str">
        <f>IF(C227&lt;&gt;"",VLOOKUP(C227,'Dummy Table'!$B$3:$C$30,2,FALSE),"")</f>
        <v/>
      </c>
      <c r="E227" s="87" t="str">
        <f>IF(C227&lt;&gt;"",VLOOKUP(C227,'Dummy Table'!$B$3:$D$30,3,FALSE),"")</f>
        <v/>
      </c>
      <c r="F227" s="137">
        <v>4</v>
      </c>
    </row>
    <row r="228" spans="1:26" x14ac:dyDescent="0.2">
      <c r="B228" s="138">
        <f>$J$7</f>
        <v>6</v>
      </c>
      <c r="C228" s="86"/>
      <c r="D228" s="87" t="str">
        <f>IF(C228&lt;&gt;"",VLOOKUP(C228,'Dummy Table'!$B$3:$C$30,2,FALSE),"")</f>
        <v/>
      </c>
      <c r="E228" s="87" t="str">
        <f>IF(C228&lt;&gt;"",VLOOKUP(C228,'Dummy Table'!$B$3:$D$30,3,FALSE),"")</f>
        <v/>
      </c>
      <c r="F228" s="137">
        <v>3</v>
      </c>
      <c r="K228" s="74"/>
    </row>
    <row r="229" spans="1:26" x14ac:dyDescent="0.2">
      <c r="B229" s="138">
        <f>$J$8</f>
        <v>7</v>
      </c>
      <c r="C229" s="86"/>
      <c r="D229" s="87" t="str">
        <f>IF(C229&lt;&gt;"",VLOOKUP(C229,'Dummy Table'!$B$3:$C$30,2,FALSE),"")</f>
        <v/>
      </c>
      <c r="E229" s="87" t="str">
        <f>IF(C229&lt;&gt;"",VLOOKUP(C229,'Dummy Table'!$B$3:$D$30,3,FALSE),"")</f>
        <v/>
      </c>
      <c r="F229" s="137">
        <v>2</v>
      </c>
      <c r="K229" s="74"/>
    </row>
    <row r="230" spans="1:26" x14ac:dyDescent="0.2">
      <c r="B230" s="138">
        <f>$J$9</f>
        <v>8</v>
      </c>
      <c r="C230" s="86"/>
      <c r="D230" s="87" t="str">
        <f>IF(C230&lt;&gt;"",VLOOKUP(C230,'Dummy Table'!$B$3:$C$30,2,FALSE),"")</f>
        <v/>
      </c>
      <c r="E230" s="87" t="str">
        <f>IF(C230&lt;&gt;"",VLOOKUP(C230,'Dummy Table'!$B$3:$D$30,3,FALSE),"")</f>
        <v/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/>
      <c r="D231" s="87" t="str">
        <f>IF(C231&lt;&gt;"",VLOOKUP(C231,'Dummy Table'!$B$3:$C$30,2,FALSE),"")</f>
        <v/>
      </c>
      <c r="E231" s="87" t="str">
        <f>IF(C231&lt;&gt;"",VLOOKUP(C231,'Dummy Table'!$B$3:$D$30,3,FALSE),"")</f>
        <v/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/>
      <c r="D232" s="87" t="str">
        <f>IF(C232&lt;&gt;"",VLOOKUP(C232,'Dummy Table'!$B$3:$C$30,2,FALSE),"")</f>
        <v/>
      </c>
      <c r="E232" s="87" t="str">
        <f>IF(C232&lt;&gt;"",VLOOKUP(C232,'Dummy Table'!$B$3:$D$30,3,FALSE),"")</f>
        <v/>
      </c>
      <c r="F232" s="137"/>
      <c r="K232" s="74"/>
    </row>
    <row r="233" spans="1:26" x14ac:dyDescent="0.2">
      <c r="B233" s="138">
        <f>$J$12</f>
        <v>11</v>
      </c>
      <c r="C233" s="86"/>
      <c r="D233" s="87" t="str">
        <f>IF(C233&lt;&gt;"",VLOOKUP(C233,'Dummy Table'!$B$3:$C$30,2,FALSE),"")</f>
        <v/>
      </c>
      <c r="E233" s="87" t="str">
        <f>IF(C233&lt;&gt;"",VLOOKUP(C233,'Dummy Table'!$B$3:$D$30,3,FALSE),"")</f>
        <v/>
      </c>
      <c r="F233" s="139"/>
      <c r="K233" s="74"/>
    </row>
    <row r="234" spans="1:26" x14ac:dyDescent="0.2">
      <c r="B234" s="138">
        <f>$J$13</f>
        <v>12</v>
      </c>
      <c r="C234" s="86"/>
      <c r="D234" s="87" t="str">
        <f>IF(C234&lt;&gt;"",VLOOKUP(C234,'Dummy Table'!$B$3:$C$30,2,FALSE),"")</f>
        <v/>
      </c>
      <c r="E234" s="87" t="str">
        <f>IF(C234&lt;&gt;"",VLOOKUP(C234,'Dummy Table'!$B$3:$D$30,3,FALSE),"")</f>
        <v/>
      </c>
      <c r="F234" s="139"/>
      <c r="K234" s="74"/>
    </row>
    <row r="235" spans="1:26" x14ac:dyDescent="0.2">
      <c r="B235" s="138">
        <f>$J$14</f>
        <v>13</v>
      </c>
      <c r="C235" s="86"/>
      <c r="D235" s="87" t="str">
        <f>IF(C235&lt;&gt;"",VLOOKUP(C235,'Dummy Table'!$B$3:$C$30,2,FALSE),"")</f>
        <v/>
      </c>
      <c r="E235" s="87" t="str">
        <f>IF(C235&lt;&gt;"",VLOOKUP(C235,'Dummy Table'!$B$3:$D$30,3,FALSE),"")</f>
        <v/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/>
      <c r="D236" s="87" t="str">
        <f>IF(C236&lt;&gt;"",VLOOKUP(C236,'Dummy Table'!$B$3:$C$30,2,FALSE),"")</f>
        <v/>
      </c>
      <c r="E236" s="87" t="str">
        <f>IF(C236&lt;&gt;"",VLOOKUP(C236,'Dummy Table'!$B$3:$D$30,3,FALSE),"")</f>
        <v/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/>
      <c r="D237" s="87" t="str">
        <f>IF(C237&lt;&gt;"",VLOOKUP(C237,'Dummy Table'!$B$3:$C$30,2,FALSE),"")</f>
        <v/>
      </c>
      <c r="E237" s="87" t="str">
        <f>IF(C237&lt;&gt;"",VLOOKUP(C237,'Dummy Table'!$B$3:$D$30,3,FALSE),"")</f>
        <v/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/>
      <c r="D238" s="87" t="str">
        <f>IF(C238&lt;&gt;"",VLOOKUP(C238,'Dummy Table'!$B$3:$C$30,2,FALSE),"")</f>
        <v/>
      </c>
      <c r="E238" s="87" t="str">
        <f>IF(C238&lt;&gt;"",VLOOKUP(C238,'Dummy Table'!$B$3:$D$30,3,FALSE),"")</f>
        <v/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/>
      <c r="D239" s="87" t="str">
        <f>IF(C239&lt;&gt;"",VLOOKUP(C239,'Dummy Table'!$B$3:$C$30,2,FALSE),"")</f>
        <v/>
      </c>
      <c r="E239" s="87" t="str">
        <f>IF(C239&lt;&gt;"",VLOOKUP(C239,'Dummy Table'!$B$3:$D$30,3,FALSE),"")</f>
        <v/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/>
      <c r="D240" s="87" t="str">
        <f>IF(C240&lt;&gt;"",VLOOKUP(C240,'Dummy Table'!$B$3:$C$30,2,FALSE),"")</f>
        <v/>
      </c>
      <c r="E240" s="87" t="str">
        <f>IF(C240&lt;&gt;"",VLOOKUP(C240,'Dummy Table'!$B$3:$D$30,3,FALSE),"")</f>
        <v/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/>
      <c r="D241" s="87" t="str">
        <f>IF(C241&lt;&gt;"",VLOOKUP(C241,'Dummy Table'!$B$3:$C$30,2,FALSE),"")</f>
        <v/>
      </c>
      <c r="E241" s="87" t="str">
        <f>IF(C241&lt;&gt;"",VLOOKUP(C241,'Dummy Table'!$B$3:$D$30,3,FALSE),"")</f>
        <v/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/>
      <c r="D242" s="87" t="str">
        <f>IF(C242&lt;&gt;"",VLOOKUP(C242,'Dummy Table'!$B$3:$C$30,2,FALSE),"")</f>
        <v/>
      </c>
      <c r="E242" s="87" t="str">
        <f>IF(C242&lt;&gt;"",VLOOKUP(C242,'Dummy Table'!$B$3:$D$30,3,FALSE),"")</f>
        <v/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/>
      <c r="D243" s="87" t="str">
        <f>IF(C243&lt;&gt;"",VLOOKUP(C243,'Dummy Table'!$B$3:$C$30,2,FALSE),"")</f>
        <v/>
      </c>
      <c r="E243" s="87" t="str">
        <f>IF(C243&lt;&gt;"",VLOOKUP(C243,'Dummy Table'!$B$3:$D$30,3,FALSE),"")</f>
        <v/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/>
      <c r="D244" s="87" t="str">
        <f>IF(C244&lt;&gt;"",VLOOKUP(C244,'Dummy Table'!$B$3:$C$30,2,FALSE),"")</f>
        <v/>
      </c>
      <c r="E244" s="87" t="str">
        <f>IF(C244&lt;&gt;"",VLOOKUP(C244,'Dummy Table'!$B$3:$D$30,3,FALSE),"")</f>
        <v/>
      </c>
      <c r="F244" s="139"/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/>
      <c r="D247" s="87" t="str">
        <f>IF(C247&lt;&gt;"",VLOOKUP(C247,'Dummy Table'!$B$3:$C$30,2,FALSE),"")</f>
        <v/>
      </c>
      <c r="E247" s="87" t="str">
        <f>IF(C247&lt;&gt;"",VLOOKUP(C247,'Dummy Table'!$B$3:$D$30,3,FALSE),"")</f>
        <v/>
      </c>
      <c r="F247" s="137">
        <v>25</v>
      </c>
      <c r="G247" s="69">
        <f>IF(C247="",F247,0)</f>
        <v>25</v>
      </c>
      <c r="H247" s="69">
        <f>IF(C247="",F247,0)</f>
        <v>25</v>
      </c>
      <c r="I247" s="69">
        <f>IF(C247="",1,0)</f>
        <v>1</v>
      </c>
      <c r="K247" s="74"/>
    </row>
    <row r="248" spans="1:26" x14ac:dyDescent="0.2">
      <c r="B248" s="138">
        <f>$J$3</f>
        <v>2</v>
      </c>
      <c r="C248" s="86"/>
      <c r="D248" s="87" t="str">
        <f>IF(C248&lt;&gt;"",VLOOKUP(C248,'Dummy Table'!$B$3:$C$30,2,FALSE),"")</f>
        <v/>
      </c>
      <c r="E248" s="87" t="str">
        <f>IF(C248&lt;&gt;"",VLOOKUP(C248,'Dummy Table'!$B$3:$D$30,3,FALSE),"")</f>
        <v/>
      </c>
      <c r="F248" s="137">
        <v>18</v>
      </c>
      <c r="H248" s="69">
        <f>IF(C248="",F248,0)</f>
        <v>18</v>
      </c>
      <c r="K248" s="74"/>
    </row>
    <row r="249" spans="1:26" x14ac:dyDescent="0.2">
      <c r="B249" s="138">
        <f>$J$4</f>
        <v>3</v>
      </c>
      <c r="C249" s="86"/>
      <c r="D249" s="87" t="str">
        <f>IF(C249&lt;&gt;"",VLOOKUP(C249,'Dummy Table'!$B$3:$C$30,2,FALSE),"")</f>
        <v/>
      </c>
      <c r="E249" s="87" t="str">
        <f>IF(C249&lt;&gt;"",VLOOKUP(C249,'Dummy Table'!$B$3:$D$30,3,FALSE),"")</f>
        <v/>
      </c>
      <c r="F249" s="137">
        <v>15</v>
      </c>
    </row>
    <row r="250" spans="1:26" x14ac:dyDescent="0.2">
      <c r="B250" s="138">
        <f>$J$5</f>
        <v>4</v>
      </c>
      <c r="C250" s="86"/>
      <c r="D250" s="87" t="str">
        <f>IF(C250&lt;&gt;"",VLOOKUP(C250,'Dummy Table'!$B$3:$C$30,2,FALSE),"")</f>
        <v/>
      </c>
      <c r="E250" s="87" t="str">
        <f>IF(C250&lt;&gt;"",VLOOKUP(C250,'Dummy Table'!$B$3:$D$30,3,FALSE),"")</f>
        <v/>
      </c>
      <c r="F250" s="137">
        <v>12</v>
      </c>
      <c r="K250" s="79"/>
    </row>
    <row r="251" spans="1:26" x14ac:dyDescent="0.2">
      <c r="B251" s="138">
        <f>$J$6</f>
        <v>5</v>
      </c>
      <c r="C251" s="86"/>
      <c r="D251" s="87" t="str">
        <f>IF(C251&lt;&gt;"",VLOOKUP(C251,'Dummy Table'!$B$3:$C$30,2,FALSE),"")</f>
        <v/>
      </c>
      <c r="E251" s="87" t="str">
        <f>IF(C251&lt;&gt;"",VLOOKUP(C251,'Dummy Table'!$B$3:$D$30,3,FALSE),"")</f>
        <v/>
      </c>
      <c r="F251" s="137">
        <v>10</v>
      </c>
    </row>
    <row r="252" spans="1:26" x14ac:dyDescent="0.2">
      <c r="B252" s="138">
        <f>$J$7</f>
        <v>6</v>
      </c>
      <c r="C252" s="86"/>
      <c r="D252" s="87" t="str">
        <f>IF(C252&lt;&gt;"",VLOOKUP(C252,'Dummy Table'!$B$3:$C$30,2,FALSE),"")</f>
        <v/>
      </c>
      <c r="E252" s="87" t="str">
        <f>IF(C252&lt;&gt;"",VLOOKUP(C252,'Dummy Table'!$B$3:$D$30,3,FALSE),"")</f>
        <v/>
      </c>
      <c r="F252" s="137">
        <v>8</v>
      </c>
      <c r="K252" s="74"/>
    </row>
    <row r="253" spans="1:26" x14ac:dyDescent="0.2">
      <c r="B253" s="138">
        <f>$J$8</f>
        <v>7</v>
      </c>
      <c r="C253" s="86"/>
      <c r="D253" s="87" t="str">
        <f>IF(C253&lt;&gt;"",VLOOKUP(C253,'Dummy Table'!$B$3:$C$30,2,FALSE),"")</f>
        <v/>
      </c>
      <c r="E253" s="87" t="str">
        <f>IF(C253&lt;&gt;"",VLOOKUP(C253,'Dummy Table'!$B$3:$D$30,3,FALSE),"")</f>
        <v/>
      </c>
      <c r="F253" s="137">
        <v>6</v>
      </c>
      <c r="K253" s="74"/>
    </row>
    <row r="254" spans="1:26" x14ac:dyDescent="0.2">
      <c r="B254" s="138">
        <f>$J$9</f>
        <v>8</v>
      </c>
      <c r="C254" s="86"/>
      <c r="D254" s="87" t="str">
        <f>IF(C254&lt;&gt;"",VLOOKUP(C254,'Dummy Table'!$B$3:$C$30,2,FALSE),"")</f>
        <v/>
      </c>
      <c r="E254" s="87" t="str">
        <f>IF(C254&lt;&gt;"",VLOOKUP(C254,'Dummy Table'!$B$3:$D$30,3,FALSE),"")</f>
        <v/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/>
      <c r="D255" s="87" t="str">
        <f>IF(C255&lt;&gt;"",VLOOKUP(C255,'Dummy Table'!$B$3:$C$30,2,FALSE),"")</f>
        <v/>
      </c>
      <c r="E255" s="87" t="str">
        <f>IF(C255&lt;&gt;"",VLOOKUP(C255,'Dummy Table'!$B$3:$D$30,3,FALSE),"")</f>
        <v/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/>
      <c r="D256" s="87" t="str">
        <f>IF(C256&lt;&gt;"",VLOOKUP(C256,'Dummy Table'!$B$3:$C$30,2,FALSE),"")</f>
        <v/>
      </c>
      <c r="E256" s="87" t="str">
        <f>IF(C256&lt;&gt;"",VLOOKUP(C256,'Dummy Table'!$B$3:$D$30,3,FALSE),"")</f>
        <v/>
      </c>
      <c r="F256" s="137">
        <v>1</v>
      </c>
      <c r="K256" s="74"/>
    </row>
    <row r="257" spans="1:26" x14ac:dyDescent="0.2">
      <c r="B257" s="138">
        <f>$J$12</f>
        <v>11</v>
      </c>
      <c r="C257" s="86"/>
      <c r="D257" s="87" t="str">
        <f>IF(C257&lt;&gt;"",VLOOKUP(C257,'Dummy Table'!$B$3:$C$30,2,FALSE),"")</f>
        <v/>
      </c>
      <c r="E257" s="87" t="str">
        <f>IF(C257&lt;&gt;"",VLOOKUP(C257,'Dummy Table'!$B$3:$D$30,3,FALSE),"")</f>
        <v/>
      </c>
      <c r="F257" s="139"/>
      <c r="K257" s="74"/>
    </row>
    <row r="258" spans="1:26" x14ac:dyDescent="0.2">
      <c r="B258" s="138">
        <f>$J$13</f>
        <v>12</v>
      </c>
      <c r="C258" s="86"/>
      <c r="D258" s="87" t="str">
        <f>IF(C258&lt;&gt;"",VLOOKUP(C258,'Dummy Table'!$B$3:$C$30,2,FALSE),"")</f>
        <v/>
      </c>
      <c r="E258" s="87" t="str">
        <f>IF(C258&lt;&gt;"",VLOOKUP(C258,'Dummy Table'!$B$3:$D$30,3,FALSE),"")</f>
        <v/>
      </c>
      <c r="F258" s="139"/>
      <c r="K258" s="74"/>
    </row>
    <row r="259" spans="1:26" x14ac:dyDescent="0.2">
      <c r="B259" s="138">
        <f>$J$14</f>
        <v>13</v>
      </c>
      <c r="C259" s="86"/>
      <c r="D259" s="87" t="str">
        <f>IF(C259&lt;&gt;"",VLOOKUP(C259,'Dummy Table'!$B$3:$C$30,2,FALSE),"")</f>
        <v/>
      </c>
      <c r="E259" s="87" t="str">
        <f>IF(C259&lt;&gt;"",VLOOKUP(C259,'Dummy Table'!$B$3:$D$30,3,FALSE),"")</f>
        <v/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/>
      <c r="D260" s="87" t="str">
        <f>IF(C260&lt;&gt;"",VLOOKUP(C260,'Dummy Table'!$B$3:$C$30,2,FALSE),"")</f>
        <v/>
      </c>
      <c r="E260" s="87" t="str">
        <f>IF(C260&lt;&gt;"",VLOOKUP(C260,'Dummy Table'!$B$3:$D$30,3,FALSE),"")</f>
        <v/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/>
      <c r="D261" s="87" t="str">
        <f>IF(C261&lt;&gt;"",VLOOKUP(C261,'Dummy Table'!$B$3:$C$30,2,FALSE),"")</f>
        <v/>
      </c>
      <c r="E261" s="87" t="str">
        <f>IF(C261&lt;&gt;"",VLOOKUP(C261,'Dummy Table'!$B$3:$D$30,3,FALSE),"")</f>
        <v/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/>
      <c r="D262" s="87" t="str">
        <f>IF(C262&lt;&gt;"",VLOOKUP(C262,'Dummy Table'!$B$3:$C$30,2,FALSE),"")</f>
        <v/>
      </c>
      <c r="E262" s="87" t="str">
        <f>IF(C262&lt;&gt;"",VLOOKUP(C262,'Dummy Table'!$B$3:$D$30,3,FALSE),"")</f>
        <v/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/>
      <c r="D263" s="87" t="str">
        <f>IF(C263&lt;&gt;"",VLOOKUP(C263,'Dummy Table'!$B$3:$C$30,2,FALSE),"")</f>
        <v/>
      </c>
      <c r="E263" s="87" t="str">
        <f>IF(C263&lt;&gt;"",VLOOKUP(C263,'Dummy Table'!$B$3:$D$30,3,FALSE),"")</f>
        <v/>
      </c>
      <c r="F263" s="139"/>
      <c r="G263" s="75"/>
      <c r="H263" s="75"/>
      <c r="I263" s="75"/>
    </row>
    <row r="264" spans="1:26" x14ac:dyDescent="0.2">
      <c r="B264" s="138">
        <f>$J$19</f>
        <v>18</v>
      </c>
      <c r="C264" s="86"/>
      <c r="D264" s="87" t="str">
        <f>IF(C264&lt;&gt;"",VLOOKUP(C264,'Dummy Table'!$B$3:$C$30,2,FALSE),"")</f>
        <v/>
      </c>
      <c r="E264" s="87" t="str">
        <f>IF(C264&lt;&gt;"",VLOOKUP(C264,'Dummy Table'!$B$3:$D$30,3,FALSE),"")</f>
        <v/>
      </c>
      <c r="F264" s="139"/>
      <c r="G264" s="75"/>
      <c r="H264" s="75"/>
      <c r="I264" s="75"/>
      <c r="K264" s="79"/>
    </row>
    <row r="265" spans="1:26" x14ac:dyDescent="0.2">
      <c r="B265" s="138">
        <f>$J$20</f>
        <v>19</v>
      </c>
      <c r="C265" s="86"/>
      <c r="D265" s="87" t="str">
        <f>IF(C265&lt;&gt;"",VLOOKUP(C265,'Dummy Table'!$B$3:$C$30,2,FALSE),"")</f>
        <v/>
      </c>
      <c r="E265" s="87" t="str">
        <f>IF(C265&lt;&gt;"",VLOOKUP(C265,'Dummy Table'!$B$3:$D$30,3,FALSE),"")</f>
        <v/>
      </c>
      <c r="F265" s="139"/>
      <c r="G265" s="75"/>
      <c r="H265" s="75"/>
      <c r="I265" s="75"/>
    </row>
    <row r="266" spans="1:26" x14ac:dyDescent="0.2">
      <c r="B266" s="138">
        <f>$J$21</f>
        <v>20</v>
      </c>
      <c r="C266" s="86"/>
      <c r="D266" s="87" t="str">
        <f>IF(C266&lt;&gt;"",VLOOKUP(C266,'Dummy Table'!$B$3:$C$30,2,FALSE),"")</f>
        <v/>
      </c>
      <c r="E266" s="87" t="str">
        <f>IF(C266&lt;&gt;"",VLOOKUP(C266,'Dummy Table'!$B$3:$D$30,3,FALSE),"")</f>
        <v/>
      </c>
      <c r="F266" s="139"/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/>
      <c r="D267" s="87" t="str">
        <f>IF(C267&lt;&gt;"",VLOOKUP(C267,'Dummy Table'!$B$3:$C$30,2,FALSE),"")</f>
        <v/>
      </c>
      <c r="E267" s="87" t="str">
        <f>IF(C267&lt;&gt;"",VLOOKUP(C267,'Dummy Table'!$B$3:$D$30,3,FALSE),"")</f>
        <v/>
      </c>
      <c r="F267" s="139"/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/>
      <c r="D268" s="87" t="str">
        <f>IF(C268&lt;&gt;"",VLOOKUP(C268,'Dummy Table'!$B$3:$C$30,2,FALSE),"")</f>
        <v/>
      </c>
      <c r="E268" s="87" t="str">
        <f>IF(C268&lt;&gt;"",VLOOKUP(C268,'Dummy Table'!$B$3:$D$30,3,FALSE),"")</f>
        <v/>
      </c>
      <c r="F268" s="139"/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/>
      <c r="D271" s="89" t="str">
        <f>IF(C271&lt;&gt;"",VLOOKUP(C271,'Dummy Table'!$B$3:$C$30,2,FALSE),"")</f>
        <v/>
      </c>
      <c r="E271" s="89" t="str">
        <f>IF(C271&lt;&gt;"",VLOOKUP(C271,'Dummy Table'!$B$3:$D$30,3,FALSE),"")</f>
        <v/>
      </c>
      <c r="F271" s="142"/>
      <c r="H271" s="75"/>
      <c r="K271" s="74"/>
    </row>
    <row r="272" spans="1:26" ht="13.5" thickBot="1" x14ac:dyDescent="0.25">
      <c r="B272" s="143" t="s">
        <v>234</v>
      </c>
      <c r="C272" s="144"/>
      <c r="D272" s="145" t="str">
        <f>IF(C272&lt;&gt;"",VLOOKUP(C272,'Dummy Table'!$B$3:$C$30,2,FALSE),"")</f>
        <v/>
      </c>
      <c r="E272" s="145" t="str">
        <f>IF(C272&lt;&gt;"",VLOOKUP(C272,'Dummy Table'!$B$3:$D$30,3,FALSE),"")</f>
        <v/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1" t="str">
        <f>VLOOKUP($A273,'Calendário atual'!$A$2:$E$30,4,FALSE)</f>
        <v>FORMULA 1 LOUIS VUITTON GRAND PRIX DE MONACO 2026</v>
      </c>
      <c r="D273" s="171"/>
      <c r="E273" s="171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/>
      <c r="D275" s="87" t="str">
        <f>IF(C275&lt;&gt;"",VLOOKUP(C275,'Dummy Table'!$B$3:$C$30,2,FALSE),"")</f>
        <v/>
      </c>
      <c r="E275" s="87" t="str">
        <f>IF(C275&lt;&gt;"",VLOOKUP(C275,'Dummy Table'!$B$3:$D$30,3,FALSE),"")</f>
        <v/>
      </c>
      <c r="F275" s="137">
        <v>25</v>
      </c>
      <c r="G275" s="69">
        <f>IF(C275="",F275,0)</f>
        <v>25</v>
      </c>
      <c r="H275" s="69">
        <f>IF(C275="",F275,0)</f>
        <v>25</v>
      </c>
      <c r="I275" s="69">
        <f>IF(C275="",1,0)</f>
        <v>1</v>
      </c>
      <c r="K275" s="74"/>
    </row>
    <row r="276" spans="1:26" x14ac:dyDescent="0.2">
      <c r="B276" s="138">
        <f>$J$3</f>
        <v>2</v>
      </c>
      <c r="C276" s="86"/>
      <c r="D276" s="87" t="str">
        <f>IF(C276&lt;&gt;"",VLOOKUP(C276,'Dummy Table'!$B$3:$C$30,2,FALSE),"")</f>
        <v/>
      </c>
      <c r="E276" s="87" t="str">
        <f>IF(C276&lt;&gt;"",VLOOKUP(C276,'Dummy Table'!$B$3:$D$30,3,FALSE),"")</f>
        <v/>
      </c>
      <c r="F276" s="137">
        <v>18</v>
      </c>
      <c r="H276" s="69">
        <f>IF(C276="",F276,0)</f>
        <v>18</v>
      </c>
      <c r="K276" s="74"/>
    </row>
    <row r="277" spans="1:26" x14ac:dyDescent="0.2">
      <c r="B277" s="138">
        <f>$J$4</f>
        <v>3</v>
      </c>
      <c r="C277" s="86"/>
      <c r="D277" s="87" t="str">
        <f>IF(C277&lt;&gt;"",VLOOKUP(C277,'Dummy Table'!$B$3:$C$30,2,FALSE),"")</f>
        <v/>
      </c>
      <c r="E277" s="87" t="str">
        <f>IF(C277&lt;&gt;"",VLOOKUP(C277,'Dummy Table'!$B$3:$D$30,3,FALSE),"")</f>
        <v/>
      </c>
      <c r="F277" s="137">
        <v>15</v>
      </c>
    </row>
    <row r="278" spans="1:26" x14ac:dyDescent="0.2">
      <c r="B278" s="138">
        <f>$J$5</f>
        <v>4</v>
      </c>
      <c r="C278" s="86"/>
      <c r="D278" s="87" t="str">
        <f>IF(C278&lt;&gt;"",VLOOKUP(C278,'Dummy Table'!$B$3:$C$30,2,FALSE),"")</f>
        <v/>
      </c>
      <c r="E278" s="87" t="str">
        <f>IF(C278&lt;&gt;"",VLOOKUP(C278,'Dummy Table'!$B$3:$D$30,3,FALSE),"")</f>
        <v/>
      </c>
      <c r="F278" s="137">
        <v>12</v>
      </c>
      <c r="K278" s="79"/>
    </row>
    <row r="279" spans="1:26" x14ac:dyDescent="0.2">
      <c r="B279" s="138">
        <f>$J$6</f>
        <v>5</v>
      </c>
      <c r="C279" s="86"/>
      <c r="D279" s="87" t="str">
        <f>IF(C279&lt;&gt;"",VLOOKUP(C279,'Dummy Table'!$B$3:$C$30,2,FALSE),"")</f>
        <v/>
      </c>
      <c r="E279" s="87" t="str">
        <f>IF(C279&lt;&gt;"",VLOOKUP(C279,'Dummy Table'!$B$3:$D$30,3,FALSE),"")</f>
        <v/>
      </c>
      <c r="F279" s="137">
        <v>10</v>
      </c>
    </row>
    <row r="280" spans="1:26" x14ac:dyDescent="0.2">
      <c r="B280" s="138">
        <f>$J$7</f>
        <v>6</v>
      </c>
      <c r="C280" s="86"/>
      <c r="D280" s="87" t="str">
        <f>IF(C280&lt;&gt;"",VLOOKUP(C280,'Dummy Table'!$B$3:$C$30,2,FALSE),"")</f>
        <v/>
      </c>
      <c r="E280" s="87" t="str">
        <f>IF(C280&lt;&gt;"",VLOOKUP(C280,'Dummy Table'!$B$3:$D$30,3,FALSE),"")</f>
        <v/>
      </c>
      <c r="F280" s="137">
        <v>8</v>
      </c>
      <c r="K280" s="74"/>
    </row>
    <row r="281" spans="1:26" x14ac:dyDescent="0.2">
      <c r="B281" s="138">
        <f>$J$8</f>
        <v>7</v>
      </c>
      <c r="C281" s="86"/>
      <c r="D281" s="87" t="str">
        <f>IF(C281&lt;&gt;"",VLOOKUP(C281,'Dummy Table'!$B$3:$C$30,2,FALSE),"")</f>
        <v/>
      </c>
      <c r="E281" s="87" t="str">
        <f>IF(C281&lt;&gt;"",VLOOKUP(C281,'Dummy Table'!$B$3:$D$30,3,FALSE),"")</f>
        <v/>
      </c>
      <c r="F281" s="137">
        <v>6</v>
      </c>
      <c r="K281" s="74"/>
    </row>
    <row r="282" spans="1:26" x14ac:dyDescent="0.2">
      <c r="B282" s="138">
        <f>$J$9</f>
        <v>8</v>
      </c>
      <c r="C282" s="86"/>
      <c r="D282" s="87" t="str">
        <f>IF(C282&lt;&gt;"",VLOOKUP(C282,'Dummy Table'!$B$3:$C$30,2,FALSE),"")</f>
        <v/>
      </c>
      <c r="E282" s="87" t="str">
        <f>IF(C282&lt;&gt;"",VLOOKUP(C282,'Dummy Table'!$B$3:$D$30,3,FALSE),"")</f>
        <v/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/>
      <c r="D283" s="87" t="str">
        <f>IF(C283&lt;&gt;"",VLOOKUP(C283,'Dummy Table'!$B$3:$C$30,2,FALSE),"")</f>
        <v/>
      </c>
      <c r="E283" s="87" t="str">
        <f>IF(C283&lt;&gt;"",VLOOKUP(C283,'Dummy Table'!$B$3:$D$30,3,FALSE),"")</f>
        <v/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/>
      <c r="D284" s="87" t="str">
        <f>IF(C284&lt;&gt;"",VLOOKUP(C284,'Dummy Table'!$B$3:$C$30,2,FALSE),"")</f>
        <v/>
      </c>
      <c r="E284" s="87" t="str">
        <f>IF(C284&lt;&gt;"",VLOOKUP(C284,'Dummy Table'!$B$3:$D$30,3,FALSE),"")</f>
        <v/>
      </c>
      <c r="F284" s="137">
        <v>1</v>
      </c>
      <c r="K284" s="74"/>
    </row>
    <row r="285" spans="1:26" x14ac:dyDescent="0.2">
      <c r="B285" s="138">
        <f>$J$12</f>
        <v>11</v>
      </c>
      <c r="C285" s="86"/>
      <c r="D285" s="87" t="str">
        <f>IF(C285&lt;&gt;"",VLOOKUP(C285,'Dummy Table'!$B$3:$C$30,2,FALSE),"")</f>
        <v/>
      </c>
      <c r="E285" s="87" t="str">
        <f>IF(C285&lt;&gt;"",VLOOKUP(C285,'Dummy Table'!$B$3:$D$30,3,FALSE),"")</f>
        <v/>
      </c>
      <c r="F285" s="139"/>
      <c r="K285" s="74"/>
    </row>
    <row r="286" spans="1:26" x14ac:dyDescent="0.2">
      <c r="B286" s="138">
        <f>$J$13</f>
        <v>12</v>
      </c>
      <c r="C286" s="86"/>
      <c r="D286" s="87" t="str">
        <f>IF(C286&lt;&gt;"",VLOOKUP(C286,'Dummy Table'!$B$3:$C$30,2,FALSE),"")</f>
        <v/>
      </c>
      <c r="E286" s="87" t="str">
        <f>IF(C286&lt;&gt;"",VLOOKUP(C286,'Dummy Table'!$B$3:$D$30,3,FALSE),"")</f>
        <v/>
      </c>
      <c r="F286" s="139"/>
      <c r="K286" s="74"/>
    </row>
    <row r="287" spans="1:26" x14ac:dyDescent="0.2">
      <c r="B287" s="138">
        <f>$J$14</f>
        <v>13</v>
      </c>
      <c r="C287" s="86"/>
      <c r="D287" s="87" t="str">
        <f>IF(C287&lt;&gt;"",VLOOKUP(C287,'Dummy Table'!$B$3:$C$30,2,FALSE),"")</f>
        <v/>
      </c>
      <c r="E287" s="87" t="str">
        <f>IF(C287&lt;&gt;"",VLOOKUP(C287,'Dummy Table'!$B$3:$D$30,3,FALSE),"")</f>
        <v/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/>
      <c r="D288" s="87" t="str">
        <f>IF(C288&lt;&gt;"",VLOOKUP(C288,'Dummy Table'!$B$3:$C$30,2,FALSE),"")</f>
        <v/>
      </c>
      <c r="E288" s="87" t="str">
        <f>IF(C288&lt;&gt;"",VLOOKUP(C288,'Dummy Table'!$B$3:$D$30,3,FALSE),"")</f>
        <v/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/>
      <c r="D289" s="87" t="str">
        <f>IF(C289&lt;&gt;"",VLOOKUP(C289,'Dummy Table'!$B$3:$C$30,2,FALSE),"")</f>
        <v/>
      </c>
      <c r="E289" s="87" t="str">
        <f>IF(C289&lt;&gt;"",VLOOKUP(C289,'Dummy Table'!$B$3:$D$30,3,FALSE),"")</f>
        <v/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/>
      <c r="D290" s="87" t="str">
        <f>IF(C290&lt;&gt;"",VLOOKUP(C290,'Dummy Table'!$B$3:$C$30,2,FALSE),"")</f>
        <v/>
      </c>
      <c r="E290" s="87" t="str">
        <f>IF(C290&lt;&gt;"",VLOOKUP(C290,'Dummy Table'!$B$3:$D$30,3,FALSE),"")</f>
        <v/>
      </c>
      <c r="F290" s="139"/>
      <c r="G290" s="75"/>
      <c r="H290" s="75"/>
      <c r="I290" s="75"/>
      <c r="K290" s="74"/>
    </row>
    <row r="291" spans="1:26" x14ac:dyDescent="0.2">
      <c r="B291" s="138">
        <f>$J$18</f>
        <v>17</v>
      </c>
      <c r="C291" s="86"/>
      <c r="D291" s="87" t="str">
        <f>IF(C291&lt;&gt;"",VLOOKUP(C291,'Dummy Table'!$B$3:$C$30,2,FALSE),"")</f>
        <v/>
      </c>
      <c r="E291" s="87" t="str">
        <f>IF(C291&lt;&gt;"",VLOOKUP(C291,'Dummy Table'!$B$3:$D$30,3,FALSE),"")</f>
        <v/>
      </c>
      <c r="F291" s="139"/>
      <c r="G291" s="75"/>
      <c r="H291" s="75"/>
      <c r="I291" s="75"/>
    </row>
    <row r="292" spans="1:26" x14ac:dyDescent="0.2">
      <c r="B292" s="138">
        <f>$J$19</f>
        <v>18</v>
      </c>
      <c r="C292" s="86"/>
      <c r="D292" s="87" t="str">
        <f>IF(C292&lt;&gt;"",VLOOKUP(C292,'Dummy Table'!$B$3:$C$30,2,FALSE),"")</f>
        <v/>
      </c>
      <c r="E292" s="87" t="str">
        <f>IF(C292&lt;&gt;"",VLOOKUP(C292,'Dummy Table'!$B$3:$D$30,3,FALSE),"")</f>
        <v/>
      </c>
      <c r="F292" s="139"/>
      <c r="G292" s="75"/>
      <c r="H292" s="75"/>
      <c r="I292" s="75"/>
      <c r="K292" s="79"/>
    </row>
    <row r="293" spans="1:26" x14ac:dyDescent="0.2">
      <c r="B293" s="138">
        <f>$J$20</f>
        <v>19</v>
      </c>
      <c r="C293" s="86"/>
      <c r="D293" s="87" t="str">
        <f>IF(C293&lt;&gt;"",VLOOKUP(C293,'Dummy Table'!$B$3:$C$30,2,FALSE),"")</f>
        <v/>
      </c>
      <c r="E293" s="87" t="str">
        <f>IF(C293&lt;&gt;"",VLOOKUP(C293,'Dummy Table'!$B$3:$D$30,3,FALSE),"")</f>
        <v/>
      </c>
      <c r="F293" s="139"/>
      <c r="G293" s="75"/>
      <c r="H293" s="75"/>
      <c r="I293" s="75"/>
    </row>
    <row r="294" spans="1:26" x14ac:dyDescent="0.2">
      <c r="B294" s="138">
        <f>$J$21</f>
        <v>20</v>
      </c>
      <c r="C294" s="86"/>
      <c r="D294" s="87" t="str">
        <f>IF(C294&lt;&gt;"",VLOOKUP(C294,'Dummy Table'!$B$3:$C$30,2,FALSE),"")</f>
        <v/>
      </c>
      <c r="E294" s="87" t="str">
        <f>IF(C294&lt;&gt;"",VLOOKUP(C294,'Dummy Table'!$B$3:$D$30,3,FALSE),"")</f>
        <v/>
      </c>
      <c r="F294" s="139"/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/>
      <c r="D295" s="87" t="str">
        <f>IF(C295&lt;&gt;"",VLOOKUP(C295,'Dummy Table'!$B$3:$C$30,2,FALSE),"")</f>
        <v/>
      </c>
      <c r="E295" s="87" t="str">
        <f>IF(C295&lt;&gt;"",VLOOKUP(C295,'Dummy Table'!$B$3:$D$30,3,FALSE),"")</f>
        <v/>
      </c>
      <c r="F295" s="139"/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/>
      <c r="D296" s="87" t="str">
        <f>IF(C296&lt;&gt;"",VLOOKUP(C296,'Dummy Table'!$B$3:$C$30,2,FALSE),"")</f>
        <v/>
      </c>
      <c r="E296" s="87" t="str">
        <f>IF(C296&lt;&gt;"",VLOOKUP(C296,'Dummy Table'!$B$3:$D$30,3,FALSE),"")</f>
        <v/>
      </c>
      <c r="F296" s="139"/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/>
      <c r="D299" s="89" t="str">
        <f>IF(C299&lt;&gt;"",VLOOKUP(C299,'Dummy Table'!$B$3:$C$30,2,FALSE),"")</f>
        <v/>
      </c>
      <c r="E299" s="89" t="str">
        <f>IF(C299&lt;&gt;"",VLOOKUP(C299,'Dummy Table'!$B$3:$D$30,3,FALSE),"")</f>
        <v/>
      </c>
      <c r="F299" s="142"/>
      <c r="H299" s="75"/>
      <c r="K299" s="74"/>
    </row>
    <row r="300" spans="1:26" ht="13.5" thickBot="1" x14ac:dyDescent="0.25">
      <c r="B300" s="143" t="s">
        <v>234</v>
      </c>
      <c r="C300" s="144"/>
      <c r="D300" s="145" t="str">
        <f>IF(C300&lt;&gt;"",VLOOKUP(C300,'Dummy Table'!$B$3:$C$30,2,FALSE),"")</f>
        <v/>
      </c>
      <c r="E300" s="145" t="str">
        <f>IF(C300&lt;&gt;"",VLOOKUP(C300,'Dummy Table'!$B$3:$D$30,3,FALSE),"")</f>
        <v/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1" t="str">
        <f>VLOOKUP($A301,'Calendário atual'!$A$2:$E$30,4,FALSE)</f>
        <v>FORMULA 1 MSC CRUISES GRAN PREMIO DE BARCELONA-CATALUNYA 2026</v>
      </c>
      <c r="D301" s="171"/>
      <c r="E301" s="171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/>
      <c r="D303" s="87" t="str">
        <f>IF(C303&lt;&gt;"",VLOOKUP(C303,'Dummy Table'!$B$3:$C$30,2,FALSE),"")</f>
        <v/>
      </c>
      <c r="E303" s="87" t="str">
        <f>IF(C303&lt;&gt;"",VLOOKUP(C303,'Dummy Table'!$B$3:$D$30,3,FALSE),"")</f>
        <v/>
      </c>
      <c r="F303" s="137">
        <v>25</v>
      </c>
      <c r="G303" s="69">
        <f>IF(C303="",F303,0)</f>
        <v>25</v>
      </c>
      <c r="H303" s="69">
        <f>IF(C303="",F303,0)</f>
        <v>25</v>
      </c>
      <c r="I303" s="69">
        <f>IF(C303="",1,0)</f>
        <v>1</v>
      </c>
      <c r="K303" s="74"/>
    </row>
    <row r="304" spans="1:26" x14ac:dyDescent="0.2">
      <c r="B304" s="138">
        <f>$J$3</f>
        <v>2</v>
      </c>
      <c r="C304" s="86"/>
      <c r="D304" s="87" t="str">
        <f>IF(C304&lt;&gt;"",VLOOKUP(C304,'Dummy Table'!$B$3:$C$30,2,FALSE),"")</f>
        <v/>
      </c>
      <c r="E304" s="87" t="str">
        <f>IF(C304&lt;&gt;"",VLOOKUP(C304,'Dummy Table'!$B$3:$D$30,3,FALSE),"")</f>
        <v/>
      </c>
      <c r="F304" s="137">
        <v>18</v>
      </c>
      <c r="H304" s="69">
        <f>IF(C304="",F304,0)</f>
        <v>18</v>
      </c>
      <c r="K304" s="74"/>
    </row>
    <row r="305" spans="1:26" x14ac:dyDescent="0.2">
      <c r="B305" s="138">
        <f>$J$4</f>
        <v>3</v>
      </c>
      <c r="C305" s="86"/>
      <c r="D305" s="87" t="str">
        <f>IF(C305&lt;&gt;"",VLOOKUP(C305,'Dummy Table'!$B$3:$C$30,2,FALSE),"")</f>
        <v/>
      </c>
      <c r="E305" s="87" t="str">
        <f>IF(C305&lt;&gt;"",VLOOKUP(C305,'Dummy Table'!$B$3:$D$30,3,FALSE),"")</f>
        <v/>
      </c>
      <c r="F305" s="137">
        <v>15</v>
      </c>
    </row>
    <row r="306" spans="1:26" x14ac:dyDescent="0.2">
      <c r="B306" s="138">
        <f>$J$5</f>
        <v>4</v>
      </c>
      <c r="C306" s="86"/>
      <c r="D306" s="87" t="str">
        <f>IF(C306&lt;&gt;"",VLOOKUP(C306,'Dummy Table'!$B$3:$C$30,2,FALSE),"")</f>
        <v/>
      </c>
      <c r="E306" s="87" t="str">
        <f>IF(C306&lt;&gt;"",VLOOKUP(C306,'Dummy Table'!$B$3:$D$30,3,FALSE),"")</f>
        <v/>
      </c>
      <c r="F306" s="137">
        <v>12</v>
      </c>
      <c r="K306" s="79"/>
    </row>
    <row r="307" spans="1:26" x14ac:dyDescent="0.2">
      <c r="B307" s="138">
        <f>$J$6</f>
        <v>5</v>
      </c>
      <c r="C307" s="86"/>
      <c r="D307" s="87" t="str">
        <f>IF(C307&lt;&gt;"",VLOOKUP(C307,'Dummy Table'!$B$3:$C$30,2,FALSE),"")</f>
        <v/>
      </c>
      <c r="E307" s="87" t="str">
        <f>IF(C307&lt;&gt;"",VLOOKUP(C307,'Dummy Table'!$B$3:$D$30,3,FALSE),"")</f>
        <v/>
      </c>
      <c r="F307" s="137">
        <v>10</v>
      </c>
    </row>
    <row r="308" spans="1:26" x14ac:dyDescent="0.2">
      <c r="B308" s="138">
        <f>$J$7</f>
        <v>6</v>
      </c>
      <c r="C308" s="86"/>
      <c r="D308" s="87" t="str">
        <f>IF(C308&lt;&gt;"",VLOOKUP(C308,'Dummy Table'!$B$3:$C$30,2,FALSE),"")</f>
        <v/>
      </c>
      <c r="E308" s="87" t="str">
        <f>IF(C308&lt;&gt;"",VLOOKUP(C308,'Dummy Table'!$B$3:$D$30,3,FALSE),"")</f>
        <v/>
      </c>
      <c r="F308" s="137">
        <v>8</v>
      </c>
      <c r="K308" s="74"/>
    </row>
    <row r="309" spans="1:26" x14ac:dyDescent="0.2">
      <c r="B309" s="138">
        <f>$J$8</f>
        <v>7</v>
      </c>
      <c r="C309" s="86"/>
      <c r="D309" s="87" t="str">
        <f>IF(C309&lt;&gt;"",VLOOKUP(C309,'Dummy Table'!$B$3:$C$30,2,FALSE),"")</f>
        <v/>
      </c>
      <c r="E309" s="87" t="str">
        <f>IF(C309&lt;&gt;"",VLOOKUP(C309,'Dummy Table'!$B$3:$D$30,3,FALSE),"")</f>
        <v/>
      </c>
      <c r="F309" s="137">
        <v>6</v>
      </c>
      <c r="K309" s="74"/>
    </row>
    <row r="310" spans="1:26" x14ac:dyDescent="0.2">
      <c r="B310" s="138">
        <f>$J$9</f>
        <v>8</v>
      </c>
      <c r="C310" s="86"/>
      <c r="D310" s="87" t="str">
        <f>IF(C310&lt;&gt;"",VLOOKUP(C310,'Dummy Table'!$B$3:$C$30,2,FALSE),"")</f>
        <v/>
      </c>
      <c r="E310" s="87" t="str">
        <f>IF(C310&lt;&gt;"",VLOOKUP(C310,'Dummy Table'!$B$3:$D$30,3,FALSE),"")</f>
        <v/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/>
      <c r="D311" s="87" t="str">
        <f>IF(C311&lt;&gt;"",VLOOKUP(C311,'Dummy Table'!$B$3:$C$30,2,FALSE),"")</f>
        <v/>
      </c>
      <c r="E311" s="87" t="str">
        <f>IF(C311&lt;&gt;"",VLOOKUP(C311,'Dummy Table'!$B$3:$D$30,3,FALSE),"")</f>
        <v/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/>
      <c r="D312" s="87" t="str">
        <f>IF(C312&lt;&gt;"",VLOOKUP(C312,'Dummy Table'!$B$3:$C$30,2,FALSE),"")</f>
        <v/>
      </c>
      <c r="E312" s="87" t="str">
        <f>IF(C312&lt;&gt;"",VLOOKUP(C312,'Dummy Table'!$B$3:$D$30,3,FALSE),"")</f>
        <v/>
      </c>
      <c r="F312" s="137">
        <v>1</v>
      </c>
      <c r="K312" s="74"/>
    </row>
    <row r="313" spans="1:26" x14ac:dyDescent="0.2">
      <c r="B313" s="138">
        <f>$J$12</f>
        <v>11</v>
      </c>
      <c r="C313" s="86"/>
      <c r="D313" s="87" t="str">
        <f>IF(C313&lt;&gt;"",VLOOKUP(C313,'Dummy Table'!$B$3:$C$30,2,FALSE),"")</f>
        <v/>
      </c>
      <c r="E313" s="87" t="str">
        <f>IF(C313&lt;&gt;"",VLOOKUP(C313,'Dummy Table'!$B$3:$D$30,3,FALSE),"")</f>
        <v/>
      </c>
      <c r="F313" s="139"/>
      <c r="K313" s="74"/>
    </row>
    <row r="314" spans="1:26" x14ac:dyDescent="0.2">
      <c r="B314" s="138">
        <f>$J$13</f>
        <v>12</v>
      </c>
      <c r="C314" s="86"/>
      <c r="D314" s="87" t="str">
        <f>IF(C314&lt;&gt;"",VLOOKUP(C314,'Dummy Table'!$B$3:$C$30,2,FALSE),"")</f>
        <v/>
      </c>
      <c r="E314" s="87" t="str">
        <f>IF(C314&lt;&gt;"",VLOOKUP(C314,'Dummy Table'!$B$3:$D$30,3,FALSE),"")</f>
        <v/>
      </c>
      <c r="F314" s="139"/>
      <c r="K314" s="74"/>
    </row>
    <row r="315" spans="1:26" x14ac:dyDescent="0.2">
      <c r="B315" s="138">
        <f>$J$14</f>
        <v>13</v>
      </c>
      <c r="C315" s="86"/>
      <c r="D315" s="87" t="str">
        <f>IF(C315&lt;&gt;"",VLOOKUP(C315,'Dummy Table'!$B$3:$C$30,2,FALSE),"")</f>
        <v/>
      </c>
      <c r="E315" s="87" t="str">
        <f>IF(C315&lt;&gt;"",VLOOKUP(C315,'Dummy Table'!$B$3:$D$30,3,FALSE),"")</f>
        <v/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/>
      <c r="D316" s="87" t="str">
        <f>IF(C316&lt;&gt;"",VLOOKUP(C316,'Dummy Table'!$B$3:$C$30,2,FALSE),"")</f>
        <v/>
      </c>
      <c r="E316" s="87" t="str">
        <f>IF(C316&lt;&gt;"",VLOOKUP(C316,'Dummy Table'!$B$3:$D$30,3,FALSE),"")</f>
        <v/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/>
      <c r="D317" s="87" t="str">
        <f>IF(C317&lt;&gt;"",VLOOKUP(C317,'Dummy Table'!$B$3:$C$30,2,FALSE),"")</f>
        <v/>
      </c>
      <c r="E317" s="87" t="str">
        <f>IF(C317&lt;&gt;"",VLOOKUP(C317,'Dummy Table'!$B$3:$D$30,3,FALSE),"")</f>
        <v/>
      </c>
      <c r="F317" s="139"/>
      <c r="G317" s="75"/>
      <c r="H317" s="75"/>
      <c r="I317" s="75"/>
      <c r="K317" s="74"/>
    </row>
    <row r="318" spans="1:26" x14ac:dyDescent="0.2">
      <c r="B318" s="138">
        <f>$J$17</f>
        <v>16</v>
      </c>
      <c r="C318" s="86"/>
      <c r="D318" s="87" t="str">
        <f>IF(C318&lt;&gt;"",VLOOKUP(C318,'Dummy Table'!$B$3:$C$30,2,FALSE),"")</f>
        <v/>
      </c>
      <c r="E318" s="87" t="str">
        <f>IF(C318&lt;&gt;"",VLOOKUP(C318,'Dummy Table'!$B$3:$D$30,3,FALSE),"")</f>
        <v/>
      </c>
      <c r="F318" s="139"/>
      <c r="G318" s="75"/>
      <c r="H318" s="75"/>
      <c r="I318" s="75"/>
      <c r="K318" s="74"/>
    </row>
    <row r="319" spans="1:26" x14ac:dyDescent="0.2">
      <c r="B319" s="138">
        <f>$J$18</f>
        <v>17</v>
      </c>
      <c r="C319" s="86"/>
      <c r="D319" s="87" t="str">
        <f>IF(C319&lt;&gt;"",VLOOKUP(C319,'Dummy Table'!$B$3:$C$30,2,FALSE),"")</f>
        <v/>
      </c>
      <c r="E319" s="87" t="str">
        <f>IF(C319&lt;&gt;"",VLOOKUP(C319,'Dummy Table'!$B$3:$D$30,3,FALSE),"")</f>
        <v/>
      </c>
      <c r="F319" s="139"/>
      <c r="G319" s="75"/>
      <c r="H319" s="75"/>
      <c r="I319" s="75"/>
    </row>
    <row r="320" spans="1:26" x14ac:dyDescent="0.2">
      <c r="B320" s="138">
        <f>$J$19</f>
        <v>18</v>
      </c>
      <c r="C320" s="86"/>
      <c r="D320" s="87" t="str">
        <f>IF(C320&lt;&gt;"",VLOOKUP(C320,'Dummy Table'!$B$3:$C$30,2,FALSE),"")</f>
        <v/>
      </c>
      <c r="E320" s="87" t="str">
        <f>IF(C320&lt;&gt;"",VLOOKUP(C320,'Dummy Table'!$B$3:$D$30,3,FALSE),"")</f>
        <v/>
      </c>
      <c r="F320" s="139"/>
      <c r="G320" s="75"/>
      <c r="H320" s="75"/>
      <c r="I320" s="75"/>
      <c r="K320" s="79"/>
    </row>
    <row r="321" spans="1:26" x14ac:dyDescent="0.2">
      <c r="B321" s="138">
        <f>$J$20</f>
        <v>19</v>
      </c>
      <c r="C321" s="86"/>
      <c r="D321" s="87" t="str">
        <f>IF(C321&lt;&gt;"",VLOOKUP(C321,'Dummy Table'!$B$3:$C$30,2,FALSE),"")</f>
        <v/>
      </c>
      <c r="E321" s="87" t="str">
        <f>IF(C321&lt;&gt;"",VLOOKUP(C321,'Dummy Table'!$B$3:$D$30,3,FALSE),"")</f>
        <v/>
      </c>
      <c r="F321" s="139"/>
      <c r="G321" s="75"/>
      <c r="H321" s="75"/>
      <c r="I321" s="75"/>
    </row>
    <row r="322" spans="1:26" x14ac:dyDescent="0.2">
      <c r="B322" s="138">
        <f>$J$21</f>
        <v>20</v>
      </c>
      <c r="C322" s="86"/>
      <c r="D322" s="87" t="str">
        <f>IF(C322&lt;&gt;"",VLOOKUP(C322,'Dummy Table'!$B$3:$C$30,2,FALSE),"")</f>
        <v/>
      </c>
      <c r="E322" s="87" t="str">
        <f>IF(C322&lt;&gt;"",VLOOKUP(C322,'Dummy Table'!$B$3:$D$30,3,FALSE),"")</f>
        <v/>
      </c>
      <c r="F322" s="139"/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/>
      <c r="D323" s="87" t="str">
        <f>IF(C323&lt;&gt;"",VLOOKUP(C323,'Dummy Table'!$B$3:$C$30,2,FALSE),"")</f>
        <v/>
      </c>
      <c r="E323" s="87" t="str">
        <f>IF(C323&lt;&gt;"",VLOOKUP(C323,'Dummy Table'!$B$3:$D$30,3,FALSE),"")</f>
        <v/>
      </c>
      <c r="F323" s="139"/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/>
      <c r="D324" s="87" t="str">
        <f>IF(C324&lt;&gt;"",VLOOKUP(C324,'Dummy Table'!$B$3:$C$30,2,FALSE),"")</f>
        <v/>
      </c>
      <c r="E324" s="87" t="str">
        <f>IF(C324&lt;&gt;"",VLOOKUP(C324,'Dummy Table'!$B$3:$D$30,3,FALSE),"")</f>
        <v/>
      </c>
      <c r="F324" s="139"/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/>
      <c r="D327" s="89" t="str">
        <f>IF(C327&lt;&gt;"",VLOOKUP(C327,'Dummy Table'!$B$3:$C$30,2,FALSE),"")</f>
        <v/>
      </c>
      <c r="E327" s="89" t="str">
        <f>IF(C327&lt;&gt;"",VLOOKUP(C327,'Dummy Table'!$B$3:$D$30,3,FALSE),"")</f>
        <v/>
      </c>
      <c r="F327" s="142"/>
      <c r="H327" s="75"/>
      <c r="K327" s="74"/>
    </row>
    <row r="328" spans="1:26" ht="13.5" thickBot="1" x14ac:dyDescent="0.25">
      <c r="B328" s="143" t="s">
        <v>234</v>
      </c>
      <c r="C328" s="144"/>
      <c r="D328" s="145" t="str">
        <f>IF(C328&lt;&gt;"",VLOOKUP(C328,'Dummy Table'!$B$3:$C$30,2,FALSE),"")</f>
        <v/>
      </c>
      <c r="E328" s="145" t="str">
        <f>IF(C328&lt;&gt;"",VLOOKUP(C328,'Dummy Table'!$B$3:$D$30,3,FALSE),"")</f>
        <v/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1" t="str">
        <f>VLOOKUP($A329,'Calendário atual'!$A$2:$E$30,4,FALSE)</f>
        <v>FORMULA 1 LENOVO AUSTRIAN GRAND PRIX 2026</v>
      </c>
      <c r="D329" s="171"/>
      <c r="E329" s="171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/>
      <c r="D331" s="87" t="str">
        <f>IF(C331&lt;&gt;"",VLOOKUP(C331,'Dummy Table'!$B$3:$C$30,2,FALSE),"")</f>
        <v/>
      </c>
      <c r="E331" s="87" t="str">
        <f>IF(C331&lt;&gt;"",VLOOKUP(C331,'Dummy Table'!$B$3:$D$30,3,FALSE),"")</f>
        <v/>
      </c>
      <c r="F331" s="137">
        <v>25</v>
      </c>
      <c r="G331" s="69">
        <f>IF(C331="",F331,0)</f>
        <v>25</v>
      </c>
      <c r="H331" s="69">
        <f>IF(C331="",F331,0)</f>
        <v>25</v>
      </c>
      <c r="I331" s="69">
        <f>IF(C331="",1,0)</f>
        <v>1</v>
      </c>
      <c r="K331" s="74"/>
    </row>
    <row r="332" spans="1:26" x14ac:dyDescent="0.2">
      <c r="B332" s="138">
        <f>$J$3</f>
        <v>2</v>
      </c>
      <c r="C332" s="86"/>
      <c r="D332" s="87" t="str">
        <f>IF(C332&lt;&gt;"",VLOOKUP(C332,'Dummy Table'!$B$3:$C$30,2,FALSE),"")</f>
        <v/>
      </c>
      <c r="E332" s="87" t="str">
        <f>IF(C332&lt;&gt;"",VLOOKUP(C332,'Dummy Table'!$B$3:$D$30,3,FALSE),"")</f>
        <v/>
      </c>
      <c r="F332" s="137">
        <v>18</v>
      </c>
      <c r="H332" s="69">
        <f>IF(C332="",F332,0)</f>
        <v>18</v>
      </c>
      <c r="K332" s="74"/>
    </row>
    <row r="333" spans="1:26" x14ac:dyDescent="0.2">
      <c r="B333" s="138">
        <f>$J$4</f>
        <v>3</v>
      </c>
      <c r="C333" s="86"/>
      <c r="D333" s="87" t="str">
        <f>IF(C333&lt;&gt;"",VLOOKUP(C333,'Dummy Table'!$B$3:$C$30,2,FALSE),"")</f>
        <v/>
      </c>
      <c r="E333" s="87" t="str">
        <f>IF(C333&lt;&gt;"",VLOOKUP(C333,'Dummy Table'!$B$3:$D$30,3,FALSE),"")</f>
        <v/>
      </c>
      <c r="F333" s="137">
        <v>15</v>
      </c>
    </row>
    <row r="334" spans="1:26" x14ac:dyDescent="0.2">
      <c r="B334" s="138">
        <f>$J$5</f>
        <v>4</v>
      </c>
      <c r="C334" s="86"/>
      <c r="D334" s="87" t="str">
        <f>IF(C334&lt;&gt;"",VLOOKUP(C334,'Dummy Table'!$B$3:$C$30,2,FALSE),"")</f>
        <v/>
      </c>
      <c r="E334" s="87" t="str">
        <f>IF(C334&lt;&gt;"",VLOOKUP(C334,'Dummy Table'!$B$3:$D$30,3,FALSE),"")</f>
        <v/>
      </c>
      <c r="F334" s="137">
        <v>12</v>
      </c>
      <c r="K334" s="79"/>
    </row>
    <row r="335" spans="1:26" x14ac:dyDescent="0.2">
      <c r="B335" s="138">
        <f>$J$6</f>
        <v>5</v>
      </c>
      <c r="C335" s="86"/>
      <c r="D335" s="87" t="str">
        <f>IF(C335&lt;&gt;"",VLOOKUP(C335,'Dummy Table'!$B$3:$C$30,2,FALSE),"")</f>
        <v/>
      </c>
      <c r="E335" s="87" t="str">
        <f>IF(C335&lt;&gt;"",VLOOKUP(C335,'Dummy Table'!$B$3:$D$30,3,FALSE),"")</f>
        <v/>
      </c>
      <c r="F335" s="137">
        <v>10</v>
      </c>
    </row>
    <row r="336" spans="1:26" x14ac:dyDescent="0.2">
      <c r="B336" s="138">
        <f>$J$7</f>
        <v>6</v>
      </c>
      <c r="C336" s="86"/>
      <c r="D336" s="87" t="str">
        <f>IF(C336&lt;&gt;"",VLOOKUP(C336,'Dummy Table'!$B$3:$C$30,2,FALSE),"")</f>
        <v/>
      </c>
      <c r="E336" s="87" t="str">
        <f>IF(C336&lt;&gt;"",VLOOKUP(C336,'Dummy Table'!$B$3:$D$30,3,FALSE),"")</f>
        <v/>
      </c>
      <c r="F336" s="137">
        <v>8</v>
      </c>
      <c r="K336" s="74"/>
    </row>
    <row r="337" spans="1:26" x14ac:dyDescent="0.2">
      <c r="B337" s="138">
        <f>$J$8</f>
        <v>7</v>
      </c>
      <c r="C337" s="86"/>
      <c r="D337" s="87" t="str">
        <f>IF(C337&lt;&gt;"",VLOOKUP(C337,'Dummy Table'!$B$3:$C$30,2,FALSE),"")</f>
        <v/>
      </c>
      <c r="E337" s="87" t="str">
        <f>IF(C337&lt;&gt;"",VLOOKUP(C337,'Dummy Table'!$B$3:$D$30,3,FALSE),"")</f>
        <v/>
      </c>
      <c r="F337" s="137">
        <v>6</v>
      </c>
      <c r="K337" s="74"/>
    </row>
    <row r="338" spans="1:26" x14ac:dyDescent="0.2">
      <c r="B338" s="138">
        <f>$J$9</f>
        <v>8</v>
      </c>
      <c r="C338" s="86"/>
      <c r="D338" s="87" t="str">
        <f>IF(C338&lt;&gt;"",VLOOKUP(C338,'Dummy Table'!$B$3:$C$30,2,FALSE),"")</f>
        <v/>
      </c>
      <c r="E338" s="87" t="str">
        <f>IF(C338&lt;&gt;"",VLOOKUP(C338,'Dummy Table'!$B$3:$D$30,3,FALSE),"")</f>
        <v/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/>
      <c r="D339" s="87" t="str">
        <f>IF(C339&lt;&gt;"",VLOOKUP(C339,'Dummy Table'!$B$3:$C$30,2,FALSE),"")</f>
        <v/>
      </c>
      <c r="E339" s="87" t="str">
        <f>IF(C339&lt;&gt;"",VLOOKUP(C339,'Dummy Table'!$B$3:$D$30,3,FALSE),"")</f>
        <v/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/>
      <c r="D340" s="87" t="str">
        <f>IF(C340&lt;&gt;"",VLOOKUP(C340,'Dummy Table'!$B$3:$C$30,2,FALSE),"")</f>
        <v/>
      </c>
      <c r="E340" s="87" t="str">
        <f>IF(C340&lt;&gt;"",VLOOKUP(C340,'Dummy Table'!$B$3:$D$30,3,FALSE),"")</f>
        <v/>
      </c>
      <c r="F340" s="137">
        <v>1</v>
      </c>
      <c r="K340" s="74"/>
    </row>
    <row r="341" spans="1:26" x14ac:dyDescent="0.2">
      <c r="B341" s="138">
        <f>$J$12</f>
        <v>11</v>
      </c>
      <c r="C341" s="86"/>
      <c r="D341" s="87" t="str">
        <f>IF(C341&lt;&gt;"",VLOOKUP(C341,'Dummy Table'!$B$3:$C$30,2,FALSE),"")</f>
        <v/>
      </c>
      <c r="E341" s="87" t="str">
        <f>IF(C341&lt;&gt;"",VLOOKUP(C341,'Dummy Table'!$B$3:$D$30,3,FALSE),"")</f>
        <v/>
      </c>
      <c r="F341" s="139"/>
      <c r="K341" s="74"/>
    </row>
    <row r="342" spans="1:26" x14ac:dyDescent="0.2">
      <c r="B342" s="138">
        <f>$J$13</f>
        <v>12</v>
      </c>
      <c r="C342" s="86"/>
      <c r="D342" s="87" t="str">
        <f>IF(C342&lt;&gt;"",VLOOKUP(C342,'Dummy Table'!$B$3:$C$30,2,FALSE),"")</f>
        <v/>
      </c>
      <c r="E342" s="87" t="str">
        <f>IF(C342&lt;&gt;"",VLOOKUP(C342,'Dummy Table'!$B$3:$D$30,3,FALSE),"")</f>
        <v/>
      </c>
      <c r="F342" s="139"/>
      <c r="K342" s="74"/>
    </row>
    <row r="343" spans="1:26" x14ac:dyDescent="0.2">
      <c r="B343" s="138">
        <f>$J$14</f>
        <v>13</v>
      </c>
      <c r="C343" s="86"/>
      <c r="D343" s="87" t="str">
        <f>IF(C343&lt;&gt;"",VLOOKUP(C343,'Dummy Table'!$B$3:$C$30,2,FALSE),"")</f>
        <v/>
      </c>
      <c r="E343" s="87" t="str">
        <f>IF(C343&lt;&gt;"",VLOOKUP(C343,'Dummy Table'!$B$3:$D$30,3,FALSE),"")</f>
        <v/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/>
      <c r="D344" s="87" t="str">
        <f>IF(C344&lt;&gt;"",VLOOKUP(C344,'Dummy Table'!$B$3:$C$30,2,FALSE),"")</f>
        <v/>
      </c>
      <c r="E344" s="87" t="str">
        <f>IF(C344&lt;&gt;"",VLOOKUP(C344,'Dummy Table'!$B$3:$D$30,3,FALSE),"")</f>
        <v/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/>
      <c r="D345" s="87" t="str">
        <f>IF(C345&lt;&gt;"",VLOOKUP(C345,'Dummy Table'!$B$3:$C$30,2,FALSE),"")</f>
        <v/>
      </c>
      <c r="E345" s="87" t="str">
        <f>IF(C345&lt;&gt;"",VLOOKUP(C345,'Dummy Table'!$B$3:$D$30,3,FALSE),"")</f>
        <v/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/>
      <c r="D346" s="87" t="str">
        <f>IF(C346&lt;&gt;"",VLOOKUP(C346,'Dummy Table'!$B$3:$C$30,2,FALSE),"")</f>
        <v/>
      </c>
      <c r="E346" s="87" t="str">
        <f>IF(C346&lt;&gt;"",VLOOKUP(C346,'Dummy Table'!$B$3:$D$30,3,FALSE),"")</f>
        <v/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/>
      <c r="D347" s="87" t="str">
        <f>IF(C347&lt;&gt;"",VLOOKUP(C347,'Dummy Table'!$B$3:$C$30,2,FALSE),"")</f>
        <v/>
      </c>
      <c r="E347" s="87" t="str">
        <f>IF(C347&lt;&gt;"",VLOOKUP(C347,'Dummy Table'!$B$3:$D$30,3,FALSE),"")</f>
        <v/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/>
      <c r="D348" s="87" t="str">
        <f>IF(C348&lt;&gt;"",VLOOKUP(C348,'Dummy Table'!$B$3:$C$30,2,FALSE),"")</f>
        <v/>
      </c>
      <c r="E348" s="87" t="str">
        <f>IF(C348&lt;&gt;"",VLOOKUP(C348,'Dummy Table'!$B$3:$D$30,3,FALSE),"")</f>
        <v/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/>
      <c r="D349" s="87" t="str">
        <f>IF(C349&lt;&gt;"",VLOOKUP(C349,'Dummy Table'!$B$3:$C$30,2,FALSE),"")</f>
        <v/>
      </c>
      <c r="E349" s="87" t="str">
        <f>IF(C349&lt;&gt;"",VLOOKUP(C349,'Dummy Table'!$B$3:$D$30,3,FALSE),"")</f>
        <v/>
      </c>
      <c r="F349" s="139"/>
      <c r="G349" s="75"/>
      <c r="H349" s="75"/>
      <c r="I349" s="75"/>
    </row>
    <row r="350" spans="1:26" x14ac:dyDescent="0.2">
      <c r="B350" s="138">
        <f>$J$21</f>
        <v>20</v>
      </c>
      <c r="C350" s="86"/>
      <c r="D350" s="87" t="str">
        <f>IF(C350&lt;&gt;"",VLOOKUP(C350,'Dummy Table'!$B$3:$C$30,2,FALSE),"")</f>
        <v/>
      </c>
      <c r="E350" s="87" t="str">
        <f>IF(C350&lt;&gt;"",VLOOKUP(C350,'Dummy Table'!$B$3:$D$30,3,FALSE),"")</f>
        <v/>
      </c>
      <c r="F350" s="139"/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/>
      <c r="D351" s="87" t="str">
        <f>IF(C351&lt;&gt;"",VLOOKUP(C351,'Dummy Table'!$B$3:$C$30,2,FALSE),"")</f>
        <v/>
      </c>
      <c r="E351" s="87" t="str">
        <f>IF(C351&lt;&gt;"",VLOOKUP(C351,'Dummy Table'!$B$3:$D$30,3,FALSE),"")</f>
        <v/>
      </c>
      <c r="F351" s="139"/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/>
      <c r="D352" s="87" t="str">
        <f>IF(C352&lt;&gt;"",VLOOKUP(C352,'Dummy Table'!$B$3:$C$30,2,FALSE),"")</f>
        <v/>
      </c>
      <c r="E352" s="87" t="str">
        <f>IF(C352&lt;&gt;"",VLOOKUP(C352,'Dummy Table'!$B$3:$D$30,3,FALSE),"")</f>
        <v/>
      </c>
      <c r="F352" s="139"/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/>
      <c r="D355" s="89" t="str">
        <f>IF(C355&lt;&gt;"",VLOOKUP(C355,'Dummy Table'!$B$3:$C$30,2,FALSE),"")</f>
        <v/>
      </c>
      <c r="E355" s="89" t="str">
        <f>IF(C355&lt;&gt;"",VLOOKUP(C355,'Dummy Table'!$B$3:$D$30,3,FALSE),"")</f>
        <v/>
      </c>
      <c r="F355" s="142"/>
      <c r="H355" s="75"/>
      <c r="K355" s="74"/>
    </row>
    <row r="356" spans="1:26" ht="13.5" thickBot="1" x14ac:dyDescent="0.25">
      <c r="B356" s="143" t="s">
        <v>234</v>
      </c>
      <c r="C356" s="144"/>
      <c r="D356" s="145" t="str">
        <f>IF(C356&lt;&gt;"",VLOOKUP(C356,'Dummy Table'!$B$3:$C$30,2,FALSE),"")</f>
        <v/>
      </c>
      <c r="E356" s="145" t="str">
        <f>IF(C356&lt;&gt;"",VLOOKUP(C356,'Dummy Table'!$B$3:$D$30,3,FALSE),"")</f>
        <v/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1" t="str">
        <f>VLOOKUP($A357,'Calendário atual'!$A$2:$E$30,4,FALSE)</f>
        <v>FORMULA 1 PIRELLI BRITISH GRAND PRIX 2026</v>
      </c>
      <c r="D357" s="171"/>
      <c r="E357" s="171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 t="str">
        <f>IF(C380&lt;&gt;"",VLOOKUP(C380,'Dummy Table'!$B$3:$C$30,2,FALSE),"")</f>
        <v/>
      </c>
      <c r="E380" s="87" t="str">
        <f>IF(C380&lt;&gt;"",VLOOKUP(C380,'Dummy Table'!$B$3:$D$30,3,FALSE),"")</f>
        <v/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 t="str">
        <f>IF(C381&lt;&gt;"",VLOOKUP(C381,'Dummy Table'!$B$3:$C$30,2,FALSE),"")</f>
        <v/>
      </c>
      <c r="E381" s="87" t="str">
        <f>IF(C381&lt;&gt;"",VLOOKUP(C381,'Dummy Table'!$B$3:$D$30,3,FALSE),"")</f>
        <v/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1" t="str">
        <f>VLOOKUP($A410,'Calendário atual'!$A$2:$E$30,4,FALSE)</f>
        <v>FORMULA 1 MOËT &amp; CHANDON BELGIAN GRAND PRIX 2026</v>
      </c>
      <c r="D410" s="171"/>
      <c r="E410" s="171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1" t="str">
        <f>VLOOKUP($A438,'Calendário atual'!$A$2:$E$30,4,FALSE)</f>
        <v>FORMULA 1 AWS HUNGARIAN GRAND PRIX 2026</v>
      </c>
      <c r="D438" s="171"/>
      <c r="E438" s="171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1" t="str">
        <f>VLOOKUP($A466,'Calendário atual'!$A$2:$E$30,4,FALSE)</f>
        <v>FORMULA 1 HEINEKEN DUTCH GRAND PRIX 2026</v>
      </c>
      <c r="D466" s="171"/>
      <c r="E466" s="171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 t="str">
        <f>IF(C489&lt;&gt;"",VLOOKUP(C489,'Dummy Table'!$B$3:$C$30,2,FALSE),"")</f>
        <v/>
      </c>
      <c r="E489" s="87" t="str">
        <f>IF(C489&lt;&gt;"",VLOOKUP(C489,'Dummy Table'!$B$3:$D$30,3,FALSE),"")</f>
        <v/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 t="str">
        <f>IF(C490&lt;&gt;"",VLOOKUP(C490,'Dummy Table'!$B$3:$C$30,2,FALSE),"")</f>
        <v/>
      </c>
      <c r="E490" s="87" t="str">
        <f>IF(C490&lt;&gt;"",VLOOKUP(C490,'Dummy Table'!$B$3:$D$30,3,FALSE),"")</f>
        <v/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1" t="str">
        <f>VLOOKUP($A519,'Calendário atual'!$A$2:$E$30,4,FALSE)</f>
        <v>FORMULA 1 PIRELLI GRAN PREMIO D’ITALIA 2026</v>
      </c>
      <c r="D519" s="171"/>
      <c r="E519" s="171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1" t="str">
        <f>VLOOKUP($A547,'Calendário atual'!$A$2:$E$30,4,FALSE)</f>
        <v>FORMULA 1 TAG HEUER GRAN PREMIO DE ESPAÑA 2026</v>
      </c>
      <c r="D547" s="171"/>
      <c r="E547" s="171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1" t="str">
        <f>VLOOKUP($A575,'Calendário atual'!$A$2:$E$30,4,FALSE)</f>
        <v>FORMULA 1 QATAR AIRWAYS AZERBAIJAN GRAND PRIX 2026</v>
      </c>
      <c r="D575" s="171"/>
      <c r="E575" s="171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1" t="str">
        <f>VLOOKUP($A603,'Calendário atual'!$A$2:$E$30,4,FALSE)</f>
        <v>FORMULA 1 SINGAPORE AIRLINES SINGAPORE GRAND PRIX 2026</v>
      </c>
      <c r="D603" s="171"/>
      <c r="E603" s="171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 t="str">
        <f>IF(C626&lt;&gt;"",VLOOKUP(C626,'Dummy Table'!$B$3:$C$30,2,FALSE),"")</f>
        <v/>
      </c>
      <c r="E626" s="87" t="str">
        <f>IF(C626&lt;&gt;"",VLOOKUP(C626,'Dummy Table'!$B$3:$D$30,3,FALSE),"")</f>
        <v/>
      </c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 t="str">
        <f>IF(C627&lt;&gt;"",VLOOKUP(C627,'Dummy Table'!$B$3:$C$30,2,FALSE),"")</f>
        <v/>
      </c>
      <c r="E627" s="87" t="str">
        <f>IF(C627&lt;&gt;"",VLOOKUP(C627,'Dummy Table'!$B$3:$D$30,3,FALSE),"")</f>
        <v/>
      </c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1" t="str">
        <f>VLOOKUP($A656,'Calendário atual'!$A$2:$E$30,4,FALSE)</f>
        <v>FORMULA 1 MSC CRUISES UNITED STATES GRAND PRIX 2026</v>
      </c>
      <c r="D656" s="171"/>
      <c r="E656" s="171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1" t="str">
        <f>VLOOKUP($A684,'Calendário atual'!$A$2:$E$30,4,FALSE)</f>
        <v>FORMULA 1 GRAN PREMIO DE LA CIUDAD DE MÉXICO 2026</v>
      </c>
      <c r="D684" s="171"/>
      <c r="E684" s="171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1" t="str">
        <f>VLOOKUP($A712,'Calendário atual'!$A$2:$E$30,4,FALSE)</f>
        <v>FORMULA 1 MSC CRUISES GRANDE PRÊMIO DE SÃO PAULO 2026</v>
      </c>
      <c r="D712" s="171"/>
      <c r="E712" s="171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1" t="str">
        <f>VLOOKUP($A740,'Calendário atual'!$A$2:$E$30,4,FALSE)</f>
        <v>FORMULA 1 HEINEKEN LAS VEGAS GRAND PRIX 2026</v>
      </c>
      <c r="D740" s="171"/>
      <c r="E740" s="171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1" t="str">
        <f>VLOOKUP($A768,'Calendário atual'!$A$2:$E$30,4,FALSE)</f>
        <v>FORMULA 1 QATAR AIRWAYS QATAR GRAND PRIX 2026</v>
      </c>
      <c r="D768" s="171"/>
      <c r="E768" s="171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1" t="str">
        <f>VLOOKUP($A796,'Calendário atual'!$A$2:$E$30,4,FALSE)</f>
        <v>FORMULA 1 ETIHAD AIRWAYS ABU DHABI GRAND PRIX 2026</v>
      </c>
      <c r="D796" s="171"/>
      <c r="E796" s="171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efweMcjYrk0WP2G2DxQ/3ib6y/RwvWd/U4Nxo6v1VkWXRxGXfSG7ukaIGgjpu+4vmGulDd8BARSEm3IY/6x2qw==" saltValue="GZkroV6jETmebmL8RmHg7g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430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410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430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429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403</v>
      </c>
      <c r="J11" s="50" t="s">
        <v>21</v>
      </c>
      <c r="K11" s="51" t="s">
        <v>403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412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398</v>
      </c>
      <c r="J13" s="50" t="s">
        <v>399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411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403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403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416</v>
      </c>
      <c r="D22" s="60">
        <v>43</v>
      </c>
      <c r="E22" s="59" t="s">
        <v>417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400</v>
      </c>
      <c r="D23" s="60">
        <v>11</v>
      </c>
      <c r="E23" s="59" t="s">
        <v>296</v>
      </c>
      <c r="F23" s="51" t="s">
        <v>398</v>
      </c>
    </row>
    <row r="24" spans="2:6" ht="13.5" customHeight="1" x14ac:dyDescent="0.2">
      <c r="B24" s="57">
        <f t="shared" si="0"/>
        <v>22</v>
      </c>
      <c r="C24" s="63" t="s">
        <v>401</v>
      </c>
      <c r="D24" s="60">
        <v>77</v>
      </c>
      <c r="E24" s="59" t="s">
        <v>402</v>
      </c>
      <c r="F24" s="51" t="s">
        <v>398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413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4" t="s">
        <v>15</v>
      </c>
      <c r="D2" s="175"/>
      <c r="E2" s="30" t="s">
        <v>194</v>
      </c>
      <c r="G2" s="30" t="s">
        <v>179</v>
      </c>
      <c r="H2" s="174" t="s">
        <v>187</v>
      </c>
      <c r="I2" s="175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405</v>
      </c>
      <c r="G3" s="28">
        <v>16</v>
      </c>
      <c r="H3" s="15"/>
      <c r="I3" s="35" t="s">
        <v>0</v>
      </c>
      <c r="J3" s="26" t="s">
        <v>409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406</v>
      </c>
      <c r="G4" s="29">
        <v>10</v>
      </c>
      <c r="H4" s="15"/>
      <c r="I4" s="35" t="s">
        <v>19</v>
      </c>
      <c r="J4" s="27" t="s">
        <v>408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404</v>
      </c>
      <c r="G5" s="29">
        <v>9</v>
      </c>
      <c r="H5" s="18"/>
      <c r="I5" s="35" t="s">
        <v>12</v>
      </c>
      <c r="J5" s="26" t="s">
        <v>407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414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2026-03-16T13:00:36Z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