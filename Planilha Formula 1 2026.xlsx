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BA0C0E6E-E310-4622-B91B-D9D7BB324C15}" xr6:coauthVersionLast="47" xr6:coauthVersionMax="47" xr10:uidLastSave="{00000000-0000-0000-0000-000000000000}"/>
  <workbookProtection workbookAlgorithmName="SHA-512" workbookHashValue="UIPI3CSyJ7nPbD7TxqV6MRxoNucheJQQIhY3w/Tn8MgHnQ0dxSKbQam7nm35/as/wLqOe+mCsaV8hTqEoDCKAw==" workbookSaltValue="Nb0yPYTEie5UpKjsVSx90g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0" i="9" l="1"/>
  <c r="E37" i="9"/>
  <c r="D626" i="5"/>
  <c r="E626" i="5"/>
  <c r="D627" i="5"/>
  <c r="E627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H224" i="5" l="1"/>
  <c r="H223" i="5"/>
  <c r="G223" i="5"/>
  <c r="H361" i="5"/>
  <c r="H360" i="5"/>
  <c r="G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H494" i="5"/>
  <c r="I493" i="5"/>
  <c r="H493" i="5"/>
  <c r="G493" i="5"/>
  <c r="H465" i="5"/>
  <c r="E463" i="5"/>
  <c r="D463" i="5"/>
  <c r="E462" i="5"/>
  <c r="D462" i="5"/>
  <c r="H441" i="5"/>
  <c r="I440" i="5"/>
  <c r="H440" i="5"/>
  <c r="G440" i="5"/>
  <c r="H437" i="5"/>
  <c r="E435" i="5"/>
  <c r="D435" i="5"/>
  <c r="E434" i="5"/>
  <c r="D434" i="5"/>
  <c r="H413" i="5"/>
  <c r="I412" i="5"/>
  <c r="H412" i="5"/>
  <c r="G412" i="5"/>
  <c r="H409" i="5"/>
  <c r="E407" i="5"/>
  <c r="D407" i="5"/>
  <c r="E406" i="5"/>
  <c r="D406" i="5"/>
  <c r="H385" i="5"/>
  <c r="I384" i="5"/>
  <c r="H384" i="5"/>
  <c r="G384" i="5"/>
  <c r="H356" i="5"/>
  <c r="E354" i="5"/>
  <c r="D354" i="5"/>
  <c r="E353" i="5"/>
  <c r="D353" i="5"/>
  <c r="H332" i="5"/>
  <c r="I331" i="5"/>
  <c r="H331" i="5"/>
  <c r="G331" i="5"/>
  <c r="H328" i="5"/>
  <c r="E326" i="5"/>
  <c r="D326" i="5"/>
  <c r="E325" i="5"/>
  <c r="D325" i="5"/>
  <c r="H304" i="5"/>
  <c r="I303" i="5"/>
  <c r="H303" i="5"/>
  <c r="G303" i="5"/>
  <c r="H300" i="5"/>
  <c r="E298" i="5"/>
  <c r="D298" i="5"/>
  <c r="E297" i="5"/>
  <c r="D297" i="5"/>
  <c r="H276" i="5"/>
  <c r="I275" i="5"/>
  <c r="H275" i="5"/>
  <c r="G275" i="5"/>
  <c r="H272" i="5"/>
  <c r="E270" i="5"/>
  <c r="D270" i="5"/>
  <c r="E269" i="5"/>
  <c r="D269" i="5"/>
  <c r="H248" i="5"/>
  <c r="I247" i="5"/>
  <c r="H247" i="5"/>
  <c r="G247" i="5"/>
  <c r="H219" i="5"/>
  <c r="E217" i="5"/>
  <c r="D217" i="5"/>
  <c r="E216" i="5"/>
  <c r="D216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H86" i="5"/>
  <c r="I85" i="5"/>
  <c r="H85" i="5"/>
  <c r="G85" i="5"/>
  <c r="H82" i="5"/>
  <c r="E80" i="5"/>
  <c r="D80" i="5"/>
  <c r="E79" i="5"/>
  <c r="D79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K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E214" i="5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E267" i="5" s="1"/>
  <c r="B10" i="9"/>
  <c r="D10" i="9" s="1"/>
  <c r="B9" i="9"/>
  <c r="B8" i="9"/>
  <c r="B7" i="9"/>
  <c r="D7" i="9" s="1"/>
  <c r="E514" i="5" s="1"/>
  <c r="B6" i="9"/>
  <c r="C6" i="9" s="1"/>
  <c r="B5" i="9"/>
  <c r="C5" i="9" s="1"/>
  <c r="D433" i="5" s="1"/>
  <c r="B4" i="9"/>
  <c r="D4" i="9" s="1"/>
  <c r="B3" i="9"/>
  <c r="D25" i="5" l="1"/>
  <c r="D490" i="5"/>
  <c r="E78" i="5"/>
  <c r="E380" i="5"/>
  <c r="E238" i="5"/>
  <c r="E235" i="5"/>
  <c r="E375" i="5"/>
  <c r="D244" i="5"/>
  <c r="D379" i="5"/>
  <c r="D363" i="5"/>
  <c r="D223" i="5"/>
  <c r="D374" i="5"/>
  <c r="D237" i="5"/>
  <c r="E366" i="5"/>
  <c r="E226" i="5"/>
  <c r="E229" i="5"/>
  <c r="E365" i="5"/>
  <c r="E105" i="5"/>
  <c r="D360" i="5"/>
  <c r="D225" i="5"/>
  <c r="E242" i="5"/>
  <c r="E370" i="5"/>
  <c r="D371" i="5"/>
  <c r="D231" i="5"/>
  <c r="E241" i="5"/>
  <c r="E377" i="5"/>
  <c r="E228" i="5"/>
  <c r="E361" i="5"/>
  <c r="E376" i="5"/>
  <c r="E232" i="5"/>
  <c r="E296" i="5"/>
  <c r="E24" i="5"/>
  <c r="E324" i="5"/>
  <c r="E404" i="5"/>
  <c r="D233" i="5"/>
  <c r="D367" i="5"/>
  <c r="D405" i="5"/>
  <c r="B11" i="1"/>
  <c r="A5" i="17" s="1"/>
  <c r="I51" i="1"/>
  <c r="A42" i="17"/>
  <c r="K35" i="5"/>
  <c r="AQ29" i="9"/>
  <c r="BC9" i="9"/>
  <c r="D9" i="9"/>
  <c r="E34" i="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641" i="5"/>
  <c r="E473" i="5"/>
  <c r="E647" i="5"/>
  <c r="D643" i="5"/>
  <c r="D655" i="5"/>
  <c r="D637" i="5"/>
  <c r="D476" i="5"/>
  <c r="D640" i="5"/>
  <c r="E654" i="5"/>
  <c r="Q20" i="5" s="1"/>
  <c r="E630" i="5"/>
  <c r="N20" i="5" s="1"/>
  <c r="E649" i="5"/>
  <c r="E485" i="5"/>
  <c r="E634" i="5"/>
  <c r="D646" i="5"/>
  <c r="E470" i="5"/>
  <c r="E633" i="5"/>
  <c r="E642" i="5"/>
  <c r="E631" i="5"/>
  <c r="E482" i="5"/>
  <c r="E636" i="5"/>
  <c r="D648" i="5"/>
  <c r="L35" i="5"/>
  <c r="K30" i="5"/>
  <c r="D184" i="5"/>
  <c r="E176" i="5"/>
  <c r="E42" i="5"/>
  <c r="E187" i="5"/>
  <c r="E41" i="5"/>
  <c r="E174" i="5"/>
  <c r="E171" i="5"/>
  <c r="E48" i="5"/>
  <c r="D37" i="5"/>
  <c r="D189" i="5"/>
  <c r="D33" i="5"/>
  <c r="E38" i="5"/>
  <c r="D179" i="5"/>
  <c r="E35" i="5"/>
  <c r="E186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B23" i="8"/>
  <c r="B28" i="1" s="1"/>
  <c r="A22" i="17" s="1"/>
  <c r="C23" i="9"/>
  <c r="D489" i="5" s="1"/>
  <c r="D23" i="9"/>
  <c r="E489" i="5" s="1"/>
  <c r="D19" i="9"/>
  <c r="E490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442" i="5" s="1"/>
  <c r="D28" i="9"/>
  <c r="D36" i="9"/>
  <c r="D40" i="9"/>
  <c r="D44" i="9"/>
  <c r="AB46" i="9"/>
  <c r="L46" i="9"/>
  <c r="X46" i="9"/>
  <c r="H46" i="9"/>
  <c r="D5" i="9"/>
  <c r="E173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480" i="5" s="1"/>
  <c r="C27" i="9"/>
  <c r="AJ28" i="9"/>
  <c r="D38" i="9"/>
  <c r="C11" i="9"/>
  <c r="D484" i="5" s="1"/>
  <c r="P28" i="9"/>
  <c r="BC5" i="9"/>
  <c r="C9" i="9"/>
  <c r="BC17" i="9"/>
  <c r="C21" i="9"/>
  <c r="D43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596" i="5"/>
  <c r="BC3" i="9"/>
  <c r="C3" i="9"/>
  <c r="BC4" i="9"/>
  <c r="D3" i="9"/>
  <c r="E36" i="5" s="1"/>
  <c r="C4" i="9"/>
  <c r="C16" i="9"/>
  <c r="D513" i="5" s="1"/>
  <c r="C17" i="9"/>
  <c r="D18" i="9"/>
  <c r="E486" i="5" s="1"/>
  <c r="C7" i="9"/>
  <c r="D514" i="5" s="1"/>
  <c r="C12" i="9"/>
  <c r="D488" i="5" s="1"/>
  <c r="D13" i="9"/>
  <c r="E479" i="5" s="1"/>
  <c r="C15" i="9"/>
  <c r="D180" i="5" s="1"/>
  <c r="D16" i="9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E481" i="5" s="1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8" i="9"/>
  <c r="E178" i="5" s="1"/>
  <c r="BC11" i="9"/>
  <c r="BC15" i="9"/>
  <c r="BC19" i="9"/>
  <c r="B20" i="1"/>
  <c r="A14" i="17" s="1"/>
  <c r="B15" i="1"/>
  <c r="A9" i="17" s="1"/>
  <c r="B23" i="1"/>
  <c r="A17" i="17" s="1"/>
  <c r="C20" i="9"/>
  <c r="D45" i="5" s="1"/>
  <c r="D20" i="9"/>
  <c r="BC20" i="9"/>
  <c r="D346" i="5"/>
  <c r="E413" i="5"/>
  <c r="E335" i="5"/>
  <c r="E419" i="5"/>
  <c r="E332" i="5"/>
  <c r="E196" i="5"/>
  <c r="E165" i="5"/>
  <c r="Q7" i="5" s="1"/>
  <c r="E29" i="5"/>
  <c r="T3" i="5" s="1"/>
  <c r="E420" i="5"/>
  <c r="E337" i="5"/>
  <c r="E399" i="5"/>
  <c r="E280" i="5"/>
  <c r="E402" i="5"/>
  <c r="E253" i="5"/>
  <c r="E447" i="5"/>
  <c r="E308" i="5"/>
  <c r="E155" i="5"/>
  <c r="E207" i="5"/>
  <c r="E118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D477" i="5" l="1"/>
  <c r="D483" i="5"/>
  <c r="E258" i="5"/>
  <c r="E181" i="5"/>
  <c r="E513" i="5"/>
  <c r="E469" i="5"/>
  <c r="E494" i="5"/>
  <c r="E278" i="5"/>
  <c r="D625" i="5"/>
  <c r="D376" i="5"/>
  <c r="D232" i="5"/>
  <c r="E646" i="5"/>
  <c r="E231" i="5"/>
  <c r="E371" i="5"/>
  <c r="E250" i="5"/>
  <c r="E360" i="5"/>
  <c r="E225" i="5"/>
  <c r="E643" i="5"/>
  <c r="E237" i="5"/>
  <c r="E374" i="5"/>
  <c r="E25" i="5"/>
  <c r="E405" i="5"/>
  <c r="E409" i="5"/>
  <c r="T13" i="5" s="1"/>
  <c r="D641" i="5"/>
  <c r="D380" i="5"/>
  <c r="D238" i="5"/>
  <c r="D324" i="5"/>
  <c r="D105" i="5"/>
  <c r="D649" i="5"/>
  <c r="D242" i="5"/>
  <c r="D370" i="5"/>
  <c r="D214" i="5"/>
  <c r="E645" i="5"/>
  <c r="E381" i="5"/>
  <c r="E236" i="5"/>
  <c r="E432" i="5"/>
  <c r="E351" i="5"/>
  <c r="E460" i="5"/>
  <c r="D50" i="5"/>
  <c r="D228" i="5"/>
  <c r="D361" i="5"/>
  <c r="D638" i="5"/>
  <c r="D240" i="5"/>
  <c r="D373" i="5"/>
  <c r="D106" i="5"/>
  <c r="E635" i="5"/>
  <c r="E363" i="5"/>
  <c r="E223" i="5"/>
  <c r="E433" i="5"/>
  <c r="D674" i="5"/>
  <c r="D381" i="5"/>
  <c r="D236" i="5"/>
  <c r="D460" i="5"/>
  <c r="D432" i="5"/>
  <c r="D351" i="5"/>
  <c r="D177" i="5"/>
  <c r="D633" i="5"/>
  <c r="D226" i="5"/>
  <c r="D366" i="5"/>
  <c r="D24" i="5"/>
  <c r="D607" i="5"/>
  <c r="D364" i="5"/>
  <c r="D227" i="5"/>
  <c r="D44" i="5"/>
  <c r="E51" i="5"/>
  <c r="D644" i="5"/>
  <c r="D243" i="5"/>
  <c r="D368" i="5"/>
  <c r="D215" i="5"/>
  <c r="E550" i="5"/>
  <c r="E224" i="5"/>
  <c r="E362" i="5"/>
  <c r="E22" i="5"/>
  <c r="E190" i="5"/>
  <c r="E54" i="5"/>
  <c r="E230" i="5"/>
  <c r="E369" i="5"/>
  <c r="E268" i="5"/>
  <c r="E175" i="5"/>
  <c r="E644" i="5"/>
  <c r="E243" i="5"/>
  <c r="E368" i="5"/>
  <c r="E215" i="5"/>
  <c r="E23" i="5"/>
  <c r="E272" i="5"/>
  <c r="T9" i="5" s="1"/>
  <c r="D54" i="5"/>
  <c r="D190" i="5"/>
  <c r="D230" i="5"/>
  <c r="D369" i="5"/>
  <c r="D268" i="5"/>
  <c r="E364" i="5"/>
  <c r="E227" i="5"/>
  <c r="D659" i="5"/>
  <c r="D224" i="5"/>
  <c r="D362" i="5"/>
  <c r="E53" i="5"/>
  <c r="E239" i="5"/>
  <c r="E378" i="5"/>
  <c r="E352" i="5"/>
  <c r="E461" i="5"/>
  <c r="E323" i="5"/>
  <c r="E295" i="5"/>
  <c r="D622" i="5"/>
  <c r="D377" i="5"/>
  <c r="D241" i="5"/>
  <c r="D404" i="5"/>
  <c r="D78" i="5"/>
  <c r="D267" i="5"/>
  <c r="D172" i="5"/>
  <c r="D365" i="5"/>
  <c r="D229" i="5"/>
  <c r="D296" i="5"/>
  <c r="E677" i="5"/>
  <c r="E191" i="5"/>
  <c r="E234" i="5"/>
  <c r="E372" i="5"/>
  <c r="E77" i="5"/>
  <c r="E620" i="5"/>
  <c r="E240" i="5"/>
  <c r="E373" i="5"/>
  <c r="E106" i="5"/>
  <c r="E640" i="5"/>
  <c r="E244" i="5"/>
  <c r="E379" i="5"/>
  <c r="D415" i="5"/>
  <c r="D672" i="5"/>
  <c r="D235" i="5"/>
  <c r="D375" i="5"/>
  <c r="D53" i="5"/>
  <c r="D239" i="5"/>
  <c r="D378" i="5"/>
  <c r="D352" i="5"/>
  <c r="D461" i="5"/>
  <c r="D323" i="5"/>
  <c r="D295" i="5"/>
  <c r="D677" i="5"/>
  <c r="D191" i="5"/>
  <c r="D372" i="5"/>
  <c r="D234" i="5"/>
  <c r="D77" i="5"/>
  <c r="E648" i="5"/>
  <c r="E233" i="5"/>
  <c r="E367" i="5"/>
  <c r="E39" i="5"/>
  <c r="F438" i="5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<sst xmlns="http://schemas.openxmlformats.org/spreadsheetml/2006/main" count="1335" uniqueCount="438">
  <si>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</si>
  <si>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</si>
  <si>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</si>
  <si>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</si>
  <si>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</si>
  <si>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</si>
  <si>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</si>
  <si>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</si>
  <si>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</si>
  <si>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</si>
  <si>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</si>
  <si>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</si>
  <si>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</si>
  <si>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</si>
  <si>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</si>
  <si>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</si>
  <si>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</si>
  <si>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</si>
  <si>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</si>
  <si>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</si>
  <si>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</si>
  <si>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</si>
  <si>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</si>
  <si>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</si>
  <si>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</si>
  <si>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</si>
  <si>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</si>
  <si>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</si>
  <si>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</si>
  <si>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</si>
  <si>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</si>
  <si>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</si>
  <si>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</si>
  <si>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</si>
  <si>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</si>
  <si>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</si>
  <si>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</si>
  <si>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</si>
  <si>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</si>
  <si>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</si>
  <si>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</si>
  <si>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</si>
  <si>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</si>
  <si>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</si>
  <si>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</si>
  <si>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</si>
  <si>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</si>
  <si>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</si>
  <si>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</si>
  <si>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</si>
  <si>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</si>
  <si>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</si>
  <si>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</si>
  <si>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</si>
  <si>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</si>
  <si>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</si>
  <si>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</si>
  <si>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</si>
  <si>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</si>
  <si>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</si>
  <si>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</si>
  <si>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</si>
  <si>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</si>
  <si>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</si>
  <si>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</si>
  <si>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</si>
  <si>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</si>
  <si>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</si>
  <si>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</si>
  <si>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</si>
  <si>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</si>
  <si>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</si>
  <si>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</si>
  <si>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</si>
  <si>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</si>
  <si>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</si>
  <si>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</si>
  <si>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</si>
  <si>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</si>
  <si>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</si>
  <si>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</si>
  <si>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</si>
  <si>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</si>
  <si>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</si>
  <si>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</si>
  <si>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</si>
  <si>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</si>
  <si>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</si>
  <si>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</si>
  <si>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</si>
  <si>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</si>
  <si>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</si>
  <si>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</si>
  <si>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</si>
  <si>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</si>
  <si>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</si>
  <si>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</si>
  <si>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</si>
  <si>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</si>
  <si>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</si>
  <si>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</si>
  <si>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</si>
  <si>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</si>
  <si>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</si>
  <si>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</si>
  <si>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</si>
  <si>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</si>
  <si>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</si>
  <si>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</si>
  <si>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</si>
  <si>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</si>
  <si>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</si>
  <si>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</si>
  <si>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</si>
  <si>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</si>
  <si>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</si>
  <si>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</si>
  <si>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</si>
  <si>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</si>
  <si>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</si>
  <si>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</si>
  <si>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</si>
  <si>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</si>
  <si>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</si>
  <si>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</si>
  <si>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</si>
  <si>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</si>
  <si>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</si>
  <si>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</si>
  <si>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</si>
  <si>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</si>
  <si>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</si>
  <si>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</si>
  <si>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</si>
  <si>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</si>
  <si>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</si>
  <si>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</si>
  <si>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</si>
  <si>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</si>
  <si>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</si>
  <si>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</si>
  <si>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</si>
  <si>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</si>
  <si>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</si>
  <si>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</si>
  <si>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</si>
  <si>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</si>
  <si>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</si>
  <si>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</si>
  <si>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</si>
  <si>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</si>
  <si>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</si>
  <si>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</si>
  <si>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</si>
  <si>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</si>
  <si>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</si>
  <si>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</si>
  <si>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</si>
  <si>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</si>
  <si>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</si>
  <si>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</si>
  <si>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</si>
  <si>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</si>
  <si>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</si>
  <si>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</si>
  <si>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</si>
  <si>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</si>
  <si>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</si>
  <si>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</si>
  <si>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</si>
  <si>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</si>
  <si>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</si>
  <si>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</si>
  <si>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</si>
  <si>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</si>
  <si>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</si>
  <si>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</si>
  <si>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</si>
  <si>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</si>
  <si>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</si>
  <si>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</si>
  <si>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</si>
  <si>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</si>
  <si>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</si>
  <si>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</si>
  <si>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</si>
  <si>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</si>
  <si>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</si>
  <si>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</si>
  <si>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</si>
  <si>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</si>
  <si>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</si>
  <si>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</si>
  <si>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</si>
  <si>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</si>
  <si>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</si>
  <si>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</si>
  <si>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</si>
  <si>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</si>
  <si>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</si>
  <si>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</si>
  <si>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</si>
  <si>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</si>
  <si>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</si>
  <si>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</si>
  <si>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</si>
  <si>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</si>
  <si>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</si>
  <si>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</si>
  <si>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</si>
  <si>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</si>
  <si>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</si>
  <si>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</si>
  <si>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</si>
  <si>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</si>
  <si>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</si>
  <si>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</si>
  <si>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</si>
  <si>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</si>
  <si>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</si>
  <si>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</si>
  <si>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</si>
  <si>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</si>
  <si>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</si>
  <si>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</si>
  <si>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</si>
  <si>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</si>
  <si>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</si>
  <si>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</si>
  <si>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</si>
  <si>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</si>
  <si>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</si>
  <si>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</si>
  <si>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</si>
  <si>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</si>
  <si>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</si>
  <si>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</si>
  <si>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</si>
  <si>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</si>
  <si>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</si>
  <si>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</si>
  <si>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</si>
  <si>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</si>
  <si>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</si>
  <si>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</si>
  <si>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</si>
  <si>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</si>
  <si>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</si>
  <si>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</si>
  <si>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</si>
  <si>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</si>
  <si>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</si>
  <si>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</si>
  <si>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</si>
  <si>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</si>
  <si>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</si>
  <si>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</si>
  <si>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</si>
  <si>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</si>
  <si>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</si>
  <si>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</si>
  <si>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</si>
  <si>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</si>
  <si>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</si>
  <si>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</si>
  <si>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</si>
  <si>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</si>
  <si>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</si>
  <si>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</si>
  <si>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</si>
  <si>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</si>
  <si>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</si>
  <si>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</si>
  <si>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</si>
  <si>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</si>
  <si>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</si>
  <si>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</si>
  <si>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</si>
  <si>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</si>
  <si>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</si>
  <si>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</si>
  <si>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</si>
  <si>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</si>
  <si>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</si>
  <si>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</si>
  <si>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</si>
  <si>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</si>
  <si>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</si>
  <si>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</si>
  <si>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</si>
  <si>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</si>
  <si>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</si>
  <si>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</si>
  <si>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</si>
  <si>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</si>
  <si>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</si>
  <si>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</si>
  <si>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</si>
  <si>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</si>
  <si>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</si>
  <si>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</si>
  <si>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</si>
  <si>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</si>
  <si>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</si>
  <si>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</si>
  <si>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</si>
  <si>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</si>
  <si>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</si>
  <si>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</si>
  <si>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</si>
  <si>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</si>
  <si>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</si>
  <si>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</si>
  <si>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</si>
  <si>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</si>
  <si>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</si>
  <si>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</si>
  <si>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</si>
  <si>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</si>
  <si>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</si>
  <si>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</si>
  <si>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</si>
  <si>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</si>
  <si>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</si>
  <si>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</si>
  <si>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</si>
  <si>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</si>
  <si>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</si>
  <si>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</si>
  <si>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</si>
  <si>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</si>
  <si>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</si>
  <si>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</si>
  <si>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</si>
  <si>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</si>
  <si>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</si>
  <si>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</si>
  <si>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</si>
  <si>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</si>
  <si>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</si>
  <si>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</si>
  <si>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</si>
  <si>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</si>
  <si>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</si>
  <si>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</si>
  <si>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</si>
  <si>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</si>
  <si>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</si>
  <si>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</si>
  <si>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</si>
  <si>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</si>
  <si>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</si>
  <si>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</si>
  <si>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</si>
  <si>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</si>
  <si>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</si>
  <si>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</si>
  <si>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</si>
  <si>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</si>
  <si>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</si>
  <si>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</si>
  <si>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</si>
  <si>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</si>
  <si>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</si>
  <si>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</si>
  <si>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</si>
  <si>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</si>
  <si>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</si>
  <si>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</si>
  <si>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</si>
  <si>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</si>
  <si>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</si>
  <si>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</si>
  <si>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</si>
  <si>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</si>
  <si>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</si>
  <si>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</si>
  <si>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</si>
  <si>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</si>
  <si>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</si>
  <si>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</si>
  <si>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</si>
  <si>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</si>
  <si>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</si>
  <si>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</si>
  <si>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</si>
  <si>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</si>
  <si>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</si>
  <si>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</si>
  <si>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</si>
  <si>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</si>
  <si>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</si>
  <si>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</si>
  <si>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</si>
  <si>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</si>
  <si>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</si>
  <si>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</si>
  <si>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</si>
  <si>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</si>
  <si>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</si>
  <si>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</si>
  <si>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</si>
  <si>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</si>
  <si>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</si>
  <si>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</si>
  <si>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</si>
  <si>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</si>
  <si>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</si>
  <si>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</si>
  <si>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</si>
  <si>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</si>
  <si>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</si>
  <si>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</si>
  <si>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</si>
  <si>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</si>
  <si>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</si>
  <si>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</si>
  <si>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</si>
  <si>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</si>
  <si>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</si>
  <si>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</si>
  <si>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</si>
  <si>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</si>
  <si>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</si>
  <si>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</si>
  <si>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</si>
  <si>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</si>
  <si>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</si>
  <si>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</si>
  <si>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</si>
  <si>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</si>
  <si>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</si>
  <si>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</si>
  <si>
    <t>Silverstone</t>
  </si>
  <si>
    <t>Apoio:</t>
  </si>
  <si>
    <t>SAU</t>
  </si>
  <si>
    <t>MAD</t>
  </si>
  <si>
    <t>Yuki Tsunoda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</si>
</sst>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Valtteri Bottas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  <c:pt idx="0">
                        <c:v>Sergio Perez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204</c:v>
                </c:pt>
                <c:pt idx="12">
                  <c:v>219</c:v>
                </c:pt>
                <c:pt idx="13">
                  <c:v>242</c:v>
                </c:pt>
                <c:pt idx="14">
                  <c:v>242</c:v>
                </c:pt>
                <c:pt idx="15">
                  <c:v>242</c:v>
                </c:pt>
                <c:pt idx="16">
                  <c:v>242</c:v>
                </c:pt>
                <c:pt idx="17">
                  <c:v>242</c:v>
                </c:pt>
                <c:pt idx="18">
                  <c:v>242</c:v>
                </c:pt>
                <c:pt idx="19">
                  <c:v>242</c:v>
                </c:pt>
                <c:pt idx="20">
                  <c:v>242</c:v>
                </c:pt>
                <c:pt idx="21">
                  <c:v>242</c:v>
                </c:pt>
                <c:pt idx="22">
                  <c:v>242</c:v>
                </c:pt>
                <c:pt idx="23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160</c:v>
                </c:pt>
                <c:pt idx="13">
                  <c:v>183</c:v>
                </c:pt>
                <c:pt idx="14">
                  <c:v>183</c:v>
                </c:pt>
                <c:pt idx="15">
                  <c:v>183</c:v>
                </c:pt>
                <c:pt idx="16">
                  <c:v>183</c:v>
                </c:pt>
                <c:pt idx="17">
                  <c:v>183</c:v>
                </c:pt>
                <c:pt idx="18">
                  <c:v>183</c:v>
                </c:pt>
                <c:pt idx="19">
                  <c:v>183</c:v>
                </c:pt>
                <c:pt idx="20">
                  <c:v>183</c:v>
                </c:pt>
                <c:pt idx="21">
                  <c:v>183</c:v>
                </c:pt>
                <c:pt idx="22">
                  <c:v>183</c:v>
                </c:pt>
                <c:pt idx="23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159</c:v>
                </c:pt>
                <c:pt idx="12">
                  <c:v>169</c:v>
                </c:pt>
                <c:pt idx="13">
                  <c:v>183</c:v>
                </c:pt>
                <c:pt idx="14">
                  <c:v>183</c:v>
                </c:pt>
                <c:pt idx="15">
                  <c:v>183</c:v>
                </c:pt>
                <c:pt idx="16">
                  <c:v>183</c:v>
                </c:pt>
                <c:pt idx="17">
                  <c:v>183</c:v>
                </c:pt>
                <c:pt idx="18">
                  <c:v>183</c:v>
                </c:pt>
                <c:pt idx="19">
                  <c:v>183</c:v>
                </c:pt>
                <c:pt idx="20">
                  <c:v>183</c:v>
                </c:pt>
                <c:pt idx="21">
                  <c:v>183</c:v>
                </c:pt>
                <c:pt idx="22">
                  <c:v>183</c:v>
                </c:pt>
                <c:pt idx="23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97</c:v>
                </c:pt>
                <c:pt idx="11">
                  <c:v>103</c:v>
                </c:pt>
                <c:pt idx="12">
                  <c:v>128</c:v>
                </c:pt>
                <c:pt idx="13">
                  <c:v>159</c:v>
                </c:pt>
                <c:pt idx="14">
                  <c:v>159</c:v>
                </c:pt>
                <c:pt idx="15">
                  <c:v>159</c:v>
                </c:pt>
                <c:pt idx="16">
                  <c:v>159</c:v>
                </c:pt>
                <c:pt idx="17">
                  <c:v>159</c:v>
                </c:pt>
                <c:pt idx="18">
                  <c:v>159</c:v>
                </c:pt>
                <c:pt idx="19">
                  <c:v>159</c:v>
                </c:pt>
                <c:pt idx="20">
                  <c:v>159</c:v>
                </c:pt>
                <c:pt idx="21">
                  <c:v>159</c:v>
                </c:pt>
                <c:pt idx="22">
                  <c:v>159</c:v>
                </c:pt>
                <c:pt idx="23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126</c:v>
                </c:pt>
                <c:pt idx="12">
                  <c:v>138</c:v>
                </c:pt>
                <c:pt idx="13">
                  <c:v>155</c:v>
                </c:pt>
                <c:pt idx="14">
                  <c:v>155</c:v>
                </c:pt>
                <c:pt idx="15">
                  <c:v>155</c:v>
                </c:pt>
                <c:pt idx="16">
                  <c:v>155</c:v>
                </c:pt>
                <c:pt idx="17">
                  <c:v>155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  <c:pt idx="21">
                  <c:v>155</c:v>
                </c:pt>
                <c:pt idx="22">
                  <c:v>155</c:v>
                </c:pt>
                <c:pt idx="23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91</c:v>
                </c:pt>
                <c:pt idx="12">
                  <c:v>109</c:v>
                </c:pt>
                <c:pt idx="13">
                  <c:v>112</c:v>
                </c:pt>
                <c:pt idx="14">
                  <c:v>112</c:v>
                </c:pt>
                <c:pt idx="15">
                  <c:v>112</c:v>
                </c:pt>
                <c:pt idx="16">
                  <c:v>112</c:v>
                </c:pt>
                <c:pt idx="17">
                  <c:v>112</c:v>
                </c:pt>
                <c:pt idx="18">
                  <c:v>112</c:v>
                </c:pt>
                <c:pt idx="19">
                  <c:v>112</c:v>
                </c:pt>
                <c:pt idx="20">
                  <c:v>112</c:v>
                </c:pt>
                <c:pt idx="21">
                  <c:v>112</c:v>
                </c:pt>
                <c:pt idx="22">
                  <c:v>112</c:v>
                </c:pt>
                <c:pt idx="23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58</c:v>
                </c:pt>
                <c:pt idx="8">
                  <c:v>68</c:v>
                </c:pt>
                <c:pt idx="9">
                  <c:v>80</c:v>
                </c:pt>
                <c:pt idx="10">
                  <c:v>82</c:v>
                </c:pt>
                <c:pt idx="11">
                  <c:v>92</c:v>
                </c:pt>
                <c:pt idx="12">
                  <c:v>92</c:v>
                </c:pt>
                <c:pt idx="13">
                  <c:v>104</c:v>
                </c:pt>
                <c:pt idx="14">
                  <c:v>104</c:v>
                </c:pt>
                <c:pt idx="15">
                  <c:v>104</c:v>
                </c:pt>
                <c:pt idx="16">
                  <c:v>104</c:v>
                </c:pt>
                <c:pt idx="17">
                  <c:v>104</c:v>
                </c:pt>
                <c:pt idx="18">
                  <c:v>104</c:v>
                </c:pt>
                <c:pt idx="19">
                  <c:v>104</c:v>
                </c:pt>
                <c:pt idx="20">
                  <c:v>104</c:v>
                </c:pt>
                <c:pt idx="21">
                  <c:v>104</c:v>
                </c:pt>
                <c:pt idx="22">
                  <c:v>104</c:v>
                </c:pt>
                <c:pt idx="23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26</c:v>
                </c:pt>
                <c:pt idx="8">
                  <c:v>34</c:v>
                </c:pt>
                <c:pt idx="9">
                  <c:v>42</c:v>
                </c:pt>
                <c:pt idx="10">
                  <c:v>52</c:v>
                </c:pt>
                <c:pt idx="11">
                  <c:v>60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24</c:v>
                </c:pt>
                <c:pt idx="8">
                  <c:v>28</c:v>
                </c:pt>
                <c:pt idx="9">
                  <c:v>30</c:v>
                </c:pt>
                <c:pt idx="10">
                  <c:v>39</c:v>
                </c:pt>
                <c:pt idx="11">
                  <c:v>39</c:v>
                </c:pt>
                <c:pt idx="12">
                  <c:v>43</c:v>
                </c:pt>
                <c:pt idx="13">
                  <c:v>49</c:v>
                </c:pt>
                <c:pt idx="14">
                  <c:v>49</c:v>
                </c:pt>
                <c:pt idx="15">
                  <c:v>49</c:v>
                </c:pt>
                <c:pt idx="16">
                  <c:v>49</c:v>
                </c:pt>
                <c:pt idx="17">
                  <c:v>49</c:v>
                </c:pt>
                <c:pt idx="18">
                  <c:v>49</c:v>
                </c:pt>
                <c:pt idx="19">
                  <c:v>49</c:v>
                </c:pt>
                <c:pt idx="20">
                  <c:v>49</c:v>
                </c:pt>
                <c:pt idx="21">
                  <c:v>49</c:v>
                </c:pt>
                <c:pt idx="22">
                  <c:v>49</c:v>
                </c:pt>
                <c:pt idx="23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35</c:v>
                </c:pt>
                <c:pt idx="8">
                  <c:v>41</c:v>
                </c:pt>
                <c:pt idx="9">
                  <c:v>41</c:v>
                </c:pt>
                <c:pt idx="10">
                  <c:v>42</c:v>
                </c:pt>
                <c:pt idx="11">
                  <c:v>42</c:v>
                </c:pt>
                <c:pt idx="12">
                  <c:v>42</c:v>
                </c:pt>
                <c:pt idx="13">
                  <c:v>44</c:v>
                </c:pt>
                <c:pt idx="14">
                  <c:v>44</c:v>
                </c:pt>
                <c:pt idx="15">
                  <c:v>44</c:v>
                </c:pt>
                <c:pt idx="16">
                  <c:v>44</c:v>
                </c:pt>
                <c:pt idx="17">
                  <c:v>44</c:v>
                </c:pt>
                <c:pt idx="18">
                  <c:v>44</c:v>
                </c:pt>
                <c:pt idx="19">
                  <c:v>44</c:v>
                </c:pt>
                <c:pt idx="20">
                  <c:v>44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11</c:v>
                </c:pt>
                <c:pt idx="8">
                  <c:v>13</c:v>
                </c:pt>
                <c:pt idx="9">
                  <c:v>14</c:v>
                </c:pt>
                <c:pt idx="10">
                  <c:v>20</c:v>
                </c:pt>
                <c:pt idx="11">
                  <c:v>22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319</c:v>
                </c:pt>
                <c:pt idx="11">
                  <c:v>344</c:v>
                </c:pt>
                <c:pt idx="12">
                  <c:v>365</c:v>
                </c:pt>
                <c:pt idx="13">
                  <c:v>411</c:v>
                </c:pt>
                <c:pt idx="14">
                  <c:v>411</c:v>
                </c:pt>
                <c:pt idx="15">
                  <c:v>411</c:v>
                </c:pt>
                <c:pt idx="16">
                  <c:v>411</c:v>
                </c:pt>
                <c:pt idx="17">
                  <c:v>411</c:v>
                </c:pt>
                <c:pt idx="18">
                  <c:v>411</c:v>
                </c:pt>
                <c:pt idx="19">
                  <c:v>411</c:v>
                </c:pt>
                <c:pt idx="20">
                  <c:v>411</c:v>
                </c:pt>
                <c:pt idx="21">
                  <c:v>411</c:v>
                </c:pt>
                <c:pt idx="22">
                  <c:v>411</c:v>
                </c:pt>
                <c:pt idx="23">
                  <c:v>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248</c:v>
                </c:pt>
                <c:pt idx="11">
                  <c:v>278</c:v>
                </c:pt>
                <c:pt idx="12">
                  <c:v>300</c:v>
                </c:pt>
                <c:pt idx="13">
                  <c:v>331</c:v>
                </c:pt>
                <c:pt idx="14">
                  <c:v>331</c:v>
                </c:pt>
                <c:pt idx="15">
                  <c:v>331</c:v>
                </c:pt>
                <c:pt idx="16">
                  <c:v>331</c:v>
                </c:pt>
                <c:pt idx="17">
                  <c:v>331</c:v>
                </c:pt>
                <c:pt idx="18">
                  <c:v>331</c:v>
                </c:pt>
                <c:pt idx="19">
                  <c:v>331</c:v>
                </c:pt>
                <c:pt idx="20">
                  <c:v>331</c:v>
                </c:pt>
                <c:pt idx="21">
                  <c:v>331</c:v>
                </c:pt>
                <c:pt idx="22">
                  <c:v>331</c:v>
                </c:pt>
                <c:pt idx="23">
                  <c:v>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104</c:v>
                </c:pt>
                <c:pt idx="8">
                  <c:v>129</c:v>
                </c:pt>
                <c:pt idx="9">
                  <c:v>147</c:v>
                </c:pt>
                <c:pt idx="10">
                  <c:v>167</c:v>
                </c:pt>
                <c:pt idx="11">
                  <c:v>183</c:v>
                </c:pt>
                <c:pt idx="12">
                  <c:v>208</c:v>
                </c:pt>
                <c:pt idx="13">
                  <c:v>251</c:v>
                </c:pt>
                <c:pt idx="14">
                  <c:v>251</c:v>
                </c:pt>
                <c:pt idx="15">
                  <c:v>251</c:v>
                </c:pt>
                <c:pt idx="16">
                  <c:v>251</c:v>
                </c:pt>
                <c:pt idx="17">
                  <c:v>251</c:v>
                </c:pt>
                <c:pt idx="18">
                  <c:v>251</c:v>
                </c:pt>
                <c:pt idx="19">
                  <c:v>251</c:v>
                </c:pt>
                <c:pt idx="20">
                  <c:v>251</c:v>
                </c:pt>
                <c:pt idx="21">
                  <c:v>251</c:v>
                </c:pt>
                <c:pt idx="22">
                  <c:v>251</c:v>
                </c:pt>
                <c:pt idx="23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67</c:v>
                </c:pt>
                <c:pt idx="8">
                  <c:v>87</c:v>
                </c:pt>
                <c:pt idx="9">
                  <c:v>113</c:v>
                </c:pt>
                <c:pt idx="10">
                  <c:v>126</c:v>
                </c:pt>
                <c:pt idx="11">
                  <c:v>149</c:v>
                </c:pt>
                <c:pt idx="12">
                  <c:v>175</c:v>
                </c:pt>
                <c:pt idx="13">
                  <c:v>178</c:v>
                </c:pt>
                <c:pt idx="14">
                  <c:v>178</c:v>
                </c:pt>
                <c:pt idx="15">
                  <c:v>178</c:v>
                </c:pt>
                <c:pt idx="16">
                  <c:v>178</c:v>
                </c:pt>
                <c:pt idx="17">
                  <c:v>178</c:v>
                </c:pt>
                <c:pt idx="18">
                  <c:v>178</c:v>
                </c:pt>
                <c:pt idx="19">
                  <c:v>178</c:v>
                </c:pt>
                <c:pt idx="20">
                  <c:v>178</c:v>
                </c:pt>
                <c:pt idx="21">
                  <c:v>178</c:v>
                </c:pt>
                <c:pt idx="22">
                  <c:v>178</c:v>
                </c:pt>
                <c:pt idx="23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34</c:v>
                </c:pt>
                <c:pt idx="8">
                  <c:v>40</c:v>
                </c:pt>
                <c:pt idx="9">
                  <c:v>43</c:v>
                </c:pt>
                <c:pt idx="10">
                  <c:v>58</c:v>
                </c:pt>
                <c:pt idx="11">
                  <c:v>60</c:v>
                </c:pt>
                <c:pt idx="12">
                  <c:v>65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50</c:v>
                </c:pt>
                <c:pt idx="8">
                  <c:v>57</c:v>
                </c:pt>
                <c:pt idx="9">
                  <c:v>57</c:v>
                </c:pt>
                <c:pt idx="10">
                  <c:v>60</c:v>
                </c:pt>
                <c:pt idx="11">
                  <c:v>61</c:v>
                </c:pt>
                <c:pt idx="12">
                  <c:v>61</c:v>
                </c:pt>
                <c:pt idx="13">
                  <c:v>63</c:v>
                </c:pt>
                <c:pt idx="14">
                  <c:v>63</c:v>
                </c:pt>
                <c:pt idx="15">
                  <c:v>63</c:v>
                </c:pt>
                <c:pt idx="16">
                  <c:v>63</c:v>
                </c:pt>
                <c:pt idx="17">
                  <c:v>63</c:v>
                </c:pt>
                <c:pt idx="18">
                  <c:v>63</c:v>
                </c:pt>
                <c:pt idx="19">
                  <c:v>63</c:v>
                </c:pt>
                <c:pt idx="20">
                  <c:v>63</c:v>
                </c:pt>
                <c:pt idx="21">
                  <c:v>63</c:v>
                </c:pt>
                <c:pt idx="22">
                  <c:v>63</c:v>
                </c:pt>
                <c:pt idx="23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12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topLeftCell="A7" workbookViewId="0">
      <selection activeCell="E41" sqref="E41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274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275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4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159</v>
      </c>
      <c r="F3" s="7">
        <f>IF(B3&lt;&gt;"",SUMPRODUCT((Resultados!$B$1:$B$602=1)*(Resultados!$C$1:$C$602=B3)*1),"")</f>
        <v>3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3</v>
      </c>
      <c r="I3" s="7">
        <f>IF(B3&lt;&gt;"",SUMPRODUCT((Resultados!$B$1:$B$602=4)*(Resultados!$C$1:$C$602=B3)*1),"")</f>
        <v>2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7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104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2</v>
      </c>
      <c r="J4" s="7">
        <f>IF(B4&lt;&gt;"",SUMPRODUCT((Resultados!$B$1:$B$602=5)*(Resultados!$C$1:$C$602=B4)*1),"")</f>
        <v>4</v>
      </c>
      <c r="K4" s="7">
        <f>IF(B4&lt;&gt;"",SUMPRODUCT((Resultados!$B$1:$B$602=6)*(Resultados!$C$1:$C$602=B4)*1),"")</f>
        <v>2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1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183</v>
      </c>
      <c r="F5" s="7">
        <f>IF(B5&lt;&gt;"",SUMPRODUCT((Resultados!$B$1:$B$602=1)*(Resultados!$C$1:$C$602=B5)*1),"")</f>
        <v>5</v>
      </c>
      <c r="G5" s="7">
        <f>IF(B5&lt;&gt;"",SUMPRODUCT((Resultados!$B$1:$B$602=2)*(Resultados!$C$1:$C$602=B5)*1),"")</f>
        <v>3</v>
      </c>
      <c r="H5" s="7">
        <f>IF(B5&lt;&gt;"",SUMPRODUCT((Resultados!$B$1:$B$602=3)*(Resultados!$C$1:$C$602=B5)*1),"")</f>
        <v>1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1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1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242</v>
      </c>
      <c r="F6" s="7">
        <f>IF(B6&lt;&gt;"",SUMPRODUCT((Resultados!$B$1:$B$602=1)*(Resultados!$C$1:$C$602=B6)*1),"")</f>
        <v>7</v>
      </c>
      <c r="G6" s="7">
        <f>IF(B6&lt;&gt;"",SUMPRODUCT((Resultados!$B$1:$B$602=2)*(Resultados!$C$1:$C$602=B6)*1),"")</f>
        <v>2</v>
      </c>
      <c r="H6" s="7">
        <f>IF(B6&lt;&gt;"",SUMPRODUCT((Resultados!$B$1:$B$602=3)*(Resultados!$C$1:$C$602=B6)*1),"")</f>
        <v>3</v>
      </c>
      <c r="I6" s="7">
        <f>IF(B6&lt;&gt;"",SUMPRODUCT((Resultados!$B$1:$B$602=4)*(Resultados!$C$1:$C$602=B6)*1),"")</f>
        <v>1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6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112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2</v>
      </c>
      <c r="H7" s="7">
        <f>IF(B7&lt;&gt;"",SUMPRODUCT((Resultados!$B$1:$B$602=3)*(Resultados!$C$1:$C$602=B7)*1),"")</f>
        <v>2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3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2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68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1</v>
      </c>
      <c r="J8" s="7">
        <f>IF(B8&lt;&gt;"",SUMPRODUCT((Resultados!$B$1:$B$602=5)*(Resultados!$C$1:$C$602=B8)*1),"")</f>
        <v>2</v>
      </c>
      <c r="K8" s="7">
        <f>IF(B8&lt;&gt;"",SUMPRODUCT((Resultados!$B$1:$B$602=6)*(Resultados!$C$1:$C$602=B8)*1),"")</f>
        <v>4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5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155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3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3</v>
      </c>
      <c r="J9" s="7">
        <f>IF(B9&lt;&gt;"",SUMPRODUCT((Resultados!$B$1:$B$602=5)*(Resultados!$C$1:$C$602=B9)*1),"")</f>
        <v>3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183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3</v>
      </c>
      <c r="I10" s="7">
        <f>IF(B10&lt;&gt;"",SUMPRODUCT((Resultados!$B$1:$B$602=4)*(Resultados!$C$1:$C$602=B10)*1),"")</f>
        <v>3</v>
      </c>
      <c r="J10" s="7">
        <f>IF(B10&lt;&gt;"",SUMPRODUCT((Resultados!$B$1:$B$602=5)*(Resultados!$C$1:$C$602=B10)*1),"")</f>
        <v>2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2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1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17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1</v>
      </c>
      <c r="U11" s="7">
        <f>IF(B11&lt;&gt;"",SUMPRODUCT((Resultados!$B$1:$B$602=16)*(Resultados!$C$1:$C$602=B11)*1),"")</f>
        <v>2</v>
      </c>
      <c r="V11" s="7">
        <f>IF(B11&lt;&gt;"",SUMPRODUCT((Resultados!$B$1:$B$602=17)*(Resultados!$C$1:$C$602=B11)*1),"")</f>
        <v>3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2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16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3</v>
      </c>
      <c r="V12" s="7">
        <f>IF(B12&lt;&gt;"",SUMPRODUCT((Resultados!$B$1:$B$602=17)*(Resultados!$C$1:$C$602=B12)*1),"")</f>
        <v>2</v>
      </c>
      <c r="W12" s="7">
        <f>IF(B12&lt;&gt;"",SUMPRODUCT((Resultados!$B$1:$B$602=18)*(Resultados!$C$1:$C$602=B12)*1),"")</f>
        <v>1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2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1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49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4</v>
      </c>
      <c r="M13" s="7">
        <f>IF(B13&lt;&gt;"",SUMPRODUCT((Resultados!$B$1:$B$602=8)*(Resultados!$C$1:$C$602=B13)*1),"")</f>
        <v>3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2</v>
      </c>
      <c r="Q13" s="7">
        <f>IF(B13&lt;&gt;"",SUMPRODUCT((Resultados!$B$1:$B$602=12)*(Resultados!$C$1:$C$602=B13)*1),"")</f>
        <v>1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23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2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2</v>
      </c>
      <c r="O14" s="7">
        <f>IF(B14&lt;&gt;"",SUMPRODUCT((Resultados!$B$1:$B$602=10)*(Resultados!$C$1:$C$602=B14)*1),"")</f>
        <v>4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2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18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3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3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1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3</v>
      </c>
      <c r="T16" s="7">
        <f>IF(B16&lt;&gt;"",SUMPRODUCT((Resultados!$B$1:$B$602=15)*(Resultados!$C$1:$C$602=B16)*1),"")</f>
        <v>1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1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1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21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1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4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2</v>
      </c>
      <c r="Z17" s="7">
        <f>IF(B17&lt;&gt;"",SUMPRODUCT((Resultados!$B$1:$B$602=21)*(Resultados!$C$1:$C$602=B17)*1),"")</f>
        <v>2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19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3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1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1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5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1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15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6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1</v>
      </c>
      <c r="N19" s="7">
        <f>IF(B19&lt;&gt;"",SUMPRODUCT((Resultados!$B$1:$B$602=9)*(Resultados!$C$1:$C$602=B19)*1),"")</f>
        <v>1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2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3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2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4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4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44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1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3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3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1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19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2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2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4</v>
      </c>
      <c r="T22" s="7">
        <f>IF(B22&lt;&gt;"",SUMPRODUCT((Resultados!$B$1:$B$602=15)*(Resultados!$C$1:$C$602=B22)*1),"")</f>
        <v>2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23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3</v>
      </c>
      <c r="T23" s="7">
        <f>IF(B23&lt;&gt;"",SUMPRODUCT((Resultados!$B$1:$B$602=15)*(Resultados!$C$1:$C$602=B23)*1),"")</f>
        <v>3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4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2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22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2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3</v>
      </c>
      <c r="X24" s="7">
        <f>IF(B24&lt;&gt;"",SUMPRODUCT((Resultados!$B$1:$B$602=19)*(Resultados!$C$1:$C$602=B24)*1),"")</f>
        <v>5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2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1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>
        <f t="shared" si="0"/>
        <v>20</v>
      </c>
      <c r="B25" s="1" t="str">
        <f>IF('Equipes e Pilotos'!C25&lt;&gt;"",'Equipes e Pilotos'!C25,"")</f>
        <v>Yuki Tsunoda</v>
      </c>
      <c r="C25" s="1" t="str">
        <f>IF(B25&lt;&gt;"",VLOOKUP(B25,'Equipes e Pilotos'!$C$3:$F$30,3,FALSE),"")</f>
        <v>Japão</v>
      </c>
      <c r="D25" s="1" t="str">
        <f>IF(B25&lt;&gt;"",VLOOKUP(B25,'Equipes e Pilotos'!$C$3:$F$30,4,FALSE),"")</f>
        <v>Racing Bulls</v>
      </c>
      <c r="E25" s="1">
        <f>IF(B25&lt;&gt;"",SUMIF(Resultados!C:C,B25,Resultados!F:F),"")</f>
        <v>0</v>
      </c>
      <c r="F25" s="7">
        <f>IF(B25&lt;&gt;"",SUMPRODUCT((Resultados!$B$1:$B$602=1)*(Resultados!$C$1:$C$602=B25)*1),"")</f>
        <v>0</v>
      </c>
      <c r="G25" s="7">
        <f>IF(B25&lt;&gt;"",SUMPRODUCT((Resultados!$B$1:$B$602=2)*(Resultados!$C$1:$C$602=B25)*1),"")</f>
        <v>0</v>
      </c>
      <c r="H25" s="7">
        <f>IF(B25&lt;&gt;"",SUMPRODUCT((Resultados!$B$1:$B$602=3)*(Resultados!$C$1:$C$602=B25)*1),"")</f>
        <v>0</v>
      </c>
      <c r="I25" s="7">
        <f>IF(B25&lt;&gt;"",SUMPRODUCT((Resultados!$B$1:$B$602=4)*(Resultados!$C$1:$C$602=B25)*1),"")</f>
        <v>0</v>
      </c>
      <c r="J25" s="7">
        <f>IF(B25&lt;&gt;"",SUMPRODUCT((Resultados!$B$1:$B$602=5)*(Resultados!$C$1:$C$602=B25)*1),"")</f>
        <v>0</v>
      </c>
      <c r="K25" s="7">
        <f>IF(B25&lt;&gt;"",SUMPRODUCT((Resultados!$B$1:$B$602=6)*(Resultados!$C$1:$C$602=B25)*1),"")</f>
        <v>0</v>
      </c>
      <c r="L25" s="7">
        <f>IF(B25&lt;&gt;"",SUMPRODUCT((Resultados!$B$1:$B$602=7)*(Resultados!$C$1:$C$602=B25)*1),"")</f>
        <v>0</v>
      </c>
      <c r="M25" s="7">
        <f>IF(B25&lt;&gt;"",SUMPRODUCT((Resultados!$B$1:$B$602=8)*(Resultados!$C$1:$C$602=B25)*1),"")</f>
        <v>0</v>
      </c>
      <c r="N25" s="7">
        <f>IF(B25&lt;&gt;"",SUMPRODUCT((Resultados!$B$1:$B$602=9)*(Resultados!$C$1:$C$602=B25)*1),"")</f>
        <v>0</v>
      </c>
      <c r="O25" s="7">
        <f>IF(B25&lt;&gt;"",SUMPRODUCT((Resultados!$B$1:$B$602=10)*(Resultados!$C$1:$C$602=B25)*1),"")</f>
        <v>0</v>
      </c>
      <c r="P25" s="7">
        <f>IF(B25&lt;&gt;"",SUMPRODUCT((Resultados!$B$1:$B$602=11)*(Resultados!$C$1:$C$602=B25)*1),"")</f>
        <v>1</v>
      </c>
      <c r="Q25" s="7">
        <f>IF(B25&lt;&gt;"",SUMPRODUCT((Resultados!$B$1:$B$602=12)*(Resultados!$C$1:$C$602=B25)*1),"")</f>
        <v>0</v>
      </c>
      <c r="R25" s="7">
        <f>IF(B25&lt;&gt;"",SUMPRODUCT((Resultados!$B$1:$B$602=13)*(Resultados!$C$1:$C$602=B25)*1),"")</f>
        <v>1</v>
      </c>
      <c r="S25" s="7">
        <f>IF(B25&lt;&gt;"",SUMPRODUCT((Resultados!$B$1:$B$602=14)*(Resultados!$C$1:$C$602=B25)*1),"")</f>
        <v>0</v>
      </c>
      <c r="T25" s="7">
        <f>IF(B25&lt;&gt;"",SUMPRODUCT((Resultados!$B$1:$B$602=15)*(Resultados!$C$1:$C$602=B25)*1),"")</f>
        <v>0</v>
      </c>
      <c r="U25" s="7">
        <f>IF(B25&lt;&gt;"",SUMPRODUCT((Resultados!$B$1:$B$602=16)*(Resultados!$C$1:$C$602=B25)*1),"")</f>
        <v>0</v>
      </c>
      <c r="V25" s="7">
        <f>IF(B25&lt;&gt;"",SUMPRODUCT((Resultados!$B$1:$B$602=17)*(Resultados!$C$1:$C$602=B25)*1),"")</f>
        <v>0</v>
      </c>
      <c r="W25" s="7">
        <f>IF(B25&lt;&gt;"",SUMPRODUCT((Resultados!$B$1:$B$602=18)*(Resultados!$C$1:$C$602=B25)*1),"")</f>
        <v>0</v>
      </c>
      <c r="X25" s="7">
        <f>IF(B25&lt;&gt;"",SUMPRODUCT((Resultados!$B$1:$B$602=19)*(Resultados!$C$1:$C$602=B25)*1),"")</f>
        <v>0</v>
      </c>
      <c r="Y25" s="7">
        <f>IF(B25&lt;&gt;"",SUMPRODUCT((Resultados!$B$1:$B$602=20)*(Resultados!$C$1:$C$602=B25)*1),"")</f>
        <v>0</v>
      </c>
      <c r="Z25" s="7">
        <f>IF(B25&lt;&gt;"",SUMPRODUCT((Resultados!$B$1:$B$602=21)*(Resultados!$C$1:$C$602=B25)*1),"")</f>
        <v>0</v>
      </c>
      <c r="AA25" s="7">
        <f>IF(B25&lt;&gt;"",SUMPRODUCT((Resultados!$B$1:$B$602=22)*(Resultados!$C$1:$C$602=B25)*1),"")</f>
        <v>0</v>
      </c>
      <c r="AB25" s="7">
        <f>IF(B25&lt;&gt;"",SUMPRODUCT((Resultados!$B$1:$B$602=23)*(Resultados!$C$1:$C$602=B25)*1),"")</f>
        <v>0</v>
      </c>
      <c r="AC25" s="7">
        <f>IF(B25&lt;&gt;"",SUMPRODUCT((Resultados!$B$1:$B$602=24)*(Resultados!$C$1:$C$602=B25)*1),"")</f>
        <v>0</v>
      </c>
      <c r="AD25" s="6">
        <f t="shared" si="1"/>
        <v>0</v>
      </c>
      <c r="AE25" s="6">
        <f t="shared" si="2"/>
        <v>0</v>
      </c>
      <c r="AF25" s="6">
        <f t="shared" si="3"/>
        <v>0</v>
      </c>
      <c r="AG25" s="6">
        <f t="shared" si="4"/>
        <v>0</v>
      </c>
      <c r="AH25" s="6">
        <f t="shared" si="5"/>
        <v>0</v>
      </c>
      <c r="AI25" s="6">
        <f t="shared" si="6"/>
        <v>0</v>
      </c>
      <c r="AJ25" s="6">
        <f t="shared" si="7"/>
        <v>0</v>
      </c>
      <c r="AK25" s="6">
        <f t="shared" si="8"/>
        <v>0</v>
      </c>
      <c r="AL25" s="6">
        <f t="shared" si="9"/>
        <v>0</v>
      </c>
      <c r="AM25" s="6">
        <f t="shared" si="10"/>
        <v>0</v>
      </c>
      <c r="AN25" s="6">
        <f t="shared" si="11"/>
        <v>0</v>
      </c>
      <c r="AO25" s="6">
        <f t="shared" si="12"/>
        <v>0</v>
      </c>
      <c r="AP25" s="6">
        <f t="shared" si="13"/>
        <v>0</v>
      </c>
      <c r="AQ25" s="6">
        <f t="shared" si="14"/>
        <v>0</v>
      </c>
      <c r="AR25" s="6">
        <f t="shared" si="15"/>
        <v>0</v>
      </c>
      <c r="AS25" s="6">
        <f t="shared" si="16"/>
        <v>0</v>
      </c>
      <c r="AT25" s="6">
        <f t="shared" si="17"/>
        <v>0</v>
      </c>
      <c r="AU25" s="6">
        <f t="shared" si="18"/>
        <v>0</v>
      </c>
      <c r="AV25" s="6">
        <f t="shared" si="19"/>
        <v>0</v>
      </c>
      <c r="AW25" s="6">
        <f t="shared" si="20"/>
        <v>0</v>
      </c>
      <c r="AX25" s="6">
        <f t="shared" si="21"/>
        <v>0</v>
      </c>
      <c r="AY25" s="6">
        <f t="shared" si="22"/>
        <v>0</v>
      </c>
      <c r="AZ25" s="6">
        <f t="shared" si="23"/>
        <v>0</v>
      </c>
      <c r="BA25" s="6">
        <f t="shared" si="24"/>
        <v>0</v>
      </c>
      <c r="BB25" s="6">
        <f t="shared" si="25"/>
        <v>0</v>
      </c>
      <c r="BC25" s="6">
        <f>IF(B25&lt;&gt;"",'Equipes e Pilotos'!B25,"")</f>
        <v>23</v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263</v>
      </c>
      <c r="F35" s="7">
        <f>IF(B35&lt;&gt;"",SUMPRODUCT((Resultados!$B$1:$B$602=1)*(Resultados!$E$1:$E$602=B35)*1),"")</f>
        <v>3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4</v>
      </c>
      <c r="I35" s="7">
        <f>IF(B35&lt;&gt;"",SUMPRODUCT((Resultados!$B$1:$B$602=4)*(Resultados!$E$1:$E$602=B35)*1),"")</f>
        <v>4</v>
      </c>
      <c r="J35" s="7">
        <f>IF(B35&lt;&gt;"",SUMPRODUCT((Resultados!$B$1:$B$602=5)*(Resultados!$E$1:$E$602=B35)*1),"")</f>
        <v>6</v>
      </c>
      <c r="K35" s="7">
        <f>IF(B35&lt;&gt;"",SUMPRODUCT((Resultados!$B$1:$B$602=6)*(Resultados!$E$1:$E$602=B35)*1),"")</f>
        <v>2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2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2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425</v>
      </c>
      <c r="F36" s="7">
        <f>IF(B36&lt;&gt;"",SUMPRODUCT((Resultados!$B$1:$B$602=1)*(Resultados!$E$1:$E$602=B36)*1),"")</f>
        <v>12</v>
      </c>
      <c r="G36" s="7">
        <f>IF(B36&lt;&gt;"",SUMPRODUCT((Resultados!$B$1:$B$602=2)*(Resultados!$E$1:$E$602=B36)*1),"")</f>
        <v>5</v>
      </c>
      <c r="H36" s="7">
        <f>IF(B36&lt;&gt;"",SUMPRODUCT((Resultados!$B$1:$B$602=3)*(Resultados!$E$1:$E$602=B36)*1),"")</f>
        <v>4</v>
      </c>
      <c r="I36" s="7">
        <f>IF(B36&lt;&gt;"",SUMPRODUCT((Resultados!$B$1:$B$602=4)*(Resultados!$E$1:$E$602=B36)*1),"")</f>
        <v>5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1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1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IF(B37&lt;&gt;"",SUMIF(Resultados!E:E,B37,Resultados!F:F),"")+6</f>
        <v>186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2</v>
      </c>
      <c r="H37" s="7">
        <f>IF(B37&lt;&gt;"",SUMPRODUCT((Resultados!$B$1:$B$602=3)*(Resultados!$E$1:$E$602=B37)*1),"")</f>
        <v>2</v>
      </c>
      <c r="I37" s="7">
        <f>IF(B37&lt;&gt;"",SUMPRODUCT((Resultados!$B$1:$B$602=4)*(Resultados!$E$1:$E$602=B37)*1),"")</f>
        <v>2</v>
      </c>
      <c r="J37" s="7">
        <f>IF(B37&lt;&gt;"",SUMPRODUCT((Resultados!$B$1:$B$602=5)*(Resultados!$E$1:$E$602=B37)*1),"")</f>
        <v>4</v>
      </c>
      <c r="K37" s="7">
        <f>IF(B37&lt;&gt;"",SUMPRODUCT((Resultados!$B$1:$B$602=6)*(Resultados!$E$1:$E$602=B37)*1),"")</f>
        <v>7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3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338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6</v>
      </c>
      <c r="H38" s="7">
        <f>IF(B38&lt;&gt;"",SUMPRODUCT((Resultados!$B$1:$B$602=3)*(Resultados!$E$1:$E$602=B38)*1),"")</f>
        <v>6</v>
      </c>
      <c r="I38" s="7">
        <f>IF(B38&lt;&gt;"",SUMPRODUCT((Resultados!$B$1:$B$602=4)*(Resultados!$E$1:$E$602=B38)*1),"")</f>
        <v>6</v>
      </c>
      <c r="J38" s="7">
        <f>IF(B38&lt;&gt;"",SUMPRODUCT((Resultados!$B$1:$B$602=5)*(Resultados!$E$1:$E$602=B38)*1),"")</f>
        <v>5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2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1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3</v>
      </c>
      <c r="U39" s="7">
        <f>IF(B39&lt;&gt;"",SUMPRODUCT((Resultados!$B$1:$B$602=16)*(Resultados!$E$1:$E$602=B39)*1),"")</f>
        <v>5</v>
      </c>
      <c r="V39" s="7">
        <f>IF(B39&lt;&gt;"",SUMPRODUCT((Resultados!$B$1:$B$602=17)*(Resultados!$E$1:$E$602=B39)*1),"")</f>
        <v>5</v>
      </c>
      <c r="W39" s="7">
        <f>IF(B39&lt;&gt;"",SUMPRODUCT((Resultados!$B$1:$B$602=18)*(Resultados!$E$1:$E$602=B39)*1),"")</f>
        <v>4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3</v>
      </c>
      <c r="Z39" s="7">
        <f>IF(B39&lt;&gt;"",SUMPRODUCT((Resultados!$B$1:$B$602=21)*(Resultados!$E$1:$E$602=B39)*1),"")</f>
        <v>2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5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IF(B40&lt;&gt;"",SUMIF(Resultados!E:E,B40,Resultados!F:F),"")-6</f>
        <v>66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2</v>
      </c>
      <c r="L40" s="7">
        <f>IF(B40&lt;&gt;"",SUMPRODUCT((Resultados!$B$1:$B$602=7)*(Resultados!$E$1:$E$602=B40)*1),"")</f>
        <v>6</v>
      </c>
      <c r="M40" s="7">
        <f>IF(B40&lt;&gt;"",SUMPRODUCT((Resultados!$B$1:$B$602=8)*(Resultados!$E$1:$E$602=B40)*1),"")</f>
        <v>5</v>
      </c>
      <c r="N40" s="7">
        <f>IF(B40&lt;&gt;"",SUMPRODUCT((Resultados!$B$1:$B$602=9)*(Resultados!$E$1:$E$602=B40)*1),"")</f>
        <v>4</v>
      </c>
      <c r="O40" s="7">
        <f>IF(B40&lt;&gt;"",SUMPRODUCT((Resultados!$B$1:$B$602=10)*(Resultados!$E$1:$E$602=B40)*1),"")</f>
        <v>4</v>
      </c>
      <c r="P40" s="7">
        <f>IF(B40&lt;&gt;"",SUMPRODUCT((Resultados!$B$1:$B$602=11)*(Resultados!$E$1:$E$602=B40)*1),"")</f>
        <v>3</v>
      </c>
      <c r="Q40" s="7">
        <f>IF(B40&lt;&gt;"",SUMPRODUCT((Resultados!$B$1:$B$602=12)*(Resultados!$E$1:$E$602=B40)*1),"")</f>
        <v>3</v>
      </c>
      <c r="R40" s="7">
        <f>IF(B40&lt;&gt;"",SUMPRODUCT((Resultados!$B$1:$B$602=13)*(Resultados!$E$1:$ED$602=B40)*1),"")</f>
        <v>2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6</v>
      </c>
      <c r="T41" s="7">
        <f>IF(B41&lt;&gt;"",SUMPRODUCT((Resultados!$B$1:$B$602=15)*(Resultados!$E$1:$E$602=B41)*1),"")</f>
        <v>1</v>
      </c>
      <c r="U41" s="7">
        <f>IF(B41&lt;&gt;"",SUMPRODUCT((Resultados!$B$1:$B$602=16)*(Resultados!$E$1:$E$602=B41)*1),"")</f>
        <v>3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2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1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3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1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1</v>
      </c>
      <c r="S42" s="7">
        <f>IF(B42&lt;&gt;"",SUMPRODUCT((Resultados!$B$1:$B$602=14)*(Resultados!$E$1:$E$602=B42)*1),"")</f>
        <v>1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6</v>
      </c>
      <c r="W42" s="7">
        <f>IF(B42&lt;&gt;"",SUMPRODUCT((Resultados!$B$1:$B$602=18)*(Resultados!$E$1:$E$602=B42)*1),"")</f>
        <v>8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4</v>
      </c>
      <c r="Z42" s="7">
        <f>IF(B42&lt;&gt;"",SUMPRODUCT((Resultados!$B$1:$B$602=21)*(Resultados!$E$1:$E$602=B42)*1),"")</f>
        <v>2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16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3</v>
      </c>
      <c r="N43" s="7">
        <f>IF(B43&lt;&gt;"",SUMPRODUCT((Resultados!$B$1:$B$602=9)*(Resultados!$E$1:$E$602=B43)*1),"")</f>
        <v>3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6</v>
      </c>
      <c r="Q43" s="7">
        <f>IF(B43&lt;&gt;"",SUMPRODUCT((Resultados!$B$1:$B$602=12)*(Resultados!$E$1:$E$602=B43)*1),"")</f>
        <v>4</v>
      </c>
      <c r="R43" s="7">
        <f>IF(B43&lt;&gt;"",SUMPRODUCT((Resultados!$B$1:$B$602=13)*(Resultados!$E$1:$ED$602=B43)*1),"")</f>
        <v>6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2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4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6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63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1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3</v>
      </c>
      <c r="N44" s="7">
        <f>IF(B44&lt;&gt;"",SUMPRODUCT((Resultados!$B$1:$B$602=9)*(Resultados!$E$1:$E$602=B44)*1),"")</f>
        <v>2</v>
      </c>
      <c r="O44" s="7">
        <f>IF(B44&lt;&gt;"",SUMPRODUCT((Resultados!$B$1:$B$602=10)*(Resultados!$E$1:$E$602=B44)*1),"")</f>
        <v>7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3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4</v>
      </c>
      <c r="T44" s="7">
        <f>IF(B44&lt;&gt;"",SUMPRODUCT((Resultados!$B$1:$B$602=15)*(Resultados!$E$1:$E$602=B44)*1),"")</f>
        <v>2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3</v>
      </c>
      <c r="T45" s="7">
        <f>IF(B45&lt;&gt;"",SUMPRODUCT((Resultados!$B$1:$B$602=15)*(Resultados!$E$1:$E$602=B45)*1),"")</f>
        <v>3</v>
      </c>
      <c r="U45" s="7">
        <f>IF(B45&lt;&gt;"",SUMPRODUCT((Resultados!$B$1:$B$602=16)*(Resultados!$E$1:$E$602=B45)*1),"")</f>
        <v>5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3</v>
      </c>
      <c r="X45" s="7">
        <f>IF(B45&lt;&gt;"",SUMPRODUCT((Resultados!$B$1:$B$602=19)*(Resultados!$E$1:$E$602=B45)*1),"")</f>
        <v>6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7</v>
      </c>
      <c r="AA45" s="7">
        <f>IF(B45&lt;&gt;"",SUMPRODUCT((Resultados!$B$1:$B$602=22)*(Resultados!$E$1:$E$602=B45)*1),"")</f>
        <v>3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12" sqref="E12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415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382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416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430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431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383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417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418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419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420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421</v>
      </c>
      <c r="E12" s="4" t="s">
        <v>433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384</v>
      </c>
      <c r="E13" s="4" t="s">
        <v>344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422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385</v>
      </c>
      <c r="E15" s="4" t="s">
        <v>345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423</v>
      </c>
      <c r="E16" s="4" t="s">
        <v>346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424</v>
      </c>
      <c r="E17" s="4" t="s">
        <v>386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387</v>
      </c>
      <c r="E18" s="4" t="s">
        <v>347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388</v>
      </c>
      <c r="E19" s="4" t="s">
        <v>348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389</v>
      </c>
      <c r="E20" s="4" t="s">
        <v>349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425</v>
      </c>
      <c r="E21" s="4" t="s">
        <v>350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390</v>
      </c>
      <c r="E22" s="4" t="s">
        <v>351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391</v>
      </c>
      <c r="E23" s="4" t="s">
        <v>352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392</v>
      </c>
      <c r="E24" s="4" t="s">
        <v>353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393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60" t="s">
        <v>394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</row>
    <row r="3" spans="1:42" ht="12.75" customHeight="1" x14ac:dyDescent="0.2"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61" t="s">
        <v>412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</row>
    <row r="6" spans="1:42" x14ac:dyDescent="0.2">
      <c r="B6" s="158" t="s">
        <v>244</v>
      </c>
      <c r="C6" s="158" t="s">
        <v>29</v>
      </c>
      <c r="D6" s="158" t="s">
        <v>16</v>
      </c>
      <c r="E6" s="158" t="s">
        <v>17</v>
      </c>
      <c r="F6" s="158" t="s">
        <v>245</v>
      </c>
      <c r="G6" s="158" t="s">
        <v>246</v>
      </c>
      <c r="H6" s="158" t="s">
        <v>358</v>
      </c>
      <c r="I6" s="158" t="s">
        <v>253</v>
      </c>
      <c r="J6" s="159" t="s">
        <v>232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J6" s="110"/>
    </row>
    <row r="7" spans="1:42" x14ac:dyDescent="0.2">
      <c r="B7" s="158"/>
      <c r="C7" s="158"/>
      <c r="D7" s="158"/>
      <c r="E7" s="158"/>
      <c r="F7" s="158"/>
      <c r="G7" s="158"/>
      <c r="H7" s="158"/>
      <c r="I7" s="158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242</v>
      </c>
      <c r="H8" s="123"/>
      <c r="I8" s="126">
        <f>IF(B8="","",SUMIF(Resultados!$M$3:$M$30,C8,Resultados!$O$3:$O$30))</f>
        <v>6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15</v>
      </c>
      <c r="W8" s="121">
        <f>IF(C8&lt;&gt;"",SUMIF(Resultados!$C$469:$C$518,'Temporada 2026'!C8,Resultados!$F$469:$F$518),"")</f>
        <v>23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183</v>
      </c>
      <c r="H9" s="123">
        <f>IF(C9&lt;&gt;"",G9-G$8,"")</f>
        <v>-59</v>
      </c>
      <c r="I9" s="126">
        <f>IF(B9="","",SUMIF(Resultados!$M$3:$M$30,C9,Resultados!$O$3:$O$30))</f>
        <v>2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23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6</v>
      </c>
      <c r="W9" s="121">
        <f>IF(C9&lt;&gt;"",SUMIF(Resultados!$C$469:$C$518,'Temporada 2026'!C9,Resultados!$F$469:$F$518),"")</f>
        <v>23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183</v>
      </c>
      <c r="H10" s="123">
        <f t="shared" ref="H10:H31" si="0">IF(C10&lt;&gt;"",G10-G$8,"")</f>
        <v>-59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22</v>
      </c>
      <c r="U10" s="121">
        <f>IF(C10&lt;&gt;"",SUMIF(Resultados!$C$412:$C$437,'Temporada 2026'!C10,Resultados!$F$412:$F$437),"")</f>
        <v>12</v>
      </c>
      <c r="V10" s="121">
        <f>IF(C10&lt;&gt;"",SUMIF(Resultados!$C$440:$C$465,'Temporada 2026'!C10,Resultados!$F$440:$F$465),"")</f>
        <v>10</v>
      </c>
      <c r="W10" s="121">
        <f>IF(C10&lt;&gt;"",SUMIF(Resultados!$C$469:$C$518,'Temporada 2026'!C10,Resultados!$F$469:$F$518),"")</f>
        <v>14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Lando Norris</v>
      </c>
      <c r="D11" s="123" t="str">
        <f>VLOOKUP(B11,'Dummy Table'!$A$3:$C$30,3,FALSE)</f>
        <v>Inglaterra</v>
      </c>
      <c r="E11" s="123" t="str">
        <f>VLOOKUP(B11,'Dummy Table'!$A$3:$D$30,4,FALSE)</f>
        <v>McLaren</v>
      </c>
      <c r="F11" s="124" t="str">
        <f>IF(C11&lt;&gt;"",IF(G11+Resultados!$K$35&gt;$G$8,"J","L"),"")</f>
        <v>J</v>
      </c>
      <c r="G11" s="125">
        <f>VLOOKUP(B11,'Dummy Table'!$A$3:$E$30,5,FALSE)</f>
        <v>159</v>
      </c>
      <c r="H11" s="123">
        <f t="shared" si="0"/>
        <v>-83</v>
      </c>
      <c r="I11" s="126">
        <f>IF(B11="","",SUMIF(Resultados!$M$3:$M$30,C11,Resultados!$O$3:$O$30))</f>
        <v>2</v>
      </c>
      <c r="J11" s="121">
        <f>IF(C11&lt;&gt;"",SUMIF(Resultados!$C$4:$C$29,'Temporada 2026'!C11,Resultados!$F$4:$F$29),"")</f>
        <v>10</v>
      </c>
      <c r="K11" s="121">
        <f>IF(C11&lt;&gt;"",SUMIF(Resultados!$C$33:$C$82,'Temporada 2026'!C11,Resultados!$F$33:$F$82),"")</f>
        <v>5</v>
      </c>
      <c r="L11" s="121">
        <f>IF(C11&lt;&gt;"",SUMIF(Resultados!$C$85:$C$110,'Temporada 2026'!C11,Resultados!$F$85:$F$110),"")</f>
        <v>10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26</v>
      </c>
      <c r="P11" s="121">
        <f>IF(C11&lt;&gt;"",SUMIF(Resultados!$C$223:$C$268,'Temporada 2026'!C11,Resultados!$F$223:$F$268),"")</f>
        <v>7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15</v>
      </c>
      <c r="S11" s="121">
        <f>IF(C11&lt;&gt;"",SUMIF(Resultados!$C$331:$C$356,'Temporada 2026'!C11,Resultados!$F$331:$F$356),"")</f>
        <v>6</v>
      </c>
      <c r="T11" s="121">
        <f>IF(C11&lt;&gt;"",SUMIF(Resultados!$C$360:$C$409,'Temporada 2026'!C11,Resultados!$F$360:$F$409),"")</f>
        <v>18</v>
      </c>
      <c r="U11" s="121">
        <f>IF(C11&lt;&gt;"",SUMIF(Resultados!$C$412:$C$437,'Temporada 2026'!C11,Resultados!$F$412:$F$437),"")</f>
        <v>6</v>
      </c>
      <c r="V11" s="121">
        <f>IF(C11&lt;&gt;"",SUMIF(Resultados!$C$440:$C$465,'Temporada 2026'!C11,Resultados!$F$440:$F$465),"")</f>
        <v>25</v>
      </c>
      <c r="W11" s="121">
        <f>IF(C11&lt;&gt;"",SUMIF(Resultados!$C$469:$C$518,'Temporada 2026'!C11,Resultados!$F$469:$F$518),"")</f>
        <v>31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Charles Leclerc</v>
      </c>
      <c r="D12" s="123" t="str">
        <f>VLOOKUP(B12,'Dummy Table'!$A$3:$C$30,3,FALSE)</f>
        <v>Mônaco</v>
      </c>
      <c r="E12" s="123" t="str">
        <f>VLOOKUP(B12,'Dummy Table'!$A$3:$D$30,4,FALSE)</f>
        <v>Ferrari</v>
      </c>
      <c r="F12" s="124" t="str">
        <f>IF(C12&lt;&gt;"",IF(G12+Resultados!$K$35&gt;$G$8,"J","L"),"")</f>
        <v>J</v>
      </c>
      <c r="G12" s="125">
        <f>VLOOKUP(B12,'Dummy Table'!$A$3:$E$30,5,FALSE)</f>
        <v>155</v>
      </c>
      <c r="H12" s="123">
        <f t="shared" si="0"/>
        <v>-87</v>
      </c>
      <c r="I12" s="126">
        <f>IF(B12="","",SUMIF(Resultados!$M$3:$M$30,C12,Resultados!$O$3:$O$30))</f>
        <v>1</v>
      </c>
      <c r="J12" s="121">
        <f>IF(C12&lt;&gt;"",SUMIF(Resultados!$C$4:$C$29,'Temporada 2026'!C12,Resultados!$F$4:$F$29),"")</f>
        <v>15</v>
      </c>
      <c r="K12" s="121">
        <f>IF(C12&lt;&gt;"",SUMIF(Resultados!$C$33:$C$82,'Temporada 2026'!C12,Resultados!$F$33:$F$82),"")</f>
        <v>19</v>
      </c>
      <c r="L12" s="121">
        <f>IF(C12&lt;&gt;"",SUMIF(Resultados!$C$85:$C$110,'Temporada 2026'!C12,Resultados!$F$85:$F$110),"")</f>
        <v>15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10</v>
      </c>
      <c r="P12" s="121">
        <f>IF(C12&lt;&gt;"",SUMIF(Resultados!$C$223:$C$268,'Temporada 2026'!C12,Resultados!$F$223:$F$268),"")</f>
        <v>16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4</v>
      </c>
      <c r="T12" s="121">
        <f>IF(C12&lt;&gt;"",SUMIF(Resultados!$C$360:$C$409,'Temporada 2026'!C12,Resultados!$F$360:$F$409),"")</f>
        <v>29</v>
      </c>
      <c r="U12" s="121">
        <f>IF(C12&lt;&gt;"",SUMIF(Resultados!$C$412:$C$437,'Temporada 2026'!C12,Resultados!$F$412:$F$437),"")</f>
        <v>18</v>
      </c>
      <c r="V12" s="121">
        <f>IF(C12&lt;&gt;"",SUMIF(Resultados!$C$440:$C$465,'Temporada 2026'!C12,Resultados!$F$440:$F$465),"")</f>
        <v>12</v>
      </c>
      <c r="W12" s="121">
        <f>IF(C12&lt;&gt;"",SUMIF(Resultados!$C$469:$C$518,'Temporada 2026'!C12,Resultados!$F$469:$F$518),"")</f>
        <v>17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Max Verstappen</v>
      </c>
      <c r="D13" s="123" t="str">
        <f>VLOOKUP(B13,'Dummy Table'!$A$3:$C$30,3,FALSE)</f>
        <v>Holanda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112</v>
      </c>
      <c r="H13" s="123">
        <f t="shared" si="0"/>
        <v>-130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8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4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14</v>
      </c>
      <c r="P13" s="121">
        <f>IF(C13&lt;&gt;"",SUMIF(Resultados!$C$223:$C$268,'Temporada 2026'!C13,Resultados!$F$223:$F$268),"")</f>
        <v>17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12</v>
      </c>
      <c r="S13" s="121">
        <f>IF(C13&lt;&gt;"",SUMIF(Resultados!$C$331:$C$356,'Temporada 2026'!C13,Resultados!$F$331:$F$356),"")</f>
        <v>18</v>
      </c>
      <c r="T13" s="121">
        <f>IF(C13&lt;&gt;"",SUMIF(Resultados!$C$360:$C$409,'Temporada 2026'!C13,Resultados!$F$360:$F$409),"")</f>
        <v>3</v>
      </c>
      <c r="U13" s="121">
        <f>IF(C13&lt;&gt;"",SUMIF(Resultados!$C$412:$C$437,'Temporada 2026'!C13,Resultados!$F$412:$F$437),"")</f>
        <v>15</v>
      </c>
      <c r="V13" s="121">
        <f>IF(C13&lt;&gt;"",SUMIF(Resultados!$C$440:$C$465,'Temporada 2026'!C13,Resultados!$F$440:$F$465),"")</f>
        <v>18</v>
      </c>
      <c r="W13" s="121">
        <f>IF(C13&lt;&gt;"",SUMIF(Resultados!$C$469:$C$518,'Temporada 2026'!C13,Resultados!$F$469:$F$518),"")</f>
        <v>3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Oscar Piastri</v>
      </c>
      <c r="D14" s="123" t="str">
        <f>VLOOKUP(B14,'Dummy Table'!$A$3:$C$30,3,FALSE)</f>
        <v>Austrália</v>
      </c>
      <c r="E14" s="123" t="str">
        <f>VLOOKUP(B14,'Dummy Table'!$A$3:$D$30,4,FALSE)</f>
        <v>McLaren</v>
      </c>
      <c r="F14" s="124" t="str">
        <f>IF(C14&lt;&gt;"",IF(G14+Resultados!$K$35&gt;$G$8,"J","L"),"")</f>
        <v>J</v>
      </c>
      <c r="G14" s="125">
        <f>VLOOKUP(B14,'Dummy Table'!$A$3:$E$30,5,FALSE)</f>
        <v>104</v>
      </c>
      <c r="H14" s="123">
        <f t="shared" si="0"/>
        <v>-138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3</v>
      </c>
      <c r="L14" s="121">
        <f>IF(C14&lt;&gt;"",SUMIF(Resultados!$C$85:$C$110,'Temporada 2026'!C14,Resultados!$F$85:$F$110),"")</f>
        <v>18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22</v>
      </c>
      <c r="P14" s="121">
        <f>IF(C14&lt;&gt;"",SUMIF(Resultados!$C$223:$C$268,'Temporada 2026'!C14,Resultados!$F$223:$F$268),"")</f>
        <v>5</v>
      </c>
      <c r="Q14" s="121">
        <f>IF(C14&lt;&gt;"",SUMIF(Resultados!$C$275:$C$300,'Temporada 2026'!C14,Resultados!$F$275:$F$300),"")</f>
        <v>10</v>
      </c>
      <c r="R14" s="121">
        <f>IF(C14&lt;&gt;"",SUMIF(Resultados!$C$303:$C$328,'Temporada 2026'!C14,Resultados!$F$303:$F$328),"")</f>
        <v>10</v>
      </c>
      <c r="S14" s="121">
        <f>IF(C14&lt;&gt;"",SUMIF(Resultados!$C$331:$C$356,'Temporada 2026'!C14,Resultados!$F$331:$F$356),"")</f>
        <v>12</v>
      </c>
      <c r="T14" s="121">
        <f>IF(C14&lt;&gt;"",SUMIF(Resultados!$C$360:$C$409,'Temporada 2026'!C14,Resultados!$F$360:$F$409),"")</f>
        <v>2</v>
      </c>
      <c r="U14" s="121">
        <f>IF(C14&lt;&gt;"",SUMIF(Resultados!$C$412:$C$437,'Temporada 2026'!C14,Resultados!$F$412:$F$437),"")</f>
        <v>10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12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68</v>
      </c>
      <c r="H15" s="123">
        <f t="shared" si="0"/>
        <v>-174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12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8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J</v>
      </c>
      <c r="G16" s="125">
        <f>VLOOKUP(B16,'Dummy Table'!$A$3:$E$30,5,FALSE)</f>
        <v>49</v>
      </c>
      <c r="H16" s="123">
        <f t="shared" si="0"/>
        <v>-193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8</v>
      </c>
      <c r="R16" s="121">
        <f>IF(C16&lt;&gt;"",SUMIF(Resultados!$C$303:$C$328,'Temporada 2026'!C16,Resultados!$F$303:$F$328),"")</f>
        <v>4</v>
      </c>
      <c r="S16" s="121">
        <f>IF(C16&lt;&gt;"",SUMIF(Resultados!$C$331:$C$356,'Temporada 2026'!C16,Resultados!$F$331:$F$356),"")</f>
        <v>2</v>
      </c>
      <c r="T16" s="121">
        <f>IF(C16&lt;&gt;"",SUMIF(Resultados!$C$360:$C$409,'Temporada 2026'!C16,Resultados!$F$360:$F$409),"")</f>
        <v>9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4</v>
      </c>
      <c r="W16" s="121">
        <f>IF(C16&lt;&gt;"",SUMIF(Resultados!$C$469:$C$518,'Temporada 2026'!C16,Resultados!$F$469:$F$518),"")</f>
        <v>6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J</v>
      </c>
      <c r="G17" s="125">
        <f>VLOOKUP(B17,'Dummy Table'!$A$3:$E$30,5,FALSE)</f>
        <v>44</v>
      </c>
      <c r="H17" s="123">
        <f t="shared" si="0"/>
        <v>-198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15</v>
      </c>
      <c r="R17" s="121">
        <f>IF(C17&lt;&gt;"",SUMIF(Resultados!$C$303:$C$328,'Temporada 2026'!C17,Resultados!$F$303:$F$328),"")</f>
        <v>6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1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2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23</v>
      </c>
      <c r="H18" s="123">
        <f t="shared" si="0"/>
        <v>-219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6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1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19</v>
      </c>
      <c r="H19" s="123">
        <f t="shared" si="0"/>
        <v>-223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J</v>
      </c>
      <c r="G20" s="125">
        <f>VLOOKUP(B20,'Dummy Table'!$A$3:$E$30,5,FALSE)</f>
        <v>18</v>
      </c>
      <c r="H20" s="123">
        <f t="shared" si="0"/>
        <v>-224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10</v>
      </c>
      <c r="H21" s="123">
        <f t="shared" si="0"/>
        <v>-232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4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Nico Hulkenberg</v>
      </c>
      <c r="D22" s="123" t="str">
        <f>VLOOKUP(B22,'Dummy Table'!$A$3:$C$30,3,FALSE)</f>
        <v>Alemanha</v>
      </c>
      <c r="E22" s="123" t="str">
        <f>VLOOKUP(B22,'Dummy Table'!$A$3:$D$30,4,FALSE)</f>
        <v>Audi</v>
      </c>
      <c r="F22" s="124" t="str">
        <f>IF(C22&lt;&gt;"",IF(G22+Resultados!$K$35&gt;$G$8,"J","L"),"")</f>
        <v>J</v>
      </c>
      <c r="G22" s="125">
        <f>VLOOKUP(B22,'Dummy Table'!$A$3:$E$30,5,FALSE)</f>
        <v>6</v>
      </c>
      <c r="H22" s="123">
        <f t="shared" si="0"/>
        <v>-236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2</v>
      </c>
      <c r="W22" s="121">
        <f>IF(C22&lt;&gt;"",SUMIF(Resultados!$C$469:$C$518,'Temporada 2026'!C22,Resultados!$F$469:$F$518),"")</f>
        <v>4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Carlos Sainz</v>
      </c>
      <c r="D23" s="123" t="str">
        <f>VLOOKUP(B23,'Dummy Table'!$A$3:$C$30,3,FALSE)</f>
        <v>Espanha</v>
      </c>
      <c r="E23" s="123" t="str">
        <f>VLOOKUP(B23,'Dummy Table'!$A$3:$D$30,4,FALSE)</f>
        <v>Williams</v>
      </c>
      <c r="F23" s="124" t="str">
        <f>IF(C23&lt;&gt;"",IF(G23+Resultados!$K$35&gt;$G$8,"J","L"),"")</f>
        <v>J</v>
      </c>
      <c r="G23" s="125">
        <f>VLOOKUP(B23,'Dummy Table'!$A$3:$E$30,5,FALSE)</f>
        <v>6</v>
      </c>
      <c r="H23" s="123">
        <f t="shared" si="0"/>
        <v>-236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2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2</v>
      </c>
      <c r="P23" s="121">
        <f>IF(C23&lt;&gt;"",SUMIF(Resultados!$C$223:$C$268,'Temporada 2026'!C23,Resultados!$F$223:$F$268),"")</f>
        <v>2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Alexander Albon</v>
      </c>
      <c r="D24" s="123" t="str">
        <f>VLOOKUP(B24,'Dummy Table'!$A$3:$C$30,3,FALSE)</f>
        <v>Tailandia</v>
      </c>
      <c r="E24" s="123" t="str">
        <f>VLOOKUP(B24,'Dummy Table'!$A$3:$D$30,4,FALSE)</f>
        <v>Williams</v>
      </c>
      <c r="F24" s="124" t="str">
        <f>IF(C24&lt;&gt;"",IF(G24+Resultados!$K$35&gt;$G$8,"J","L"),"")</f>
        <v>J</v>
      </c>
      <c r="G24" s="125">
        <f>VLOOKUP(B24,'Dummy Table'!$A$3:$E$30,5,FALSE)</f>
        <v>5</v>
      </c>
      <c r="H24" s="123">
        <f t="shared" si="0"/>
        <v>-237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1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4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Esteban Ocon</v>
      </c>
      <c r="D25" s="123" t="str">
        <f>VLOOKUP(B25,'Dummy Table'!$A$3:$C$30,3,FALSE)</f>
        <v>França</v>
      </c>
      <c r="E25" s="123" t="str">
        <f>VLOOKUP(B25,'Dummy Table'!$A$3:$D$30,4,FALSE)</f>
        <v>Haas</v>
      </c>
      <c r="F25" s="124" t="str">
        <f>IF(C25&lt;&gt;"",IF(G25+Resultados!$K$35&gt;$G$8,"J","L"),"")</f>
        <v>J</v>
      </c>
      <c r="G25" s="125">
        <f>VLOOKUP(B25,'Dummy Table'!$A$3:$E$30,5,FALSE)</f>
        <v>3</v>
      </c>
      <c r="H25" s="123">
        <f t="shared" si="0"/>
        <v>-239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1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2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Fernando Alonso</v>
      </c>
      <c r="D26" s="123" t="str">
        <f>VLOOKUP(B26,'Dummy Table'!$A$3:$C$30,3,FALSE)</f>
        <v>Espanha</v>
      </c>
      <c r="E26" s="123" t="str">
        <f>VLOOKUP(B26,'Dummy Table'!$A$3:$D$30,4,FALSE)</f>
        <v>Aston Martin</v>
      </c>
      <c r="F26" s="124" t="str">
        <f>IF(C26&lt;&gt;"",IF(G26+Resultados!$K$35&gt;$G$8,"J","L"),"")</f>
        <v>J</v>
      </c>
      <c r="G26" s="125">
        <f>VLOOKUP(B26,'Dummy Table'!$A$3:$E$30,5,FALSE)</f>
        <v>3</v>
      </c>
      <c r="H26" s="123">
        <f t="shared" si="0"/>
        <v>-239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1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2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Yuki Tsunoda</v>
      </c>
      <c r="D27" s="123" t="str">
        <f>VLOOKUP(B27,'Dummy Table'!$A$3:$C$30,3,FALSE)</f>
        <v>Japão</v>
      </c>
      <c r="E27" s="123" t="str">
        <f>VLOOKUP(B27,'Dummy Table'!$A$3:$D$30,4,FALSE)</f>
        <v>Racing Bulls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-242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Lance Stroll</v>
      </c>
      <c r="D28" s="123" t="str">
        <f>VLOOKUP(B28,'Dummy Table'!$A$3:$C$30,3,FALSE)</f>
        <v>Canadá</v>
      </c>
      <c r="E28" s="123" t="str">
        <f>VLOOKUP(B28,'Dummy Table'!$A$3:$D$30,4,FALSE)</f>
        <v>Aston Martin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-242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Valtteri Bottas</v>
      </c>
      <c r="D29" s="123" t="str">
        <f>VLOOKUP(B29,'Dummy Table'!$A$3:$C$30,3,FALSE)</f>
        <v>Finlândia</v>
      </c>
      <c r="E29" s="123" t="str">
        <f>VLOOKUP(B29,'Dummy Table'!$A$3:$D$30,4,FALSE)</f>
        <v>Cadillac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-242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>
        <f>IF('Equipes e Pilotos'!B25&lt;&gt;"",'Equipes e Pilotos'!B25,"")</f>
        <v>23</v>
      </c>
      <c r="C30" s="122" t="str">
        <f>VLOOKUP(B30,'Dummy Table'!$A$3:$B$30,2,FALSE)</f>
        <v>Sergio Perez</v>
      </c>
      <c r="D30" s="123" t="str">
        <f>VLOOKUP(B30,'Dummy Table'!$A$3:$C$30,3,FALSE)</f>
        <v>México</v>
      </c>
      <c r="E30" s="123" t="str">
        <f>VLOOKUP(B30,'Dummy Table'!$A$3:$D$30,4,FALSE)</f>
        <v>Cadillac</v>
      </c>
      <c r="F30" s="124" t="str">
        <f>IF(C30&lt;&gt;"",IF(G30+Resultados!$K$35&gt;$G$8,"J","L"),"")</f>
        <v>J</v>
      </c>
      <c r="G30" s="125">
        <f>VLOOKUP(B30,'Dummy Table'!$A$3:$E$30,5,FALSE)</f>
        <v>0</v>
      </c>
      <c r="H30" s="123">
        <f t="shared" si="0"/>
        <v>-242</v>
      </c>
      <c r="I30" s="126">
        <f>IF(B30="","",SUMIF(Resultados!$M$3:$M$30,C30,Resultados!$O$3:$O$30))</f>
        <v>0</v>
      </c>
      <c r="J30" s="121">
        <f>IF(C30&lt;&gt;"",SUMIF(Resultados!$C$4:$C$29,'Temporada 2026'!C30,Resultados!$F$4:$F$29),"")</f>
        <v>0</v>
      </c>
      <c r="K30" s="121">
        <f>IF(C30&lt;&gt;"",SUMIF(Resultados!$C$33:$C$82,'Temporada 2026'!C30,Resultados!$F$33:$F$82),"")</f>
        <v>0</v>
      </c>
      <c r="L30" s="121">
        <f>IF(C30&lt;&gt;"",SUMIF(Resultados!$C$85:$C$110,'Temporada 2026'!C30,Resultados!$F$85:$F$110),"")</f>
        <v>0</v>
      </c>
      <c r="M30" s="121">
        <f>IF(C30&lt;&gt;"",SUMIF(Resultados!$C$113:$C$138,'Temporada 2026'!C30,Resultados!$F$113:$F$138),"")</f>
        <v>0</v>
      </c>
      <c r="N30" s="121">
        <f>IF(C30&lt;&gt;"",SUMIF(Resultados!$C$141:$C$166,'Temporada 2026'!C30,Resultados!$F$141:$F$166),"")</f>
        <v>0</v>
      </c>
      <c r="O30" s="121">
        <f>IF(C30&lt;&gt;"",SUMIF(Resultados!$C$170:$C$219,'Temporada 2026'!C30,Resultados!$F$170:$F$219),"")</f>
        <v>0</v>
      </c>
      <c r="P30" s="121">
        <f>IF(C30&lt;&gt;"",SUMIF(Resultados!$C$223:$C$268,'Temporada 2026'!C30,Resultados!$F$223:$F$268),"")</f>
        <v>0</v>
      </c>
      <c r="Q30" s="121">
        <f>IF(C30&lt;&gt;"",SUMIF(Resultados!$C$275:$C$300,'Temporada 2026'!C30,Resultados!$F$275:$F$300),"")</f>
        <v>0</v>
      </c>
      <c r="R30" s="121">
        <f>IF(C30&lt;&gt;"",SUMIF(Resultados!$C$303:$C$328,'Temporada 2026'!C30,Resultados!$F$303:$F$328),"")</f>
        <v>0</v>
      </c>
      <c r="S30" s="121">
        <f>IF(C30&lt;&gt;"",SUMIF(Resultados!$C$331:$C$356,'Temporada 2026'!C30,Resultados!$F$331:$F$356),"")</f>
        <v>0</v>
      </c>
      <c r="T30" s="121">
        <f>IF(C30&lt;&gt;"",SUMIF(Resultados!$C$360:$C$409,'Temporada 2026'!C30,Resultados!$F$360:$F$409),"")</f>
        <v>0</v>
      </c>
      <c r="U30" s="121">
        <f>IF(C30&lt;&gt;"",SUMIF(Resultados!$C$412:$C$437,'Temporada 2026'!C30,Resultados!$F$412:$F$437),"")</f>
        <v>0</v>
      </c>
      <c r="V30" s="121">
        <f>IF(C30&lt;&gt;"",SUMIF(Resultados!$C$440:$C$465,'Temporada 2026'!C30,Resultados!$F$440:$F$465),"")</f>
        <v>0</v>
      </c>
      <c r="W30" s="121">
        <f>IF(C30&lt;&gt;"",SUMIF(Resultados!$C$469:$C$518,'Temporada 2026'!C30,Resultados!$F$469:$F$518),"")</f>
        <v>0</v>
      </c>
      <c r="X30" s="121">
        <f>IF(C30&lt;&gt;"",SUMIF(Resultados!$C$521:$C$546,'Temporada 2026'!C30,Resultados!$F$521:$F$546),"")</f>
        <v>0</v>
      </c>
      <c r="Y30" s="121">
        <f>IF(C30&lt;&gt;"",SUMIF(Resultados!$C$549:$C$574,'Temporada 2026'!C30,Resultados!$F$549:$F$574),"")</f>
        <v>0</v>
      </c>
      <c r="Z30" s="121">
        <f>IF(C30&lt;&gt;"",SUMIF(Resultados!$C$577:$C$602,'Temporada 2026'!C30,Resultados!$F$577:$F$602),"")</f>
        <v>0</v>
      </c>
      <c r="AA30" s="121">
        <f>IF(C30&lt;&gt;"",SUMIF(Resultados!$C$606:$C$655,'Temporada 2026'!C30,Resultados!$F$606:$F$655),"")</f>
        <v>0</v>
      </c>
      <c r="AB30" s="121">
        <f>IF(C30&lt;&gt;"",SUMIF(Resultados!$C$658:$C$683,'Temporada 2026'!C30,Resultados!$F$658:$F$683),"")</f>
        <v>0</v>
      </c>
      <c r="AC30" s="121">
        <f>IF(C30&lt;&gt;"",SUMIF(Resultados!$C$686:$C$711,'Temporada 2026'!C30,Resultados!$F$686:$F$711),"")</f>
        <v>0</v>
      </c>
      <c r="AD30" s="121">
        <f>IF(C30&lt;&gt;"",SUMIF(Resultados!$C$714:$C$739,'Temporada 2026'!C30,Resultados!$F$714:$F$739),"")</f>
        <v>0</v>
      </c>
      <c r="AE30" s="121">
        <f>IF(C30&lt;&gt;"",SUMIF(Resultados!$C$742:$C$767,'Temporada 2026'!C30,Resultados!$F$742:$F$767),"")</f>
        <v>0</v>
      </c>
      <c r="AF30" s="121">
        <f>IF(C30&lt;&gt;"",SUMIF(Resultados!$C$770:$C$795,'Temporada 2026'!C30,Resultados!$F$770:$F$795),"")</f>
        <v>0</v>
      </c>
      <c r="AG30" s="121">
        <f>IF(C30&lt;&gt;"",SUMIF(Resultados!$C$798:$C$823,'Temporada 2026'!C30,Resultados!$F$798:$F$823),"")</f>
        <v>0</v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7" t="s">
        <v>357</v>
      </c>
      <c r="C36" s="157"/>
      <c r="D36" s="157"/>
      <c r="E36" s="157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434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58" t="s">
        <v>244</v>
      </c>
      <c r="C37" s="158" t="s">
        <v>233</v>
      </c>
      <c r="D37" s="158" t="s">
        <v>16</v>
      </c>
      <c r="E37" s="158" t="s">
        <v>236</v>
      </c>
      <c r="F37" s="158" t="s">
        <v>245</v>
      </c>
      <c r="G37" s="158" t="s">
        <v>246</v>
      </c>
      <c r="H37" s="120"/>
      <c r="I37" s="158" t="s">
        <v>253</v>
      </c>
      <c r="J37" s="159" t="s">
        <v>232</v>
      </c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59"/>
      <c r="AG37" s="159"/>
    </row>
    <row r="38" spans="2:33" x14ac:dyDescent="0.2">
      <c r="B38" s="158"/>
      <c r="C38" s="158"/>
      <c r="D38" s="158"/>
      <c r="E38" s="158"/>
      <c r="F38" s="158"/>
      <c r="G38" s="158"/>
      <c r="H38" s="120"/>
      <c r="I38" s="158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425</v>
      </c>
      <c r="H39" s="125"/>
      <c r="I39" s="126">
        <f>IF(B39="","",SUMIF(Resultados!$N$3:$N$30,C39,Resultados!$O$3:$O$30))</f>
        <v>8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21</v>
      </c>
      <c r="W39" s="121">
        <f>IF(C39&lt;&gt;"",SUMIF(Resultados!$E$469:$E$518,'Temporada 2026'!C39,Resultados!$F$469:$F$518),"")</f>
        <v>46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338</v>
      </c>
      <c r="H40" s="123">
        <f>IF(C40&lt;&gt;"",G40-G$39,"")</f>
        <v>-87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22</v>
      </c>
      <c r="W40" s="121">
        <f>IF(C40&lt;&gt;"",SUMIF(Resultados!$E$469:$E$518,'Temporada 2026'!C40,Resultados!$F$469:$F$518),"")</f>
        <v>31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263</v>
      </c>
      <c r="H41" s="123">
        <f t="shared" ref="H41:H51" si="1">IF(C41&lt;&gt;"",G41-G$39,"")</f>
        <v>-162</v>
      </c>
      <c r="I41" s="126">
        <f>IF(B41="","",SUMIF(Resultados!$N$3:$N$30,C41,Resultados!$O$3:$O$30))</f>
        <v>2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10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25</v>
      </c>
      <c r="W41" s="121">
        <f>IF(C41&lt;&gt;"",SUMIF(Resultados!$E$469:$E$518,'Temporada 2026'!C41,Resultados!$F$469:$F$518),"")</f>
        <v>43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186</v>
      </c>
      <c r="H42" s="123">
        <f t="shared" si="1"/>
        <v>-239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12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26</v>
      </c>
      <c r="W42" s="121">
        <f>IF(C42&lt;&gt;"",SUMIF(Resultados!$E$469:$E$518,'Temporada 2026'!C42,Resultados!$F$469:$F$518),"")</f>
        <v>3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Racing Bulls</v>
      </c>
      <c r="D43" s="123" t="str">
        <f>VLOOKUP(B43,'Dummy Table'!$A$34:$C$47,3,FALSE)</f>
        <v>Itália</v>
      </c>
      <c r="E43" s="123" t="str">
        <f>VLOOKUP(B43,'Dummy Table'!$A$34:$D$47,4,FALSE)</f>
        <v>RB Ford</v>
      </c>
      <c r="F43" s="124" t="str">
        <f>IF(C43&lt;&gt;"",IF(G43+Resultados!$K$30&gt;$G$39,"J","L"),"")</f>
        <v>J</v>
      </c>
      <c r="G43" s="125">
        <f>VLOOKUP(B43,'Dummy Table'!$A$34:$E$47,5,FALSE)</f>
        <v>66</v>
      </c>
      <c r="H43" s="123">
        <f t="shared" si="1"/>
        <v>-359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4</v>
      </c>
      <c r="K43" s="121">
        <f>IF(C43&lt;&gt;"",SUMIF(Resultados!$E$33:$E$82,'Temporada 2026'!C43,Resultados!$F$33:$F$82),"")</f>
        <v>8</v>
      </c>
      <c r="L43" s="121">
        <f>IF(C43&lt;&gt;"",SUMIF(Resultados!$E$85:$E$110,'Temporada 2026'!C43,Resultados!$F$85:$F$110),"")</f>
        <v>2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6</v>
      </c>
      <c r="Q43" s="121">
        <f>IF(C43&lt;&gt;"",SUMIF(Resultados!$E$275:$E$300,'Temporada 2026'!C43,Resultados!$F$275:$F$300),"")</f>
        <v>14</v>
      </c>
      <c r="R43" s="121">
        <f>IF(C43&lt;&gt;"",SUMIF(Resultados!$E$303:$E$328,'Temporada 2026'!C43,Resultados!$F$303:$F$328),"")</f>
        <v>6</v>
      </c>
      <c r="S43" s="121">
        <f>IF(C43&lt;&gt;"",SUMIF(Resultados!$E$331:$E$356,'Temporada 2026'!C43,Resultados!$F$331:$F$356),"")</f>
        <v>3</v>
      </c>
      <c r="T43" s="121">
        <f>IF(C43&lt;&gt;"",SUMIF(Resultados!$E$360:$E$409,'Temporada 2026'!C43,Resultados!$F$360:$F$409),"")</f>
        <v>15</v>
      </c>
      <c r="U43" s="121">
        <f>IF(C43&lt;&gt;"",SUMIF(Resultados!$E$412:$E$437,'Temporada 2026'!C43,Resultados!$F$412:$F$437),"")</f>
        <v>2</v>
      </c>
      <c r="V43" s="121">
        <f>IF(C43&lt;&gt;"",SUMIF(Resultados!$E$440:$E$465,'Temporada 2026'!C43,Resultados!$F$440:$F$465),"")</f>
        <v>5</v>
      </c>
      <c r="W43" s="121">
        <f>IF(C43&lt;&gt;"",SUMIF(Resultados!$E$469:$E$518,'Temporada 2026'!C43,Resultados!$F$469:$F$518),"")</f>
        <v>6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Alpine</v>
      </c>
      <c r="D44" s="123" t="str">
        <f>VLOOKUP(B44,'Dummy Table'!$A$34:$C$47,3,FALSE)</f>
        <v>França</v>
      </c>
      <c r="E44" s="123" t="str">
        <f>VLOOKUP(B44,'Dummy Table'!$A$34:$D$47,4,FALSE)</f>
        <v>Renault</v>
      </c>
      <c r="F44" s="124" t="str">
        <f>IF(C44&lt;&gt;"",IF(G44+Resultados!$K$30&gt;$G$39,"J","L"),"")</f>
        <v>J</v>
      </c>
      <c r="G44" s="125">
        <f>VLOOKUP(B44,'Dummy Table'!$A$34:$E$47,5,FALSE)</f>
        <v>63</v>
      </c>
      <c r="H44" s="123">
        <f t="shared" si="1"/>
        <v>-362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1</v>
      </c>
      <c r="K44" s="121">
        <f>IF(C44&lt;&gt;"",SUMIF(Resultados!$E$33:$E$82,'Temporada 2026'!C44,Resultados!$F$33:$F$82),"")</f>
        <v>9</v>
      </c>
      <c r="L44" s="121">
        <f>IF(C44&lt;&gt;"",SUMIF(Resultados!$E$85:$E$110,'Temporada 2026'!C44,Resultados!$F$85:$F$110),"")</f>
        <v>6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7</v>
      </c>
      <c r="P44" s="121">
        <f>IF(C44&lt;&gt;"",SUMIF(Resultados!$E$247:$E$272,'Temporada 2026'!C44,Resultados!$F$247:$F$272),"")</f>
        <v>12</v>
      </c>
      <c r="Q44" s="121">
        <f>IF(C44&lt;&gt;"",SUMIF(Resultados!$E$275:$E$300,'Temporada 2026'!C44,Resultados!$F$275:$F$300),"")</f>
        <v>15</v>
      </c>
      <c r="R44" s="121">
        <f>IF(C44&lt;&gt;"",SUMIF(Resultados!$E$303:$E$328,'Temporada 2026'!C44,Resultados!$F$303:$F$328),"")</f>
        <v>7</v>
      </c>
      <c r="S44" s="121">
        <f>IF(C44&lt;&gt;"",SUMIF(Resultados!$E$331:$E$356,'Temporada 2026'!C44,Resultados!$F$331:$F$356),"")</f>
        <v>0</v>
      </c>
      <c r="T44" s="121">
        <f>IF(C44&lt;&gt;"",SUMIF(Resultados!$E$360:$E$409,'Temporada 2026'!C44,Resultados!$F$360:$F$409),"")</f>
        <v>3</v>
      </c>
      <c r="U44" s="121">
        <f>IF(C44&lt;&gt;"",SUMIF(Resultados!$E$412:$E$437,'Temporada 2026'!C44,Resultados!$F$412:$F$437),"")</f>
        <v>1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2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-404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J</v>
      </c>
      <c r="G46" s="125">
        <f>VLOOKUP(B46,'Dummy Table'!$A$34:$E$47,5,FALSE)</f>
        <v>16</v>
      </c>
      <c r="H46" s="123">
        <f t="shared" si="1"/>
        <v>-409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4</v>
      </c>
      <c r="U46" s="121">
        <f>IF(C46&lt;&gt;"",SUMIF(Resultados!$E$412:$E$437,'Temporada 2026'!C46,Resultados!$F$412:$F$437),"")</f>
        <v>4</v>
      </c>
      <c r="V46" s="121">
        <f>IF(C46&lt;&gt;"",SUMIF(Resultados!$E$440:$E$465,'Temporada 2026'!C46,Resultados!$F$440:$F$465),"")</f>
        <v>2</v>
      </c>
      <c r="W46" s="121">
        <f>IF(C46&lt;&gt;"",SUMIF(Resultados!$E$469:$E$518,'Temporada 2026'!C46,Resultados!$F$469:$F$518),"")</f>
        <v>4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J</v>
      </c>
      <c r="G47" s="125">
        <f>VLOOKUP(B47,'Dummy Table'!$A$34:$E$47,5,FALSE)</f>
        <v>11</v>
      </c>
      <c r="H47" s="123">
        <f t="shared" si="1"/>
        <v>-414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3</v>
      </c>
      <c r="P47" s="121">
        <f>IF(C47&lt;&gt;"",SUMIF(Resultados!$E$247:$E$272,'Temporada 2026'!C47,Resultados!$F$247:$F$272),"")</f>
        <v>2</v>
      </c>
      <c r="Q47" s="121">
        <f>IF(C47&lt;&gt;"",SUMIF(Resultados!$E$275:$E$300,'Temporada 2026'!C47,Resultados!$F$275:$F$300),"")</f>
        <v>4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3</v>
      </c>
      <c r="H48" s="123">
        <f t="shared" si="1"/>
        <v>-422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2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-425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62" t="s">
        <v>249</v>
      </c>
      <c r="C54" s="162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358</v>
      </c>
      <c r="C58" s="129" t="s">
        <v>359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360</v>
      </c>
      <c r="D1" t="s">
        <v>361</v>
      </c>
      <c r="E1" t="s">
        <v>362</v>
      </c>
      <c r="F1" t="s">
        <v>363</v>
      </c>
      <c r="G1" s="154" t="s">
        <v>435</v>
      </c>
      <c r="H1" t="s">
        <v>364</v>
      </c>
      <c r="I1" s="153" t="s">
        <v>367</v>
      </c>
      <c r="J1" t="s">
        <v>365</v>
      </c>
      <c r="K1" t="s">
        <v>366</v>
      </c>
      <c r="L1" s="153" t="s">
        <v>380</v>
      </c>
      <c r="M1" s="153" t="s">
        <v>368</v>
      </c>
      <c r="N1" s="153" t="s">
        <v>369</v>
      </c>
      <c r="O1" s="153" t="s">
        <v>370</v>
      </c>
      <c r="P1" s="153" t="s">
        <v>371</v>
      </c>
      <c r="Q1" s="153" t="s">
        <v>436</v>
      </c>
      <c r="R1" t="s">
        <v>372</v>
      </c>
      <c r="S1" t="s">
        <v>373</v>
      </c>
      <c r="T1" t="s">
        <v>374</v>
      </c>
      <c r="U1" t="s">
        <v>302</v>
      </c>
      <c r="V1" t="s">
        <v>375</v>
      </c>
      <c r="W1" t="s">
        <v>376</v>
      </c>
      <c r="X1" t="s">
        <v>377</v>
      </c>
      <c r="Y1" t="s">
        <v>378</v>
      </c>
      <c r="Z1" t="s">
        <v>379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179</v>
      </c>
      <c r="N2">
        <f>M2+'Temporada 2026'!U8</f>
        <v>204</v>
      </c>
      <c r="O2">
        <f>N2+'Temporada 2026'!V8</f>
        <v>219</v>
      </c>
      <c r="P2">
        <f>O2+'Temporada 2026'!W8</f>
        <v>242</v>
      </c>
      <c r="Q2">
        <f>P2+'Temporada 2026'!X8</f>
        <v>242</v>
      </c>
      <c r="R2">
        <f>Q2+'Temporada 2026'!Y8</f>
        <v>242</v>
      </c>
      <c r="S2">
        <f>R2+'Temporada 2026'!Z8</f>
        <v>242</v>
      </c>
      <c r="T2">
        <f>S2+'Temporada 2026'!AA8</f>
        <v>242</v>
      </c>
      <c r="U2">
        <f>T2+'Temporada 2026'!AB8</f>
        <v>242</v>
      </c>
      <c r="V2">
        <f>U2+'Temporada 2026'!AC8</f>
        <v>242</v>
      </c>
      <c r="W2">
        <f>V2+'Temporada 2026'!AD8</f>
        <v>242</v>
      </c>
      <c r="X2">
        <f>W2+'Temporada 2026'!AE8</f>
        <v>242</v>
      </c>
      <c r="Y2">
        <f>X2+'Temporada 2026'!AF8</f>
        <v>242</v>
      </c>
      <c r="Z2">
        <f>Y2+'Temporada 2026'!AG8</f>
        <v>242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154</v>
      </c>
      <c r="N3">
        <f>M3+'Temporada 2026'!U9</f>
        <v>154</v>
      </c>
      <c r="O3">
        <f>N3+'Temporada 2026'!V9</f>
        <v>160</v>
      </c>
      <c r="P3">
        <f>O3+'Temporada 2026'!W9</f>
        <v>183</v>
      </c>
      <c r="Q3">
        <f>P3+'Temporada 2026'!X9</f>
        <v>183</v>
      </c>
      <c r="R3">
        <f>Q3+'Temporada 2026'!Y9</f>
        <v>183</v>
      </c>
      <c r="S3">
        <f>R3+'Temporada 2026'!Z9</f>
        <v>183</v>
      </c>
      <c r="T3">
        <f>S3+'Temporada 2026'!AA9</f>
        <v>183</v>
      </c>
      <c r="U3">
        <f>T3+'Temporada 2026'!AB9</f>
        <v>183</v>
      </c>
      <c r="V3">
        <f>U3+'Temporada 2026'!AC9</f>
        <v>183</v>
      </c>
      <c r="W3">
        <f>V3+'Temporada 2026'!AD9</f>
        <v>183</v>
      </c>
      <c r="X3">
        <f>W3+'Temporada 2026'!AE9</f>
        <v>183</v>
      </c>
      <c r="Y3">
        <f>X3+'Temporada 2026'!AF9</f>
        <v>183</v>
      </c>
      <c r="Z3">
        <f>Y3+'Temporada 2026'!AG9</f>
        <v>183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41</v>
      </c>
      <c r="G4">
        <f>F4+'Temporada 2026'!N10</f>
        <v>41</v>
      </c>
      <c r="H4">
        <f>G4+'Temporada 2026'!O10</f>
        <v>51</v>
      </c>
      <c r="I4">
        <f>H4+'Temporada 2026'!P10</f>
        <v>72</v>
      </c>
      <c r="J4">
        <f>I4+'Temporada 2026'!Q10</f>
        <v>90</v>
      </c>
      <c r="K4">
        <f>J4+'Temporada 2026'!R10</f>
        <v>115</v>
      </c>
      <c r="L4">
        <f>K4+'Temporada 2026'!S10</f>
        <v>125</v>
      </c>
      <c r="M4">
        <f>L4+'Temporada 2026'!T10</f>
        <v>147</v>
      </c>
      <c r="N4">
        <f>M4+'Temporada 2026'!U10</f>
        <v>159</v>
      </c>
      <c r="O4">
        <f>N4+'Temporada 2026'!V10</f>
        <v>169</v>
      </c>
      <c r="P4">
        <f>O4+'Temporada 2026'!W10</f>
        <v>183</v>
      </c>
      <c r="Q4">
        <f>P4+'Temporada 2026'!X10</f>
        <v>183</v>
      </c>
      <c r="R4">
        <f>Q4+'Temporada 2026'!Y10</f>
        <v>183</v>
      </c>
      <c r="S4">
        <f>R4+'Temporada 2026'!Z10</f>
        <v>183</v>
      </c>
      <c r="T4">
        <f>S4+'Temporada 2026'!AA10</f>
        <v>183</v>
      </c>
      <c r="U4">
        <f>T4+'Temporada 2026'!AB10</f>
        <v>183</v>
      </c>
      <c r="V4">
        <f>U4+'Temporada 2026'!AC10</f>
        <v>183</v>
      </c>
      <c r="W4">
        <f>V4+'Temporada 2026'!AD10</f>
        <v>183</v>
      </c>
      <c r="X4">
        <f>W4+'Temporada 2026'!AE10</f>
        <v>183</v>
      </c>
      <c r="Y4">
        <f>X4+'Temporada 2026'!AF10</f>
        <v>183</v>
      </c>
      <c r="Z4">
        <f>Y4+'Temporada 2026'!AG10</f>
        <v>183</v>
      </c>
    </row>
    <row r="5" spans="1:26" x14ac:dyDescent="0.2">
      <c r="A5">
        <f>'Temporada 2026'!B11</f>
        <v>4</v>
      </c>
      <c r="B5" t="str">
        <f>'Temporada 2026'!C11</f>
        <v>Lando Norris</v>
      </c>
      <c r="C5">
        <f>'Temporada 2026'!J11</f>
        <v>10</v>
      </c>
      <c r="D5">
        <f>C5+'Temporada 2026'!K11</f>
        <v>15</v>
      </c>
      <c r="E5">
        <f>D5+'Temporada 2026'!L11</f>
        <v>25</v>
      </c>
      <c r="F5">
        <f>E5+'Temporada 2026'!M11</f>
        <v>25</v>
      </c>
      <c r="G5">
        <f>F5+'Temporada 2026'!N11</f>
        <v>25</v>
      </c>
      <c r="H5">
        <f>G5+'Temporada 2026'!O11</f>
        <v>51</v>
      </c>
      <c r="I5">
        <f>H5+'Temporada 2026'!P11</f>
        <v>58</v>
      </c>
      <c r="J5">
        <f>I5+'Temporada 2026'!Q11</f>
        <v>58</v>
      </c>
      <c r="K5">
        <f>J5+'Temporada 2026'!R11</f>
        <v>73</v>
      </c>
      <c r="L5">
        <f>K5+'Temporada 2026'!S11</f>
        <v>79</v>
      </c>
      <c r="M5">
        <f>L5+'Temporada 2026'!T11</f>
        <v>97</v>
      </c>
      <c r="N5">
        <f>M5+'Temporada 2026'!U11</f>
        <v>103</v>
      </c>
      <c r="O5">
        <f>N5+'Temporada 2026'!V11</f>
        <v>128</v>
      </c>
      <c r="P5">
        <f>O5+'Temporada 2026'!W11</f>
        <v>159</v>
      </c>
      <c r="Q5">
        <f>P5+'Temporada 2026'!X11</f>
        <v>159</v>
      </c>
      <c r="R5">
        <f>Q5+'Temporada 2026'!Y11</f>
        <v>159</v>
      </c>
      <c r="S5">
        <f>R5+'Temporada 2026'!Z11</f>
        <v>159</v>
      </c>
      <c r="T5">
        <f>S5+'Temporada 2026'!AA11</f>
        <v>159</v>
      </c>
      <c r="U5">
        <f>T5+'Temporada 2026'!AB11</f>
        <v>159</v>
      </c>
      <c r="V5">
        <f>U5+'Temporada 2026'!AC11</f>
        <v>159</v>
      </c>
      <c r="W5">
        <f>V5+'Temporada 2026'!AD11</f>
        <v>159</v>
      </c>
      <c r="X5">
        <f>W5+'Temporada 2026'!AE11</f>
        <v>159</v>
      </c>
      <c r="Y5">
        <f>X5+'Temporada 2026'!AF11</f>
        <v>159</v>
      </c>
      <c r="Z5">
        <f>Y5+'Temporada 2026'!AG11</f>
        <v>159</v>
      </c>
    </row>
    <row r="6" spans="1:26" x14ac:dyDescent="0.2">
      <c r="A6">
        <f>'Temporada 2026'!B12</f>
        <v>5</v>
      </c>
      <c r="B6" t="str">
        <f>'Temporada 2026'!C12</f>
        <v>Charles Leclerc</v>
      </c>
      <c r="C6">
        <f>'Temporada 2026'!J12</f>
        <v>15</v>
      </c>
      <c r="D6">
        <f>C6+'Temporada 2026'!K12</f>
        <v>34</v>
      </c>
      <c r="E6">
        <f>D6+'Temporada 2026'!L12</f>
        <v>49</v>
      </c>
      <c r="F6">
        <f>E6+'Temporada 2026'!M12</f>
        <v>49</v>
      </c>
      <c r="G6">
        <f>F6+'Temporada 2026'!N12</f>
        <v>49</v>
      </c>
      <c r="H6">
        <f>G6+'Temporada 2026'!O12</f>
        <v>59</v>
      </c>
      <c r="I6">
        <f>H6+'Temporada 2026'!P12</f>
        <v>75</v>
      </c>
      <c r="J6">
        <f>I6+'Temporada 2026'!Q12</f>
        <v>75</v>
      </c>
      <c r="K6">
        <f>J6+'Temporada 2026'!R12</f>
        <v>75</v>
      </c>
      <c r="L6">
        <f>K6+'Temporada 2026'!S12</f>
        <v>79</v>
      </c>
      <c r="M6">
        <f>L6+'Temporada 2026'!T12</f>
        <v>108</v>
      </c>
      <c r="N6">
        <f>M6+'Temporada 2026'!U12</f>
        <v>126</v>
      </c>
      <c r="O6">
        <f>N6+'Temporada 2026'!V12</f>
        <v>138</v>
      </c>
      <c r="P6">
        <f>O6+'Temporada 2026'!W12</f>
        <v>155</v>
      </c>
      <c r="Q6">
        <f>P6+'Temporada 2026'!X12</f>
        <v>155</v>
      </c>
      <c r="R6">
        <f>Q6+'Temporada 2026'!Y12</f>
        <v>155</v>
      </c>
      <c r="S6">
        <f>R6+'Temporada 2026'!Z12</f>
        <v>155</v>
      </c>
      <c r="T6">
        <f>S6+'Temporada 2026'!AA12</f>
        <v>155</v>
      </c>
      <c r="U6">
        <f>T6+'Temporada 2026'!AB12</f>
        <v>155</v>
      </c>
      <c r="V6">
        <f>U6+'Temporada 2026'!AC12</f>
        <v>155</v>
      </c>
      <c r="W6">
        <f>V6+'Temporada 2026'!AD12</f>
        <v>155</v>
      </c>
      <c r="X6">
        <f>W6+'Temporada 2026'!AE12</f>
        <v>155</v>
      </c>
      <c r="Y6">
        <f>X6+'Temporada 2026'!AF12</f>
        <v>155</v>
      </c>
      <c r="Z6">
        <f>Y6+'Temporada 2026'!AG12</f>
        <v>155</v>
      </c>
    </row>
    <row r="7" spans="1:26" x14ac:dyDescent="0.2">
      <c r="A7">
        <f>'Temporada 2026'!B13</f>
        <v>6</v>
      </c>
      <c r="B7" t="str">
        <f>'Temporada 2026'!C13</f>
        <v>Max Verstappen</v>
      </c>
      <c r="C7">
        <f>'Temporada 2026'!J13</f>
        <v>8</v>
      </c>
      <c r="D7">
        <f>C7+'Temporada 2026'!K13</f>
        <v>8</v>
      </c>
      <c r="E7">
        <f>D7+'Temporada 2026'!L13</f>
        <v>12</v>
      </c>
      <c r="F7">
        <f>E7+'Temporada 2026'!M13</f>
        <v>12</v>
      </c>
      <c r="G7">
        <f>F7+'Temporada 2026'!N13</f>
        <v>12</v>
      </c>
      <c r="H7">
        <f>G7+'Temporada 2026'!O13</f>
        <v>26</v>
      </c>
      <c r="I7">
        <f>H7+'Temporada 2026'!P13</f>
        <v>43</v>
      </c>
      <c r="J7">
        <f>I7+'Temporada 2026'!Q13</f>
        <v>43</v>
      </c>
      <c r="K7">
        <f>J7+'Temporada 2026'!R13</f>
        <v>55</v>
      </c>
      <c r="L7">
        <f>K7+'Temporada 2026'!S13</f>
        <v>73</v>
      </c>
      <c r="M7">
        <f>L7+'Temporada 2026'!T13</f>
        <v>76</v>
      </c>
      <c r="N7">
        <f>M7+'Temporada 2026'!U13</f>
        <v>91</v>
      </c>
      <c r="O7">
        <f>N7+'Temporada 2026'!V13</f>
        <v>109</v>
      </c>
      <c r="P7">
        <f>O7+'Temporada 2026'!W13</f>
        <v>112</v>
      </c>
      <c r="Q7">
        <f>P7+'Temporada 2026'!X13</f>
        <v>112</v>
      </c>
      <c r="R7">
        <f>Q7+'Temporada 2026'!Y13</f>
        <v>112</v>
      </c>
      <c r="S7">
        <f>R7+'Temporada 2026'!Z13</f>
        <v>112</v>
      </c>
      <c r="T7">
        <f>S7+'Temporada 2026'!AA13</f>
        <v>112</v>
      </c>
      <c r="U7">
        <f>T7+'Temporada 2026'!AB13</f>
        <v>112</v>
      </c>
      <c r="V7">
        <f>U7+'Temporada 2026'!AC13</f>
        <v>112</v>
      </c>
      <c r="W7">
        <f>V7+'Temporada 2026'!AD13</f>
        <v>112</v>
      </c>
      <c r="X7">
        <f>W7+'Temporada 2026'!AE13</f>
        <v>112</v>
      </c>
      <c r="Y7">
        <f>X7+'Temporada 2026'!AF13</f>
        <v>112</v>
      </c>
      <c r="Z7">
        <f>Y7+'Temporada 2026'!AG13</f>
        <v>112</v>
      </c>
    </row>
    <row r="8" spans="1:26" x14ac:dyDescent="0.2">
      <c r="A8">
        <f>'Temporada 2026'!B14</f>
        <v>7</v>
      </c>
      <c r="B8" t="str">
        <f>'Temporada 2026'!C14</f>
        <v>Oscar Piastri</v>
      </c>
      <c r="C8">
        <f>'Temporada 2026'!J14</f>
        <v>0</v>
      </c>
      <c r="D8">
        <f>C8+'Temporada 2026'!K14</f>
        <v>3</v>
      </c>
      <c r="E8">
        <f>D8+'Temporada 2026'!L14</f>
        <v>21</v>
      </c>
      <c r="F8">
        <f>E8+'Temporada 2026'!M14</f>
        <v>21</v>
      </c>
      <c r="G8">
        <f>F8+'Temporada 2026'!N14</f>
        <v>21</v>
      </c>
      <c r="H8">
        <f>G8+'Temporada 2026'!O14</f>
        <v>43</v>
      </c>
      <c r="I8">
        <f>H8+'Temporada 2026'!P14</f>
        <v>48</v>
      </c>
      <c r="J8">
        <f>I8+'Temporada 2026'!Q14</f>
        <v>58</v>
      </c>
      <c r="K8">
        <f>J8+'Temporada 2026'!R14</f>
        <v>68</v>
      </c>
      <c r="L8">
        <f>K8+'Temporada 2026'!S14</f>
        <v>80</v>
      </c>
      <c r="M8">
        <f>L8+'Temporada 2026'!T14</f>
        <v>82</v>
      </c>
      <c r="N8">
        <f>M8+'Temporada 2026'!U14</f>
        <v>92</v>
      </c>
      <c r="O8">
        <f>N8+'Temporada 2026'!V14</f>
        <v>92</v>
      </c>
      <c r="P8">
        <f>O8+'Temporada 2026'!W14</f>
        <v>104</v>
      </c>
      <c r="Q8">
        <f>P8+'Temporada 2026'!X14</f>
        <v>104</v>
      </c>
      <c r="R8">
        <f>Q8+'Temporada 2026'!Y14</f>
        <v>104</v>
      </c>
      <c r="S8">
        <f>R8+'Temporada 2026'!Z14</f>
        <v>104</v>
      </c>
      <c r="T8">
        <f>S8+'Temporada 2026'!AA14</f>
        <v>104</v>
      </c>
      <c r="U8">
        <f>T8+'Temporada 2026'!AB14</f>
        <v>104</v>
      </c>
      <c r="V8">
        <f>U8+'Temporada 2026'!AC14</f>
        <v>104</v>
      </c>
      <c r="W8">
        <f>V8+'Temporada 2026'!AD14</f>
        <v>104</v>
      </c>
      <c r="X8">
        <f>W8+'Temporada 2026'!AE14</f>
        <v>104</v>
      </c>
      <c r="Y8">
        <f>X8+'Temporada 2026'!AF14</f>
        <v>104</v>
      </c>
      <c r="Z8">
        <f>Y8+'Temporada 2026'!AG14</f>
        <v>104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26</v>
      </c>
      <c r="K9">
        <f>J9+'Temporada 2026'!R15</f>
        <v>34</v>
      </c>
      <c r="L9">
        <f>K9+'Temporada 2026'!S15</f>
        <v>42</v>
      </c>
      <c r="M9">
        <f>L9+'Temporada 2026'!T15</f>
        <v>52</v>
      </c>
      <c r="N9">
        <f>M9+'Temporada 2026'!U15</f>
        <v>60</v>
      </c>
      <c r="O9">
        <f>N9+'Temporada 2026'!V15</f>
        <v>68</v>
      </c>
      <c r="P9">
        <f>O9+'Temporada 2026'!W15</f>
        <v>68</v>
      </c>
      <c r="Q9">
        <f>P9+'Temporada 2026'!X15</f>
        <v>68</v>
      </c>
      <c r="R9">
        <f>Q9+'Temporada 2026'!Y15</f>
        <v>68</v>
      </c>
      <c r="S9">
        <f>R9+'Temporada 2026'!Z15</f>
        <v>68</v>
      </c>
      <c r="T9">
        <f>S9+'Temporada 2026'!AA15</f>
        <v>68</v>
      </c>
      <c r="U9">
        <f>T9+'Temporada 2026'!AB15</f>
        <v>68</v>
      </c>
      <c r="V9">
        <f>U9+'Temporada 2026'!AC15</f>
        <v>68</v>
      </c>
      <c r="W9">
        <f>V9+'Temporada 2026'!AD15</f>
        <v>68</v>
      </c>
      <c r="X9">
        <f>W9+'Temporada 2026'!AE15</f>
        <v>68</v>
      </c>
      <c r="Y9">
        <f>X9+'Temporada 2026'!AF15</f>
        <v>68</v>
      </c>
      <c r="Z9">
        <f>Y9+'Temporada 2026'!AG15</f>
        <v>68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10</v>
      </c>
      <c r="G10">
        <f>F10+'Temporada 2026'!N16</f>
        <v>10</v>
      </c>
      <c r="H10">
        <f>G10+'Temporada 2026'!O16</f>
        <v>10</v>
      </c>
      <c r="I10">
        <f>H10+'Temporada 2026'!P16</f>
        <v>16</v>
      </c>
      <c r="J10">
        <f>I10+'Temporada 2026'!Q16</f>
        <v>24</v>
      </c>
      <c r="K10">
        <f>J10+'Temporada 2026'!R16</f>
        <v>28</v>
      </c>
      <c r="L10">
        <f>K10+'Temporada 2026'!S16</f>
        <v>30</v>
      </c>
      <c r="M10">
        <f>L10+'Temporada 2026'!T16</f>
        <v>39</v>
      </c>
      <c r="N10">
        <f>M10+'Temporada 2026'!U16</f>
        <v>39</v>
      </c>
      <c r="O10">
        <f>N10+'Temporada 2026'!V16</f>
        <v>43</v>
      </c>
      <c r="P10">
        <f>O10+'Temporada 2026'!W16</f>
        <v>49</v>
      </c>
      <c r="Q10">
        <f>P10+'Temporada 2026'!X16</f>
        <v>49</v>
      </c>
      <c r="R10">
        <f>Q10+'Temporada 2026'!Y16</f>
        <v>49</v>
      </c>
      <c r="S10">
        <f>R10+'Temporada 2026'!Z16</f>
        <v>49</v>
      </c>
      <c r="T10">
        <f>S10+'Temporada 2026'!AA16</f>
        <v>49</v>
      </c>
      <c r="U10">
        <f>T10+'Temporada 2026'!AB16</f>
        <v>49</v>
      </c>
      <c r="V10">
        <f>U10+'Temporada 2026'!AC16</f>
        <v>49</v>
      </c>
      <c r="W10">
        <f>V10+'Temporada 2026'!AD16</f>
        <v>49</v>
      </c>
      <c r="X10">
        <f>W10+'Temporada 2026'!AE16</f>
        <v>49</v>
      </c>
      <c r="Y10">
        <f>X10+'Temporada 2026'!AF16</f>
        <v>49</v>
      </c>
      <c r="Z10">
        <f>Y10+'Temporada 2026'!AG16</f>
        <v>49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35</v>
      </c>
      <c r="K11">
        <f>J11+'Temporada 2026'!R17</f>
        <v>41</v>
      </c>
      <c r="L11">
        <f>K11+'Temporada 2026'!S17</f>
        <v>41</v>
      </c>
      <c r="M11">
        <f>L11+'Temporada 2026'!T17</f>
        <v>42</v>
      </c>
      <c r="N11">
        <f>M11+'Temporada 2026'!U17</f>
        <v>42</v>
      </c>
      <c r="O11">
        <f>N11+'Temporada 2026'!V17</f>
        <v>42</v>
      </c>
      <c r="P11">
        <f>O11+'Temporada 2026'!W17</f>
        <v>44</v>
      </c>
      <c r="Q11">
        <f>P11+'Temporada 2026'!X17</f>
        <v>44</v>
      </c>
      <c r="R11">
        <f>Q11+'Temporada 2026'!Y17</f>
        <v>44</v>
      </c>
      <c r="S11">
        <f>R11+'Temporada 2026'!Z17</f>
        <v>44</v>
      </c>
      <c r="T11">
        <f>S11+'Temporada 2026'!AA17</f>
        <v>44</v>
      </c>
      <c r="U11">
        <f>T11+'Temporada 2026'!AB17</f>
        <v>44</v>
      </c>
      <c r="V11">
        <f>U11+'Temporada 2026'!AC17</f>
        <v>44</v>
      </c>
      <c r="W11">
        <f>V11+'Temporada 2026'!AD17</f>
        <v>44</v>
      </c>
      <c r="X11">
        <f>W11+'Temporada 2026'!AE17</f>
        <v>44</v>
      </c>
      <c r="Y11">
        <f>X11+'Temporada 2026'!AF17</f>
        <v>44</v>
      </c>
      <c r="Z11">
        <f>Y11+'Temporada 2026'!AG17</f>
        <v>44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5</v>
      </c>
      <c r="J12">
        <f>I12+'Temporada 2026'!Q18</f>
        <v>11</v>
      </c>
      <c r="K12">
        <f>J12+'Temporada 2026'!R18</f>
        <v>13</v>
      </c>
      <c r="L12">
        <f>K12+'Temporada 2026'!S18</f>
        <v>14</v>
      </c>
      <c r="M12">
        <f>L12+'Temporada 2026'!T18</f>
        <v>20</v>
      </c>
      <c r="N12">
        <f>M12+'Temporada 2026'!U18</f>
        <v>22</v>
      </c>
      <c r="O12">
        <f>N12+'Temporada 2026'!V18</f>
        <v>23</v>
      </c>
      <c r="P12">
        <f>O12+'Temporada 2026'!W18</f>
        <v>23</v>
      </c>
      <c r="Q12">
        <f>P12+'Temporada 2026'!X18</f>
        <v>23</v>
      </c>
      <c r="R12">
        <f>Q12+'Temporada 2026'!Y18</f>
        <v>23</v>
      </c>
      <c r="S12">
        <f>R12+'Temporada 2026'!Z18</f>
        <v>23</v>
      </c>
      <c r="T12">
        <f>S12+'Temporada 2026'!AA18</f>
        <v>23</v>
      </c>
      <c r="U12">
        <f>T12+'Temporada 2026'!AB18</f>
        <v>23</v>
      </c>
      <c r="V12">
        <f>U12+'Temporada 2026'!AC18</f>
        <v>23</v>
      </c>
      <c r="W12">
        <f>V12+'Temporada 2026'!AD18</f>
        <v>23</v>
      </c>
      <c r="X12">
        <f>W12+'Temporada 2026'!AE18</f>
        <v>23</v>
      </c>
      <c r="Y12">
        <f>X12+'Temporada 2026'!AF18</f>
        <v>23</v>
      </c>
      <c r="Z12">
        <f>Y12+'Temporada 2026'!AG18</f>
        <v>23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19</v>
      </c>
      <c r="R13">
        <f>Q13+'Temporada 2026'!Y19</f>
        <v>19</v>
      </c>
      <c r="S13">
        <f>R13+'Temporada 2026'!Z19</f>
        <v>19</v>
      </c>
      <c r="T13">
        <f>S13+'Temporada 2026'!AA19</f>
        <v>19</v>
      </c>
      <c r="U13">
        <f>T13+'Temporada 2026'!AB19</f>
        <v>19</v>
      </c>
      <c r="V13">
        <f>U13+'Temporada 2026'!AC19</f>
        <v>19</v>
      </c>
      <c r="W13">
        <f>V13+'Temporada 2026'!AD19</f>
        <v>19</v>
      </c>
      <c r="X13">
        <f>W13+'Temporada 2026'!AE19</f>
        <v>19</v>
      </c>
      <c r="Y13">
        <f>X13+'Temporada 2026'!AF19</f>
        <v>19</v>
      </c>
      <c r="Z13">
        <f>Y13+'Temporada 2026'!AG19</f>
        <v>19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18</v>
      </c>
      <c r="T14">
        <f>S14+'Temporada 2026'!AA20</f>
        <v>18</v>
      </c>
      <c r="U14">
        <f>T14+'Temporada 2026'!AB20</f>
        <v>18</v>
      </c>
      <c r="V14">
        <f>U14+'Temporada 2026'!AC20</f>
        <v>18</v>
      </c>
      <c r="W14">
        <f>V14+'Temporada 2026'!AD20</f>
        <v>18</v>
      </c>
      <c r="X14">
        <f>W14+'Temporada 2026'!AE20</f>
        <v>18</v>
      </c>
      <c r="Y14">
        <f>X14+'Temporada 2026'!AF20</f>
        <v>18</v>
      </c>
      <c r="Z14">
        <f>Y14+'Temporada 2026'!AG20</f>
        <v>18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10</v>
      </c>
      <c r="O15">
        <f>N15+'Temporada 2026'!V21</f>
        <v>10</v>
      </c>
      <c r="P15">
        <f>O15+'Temporada 2026'!W21</f>
        <v>10</v>
      </c>
      <c r="Q15">
        <f>P15+'Temporada 2026'!X21</f>
        <v>10</v>
      </c>
      <c r="R15">
        <f>Q15+'Temporada 2026'!Y21</f>
        <v>10</v>
      </c>
      <c r="S15">
        <f>R15+'Temporada 2026'!Z21</f>
        <v>10</v>
      </c>
      <c r="T15">
        <f>S15+'Temporada 2026'!AA21</f>
        <v>10</v>
      </c>
      <c r="U15">
        <f>T15+'Temporada 2026'!AB21</f>
        <v>10</v>
      </c>
      <c r="V15">
        <f>U15+'Temporada 2026'!AC21</f>
        <v>10</v>
      </c>
      <c r="W15">
        <f>V15+'Temporada 2026'!AD21</f>
        <v>10</v>
      </c>
      <c r="X15">
        <f>W15+'Temporada 2026'!AE21</f>
        <v>10</v>
      </c>
      <c r="Y15">
        <f>X15+'Temporada 2026'!AF21</f>
        <v>10</v>
      </c>
      <c r="Z15">
        <f>Y15+'Temporada 2026'!AG21</f>
        <v>10</v>
      </c>
    </row>
    <row r="16" spans="1:26" x14ac:dyDescent="0.2">
      <c r="A16">
        <f>'Temporada 2026'!B22</f>
        <v>15</v>
      </c>
      <c r="B16" t="str">
        <f>'Temporada 2026'!C22</f>
        <v>Nico Hulkenberg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0</v>
      </c>
      <c r="I16">
        <f>H16+'Temporada 2026'!P22</f>
        <v>0</v>
      </c>
      <c r="J16">
        <f>I16+'Temporada 2026'!Q22</f>
        <v>0</v>
      </c>
      <c r="K16">
        <f>J16+'Temporada 2026'!R22</f>
        <v>0</v>
      </c>
      <c r="L16">
        <f>K16+'Temporada 2026'!S22</f>
        <v>0</v>
      </c>
      <c r="M16">
        <f>L16+'Temporada 2026'!T22</f>
        <v>0</v>
      </c>
      <c r="N16">
        <f>M16+'Temporada 2026'!U22</f>
        <v>0</v>
      </c>
      <c r="O16">
        <f>N16+'Temporada 2026'!V22</f>
        <v>2</v>
      </c>
      <c r="P16">
        <f>O16+'Temporada 2026'!W22</f>
        <v>6</v>
      </c>
      <c r="Q16">
        <f>P16+'Temporada 2026'!X22</f>
        <v>6</v>
      </c>
      <c r="R16">
        <f>Q16+'Temporada 2026'!Y22</f>
        <v>6</v>
      </c>
      <c r="S16">
        <f>R16+'Temporada 2026'!Z22</f>
        <v>6</v>
      </c>
      <c r="T16">
        <f>S16+'Temporada 2026'!AA22</f>
        <v>6</v>
      </c>
      <c r="U16">
        <f>T16+'Temporada 2026'!AB22</f>
        <v>6</v>
      </c>
      <c r="V16">
        <f>U16+'Temporada 2026'!AC22</f>
        <v>6</v>
      </c>
      <c r="W16">
        <f>V16+'Temporada 2026'!AD22</f>
        <v>6</v>
      </c>
      <c r="X16">
        <f>W16+'Temporada 2026'!AE22</f>
        <v>6</v>
      </c>
      <c r="Y16">
        <f>X16+'Temporada 2026'!AF22</f>
        <v>6</v>
      </c>
      <c r="Z16">
        <f>Y16+'Temporada 2026'!AG22</f>
        <v>6</v>
      </c>
    </row>
    <row r="17" spans="1:26" x14ac:dyDescent="0.2">
      <c r="A17">
        <f>'Temporada 2026'!B23</f>
        <v>16</v>
      </c>
      <c r="B17" t="str">
        <f>'Temporada 2026'!C23</f>
        <v>Carlos Sainz</v>
      </c>
      <c r="C17">
        <f>'Temporada 2026'!J23</f>
        <v>0</v>
      </c>
      <c r="D17">
        <f>C17+'Temporada 2026'!K23</f>
        <v>2</v>
      </c>
      <c r="E17">
        <f>D17+'Temporada 2026'!L23</f>
        <v>2</v>
      </c>
      <c r="F17">
        <f>E17+'Temporada 2026'!M23</f>
        <v>2</v>
      </c>
      <c r="G17">
        <f>F17+'Temporada 2026'!N23</f>
        <v>2</v>
      </c>
      <c r="H17">
        <f>G17+'Temporada 2026'!O23</f>
        <v>4</v>
      </c>
      <c r="I17">
        <f>H17+'Temporada 2026'!P23</f>
        <v>6</v>
      </c>
      <c r="J17">
        <f>I17+'Temporada 2026'!Q23</f>
        <v>6</v>
      </c>
      <c r="K17">
        <f>J17+'Temporada 2026'!R23</f>
        <v>6</v>
      </c>
      <c r="L17">
        <f>K17+'Temporada 2026'!S23</f>
        <v>6</v>
      </c>
      <c r="M17">
        <f>L17+'Temporada 2026'!T23</f>
        <v>6</v>
      </c>
      <c r="N17">
        <f>M17+'Temporada 2026'!U23</f>
        <v>6</v>
      </c>
      <c r="O17">
        <f>N17+'Temporada 2026'!V23</f>
        <v>6</v>
      </c>
      <c r="P17">
        <f>O17+'Temporada 2026'!W23</f>
        <v>6</v>
      </c>
      <c r="Q17">
        <f>P17+'Temporada 2026'!X23</f>
        <v>6</v>
      </c>
      <c r="R17">
        <f>Q17+'Temporada 2026'!Y23</f>
        <v>6</v>
      </c>
      <c r="S17">
        <f>R17+'Temporada 2026'!Z23</f>
        <v>6</v>
      </c>
      <c r="T17">
        <f>S17+'Temporada 2026'!AA23</f>
        <v>6</v>
      </c>
      <c r="U17">
        <f>T17+'Temporada 2026'!AB23</f>
        <v>6</v>
      </c>
      <c r="V17">
        <f>U17+'Temporada 2026'!AC23</f>
        <v>6</v>
      </c>
      <c r="W17">
        <f>V17+'Temporada 2026'!AD23</f>
        <v>6</v>
      </c>
      <c r="X17">
        <f>W17+'Temporada 2026'!AE23</f>
        <v>6</v>
      </c>
      <c r="Y17">
        <f>X17+'Temporada 2026'!AF23</f>
        <v>6</v>
      </c>
      <c r="Z17">
        <f>Y17+'Temporada 2026'!AG23</f>
        <v>6</v>
      </c>
    </row>
    <row r="18" spans="1:26" x14ac:dyDescent="0.2">
      <c r="A18">
        <f>'Temporada 2026'!B24</f>
        <v>17</v>
      </c>
      <c r="B18" t="str">
        <f>'Temporada 2026'!C24</f>
        <v>Alexander Albon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1</v>
      </c>
      <c r="I18">
        <f>H18+'Temporada 2026'!P24</f>
        <v>1</v>
      </c>
      <c r="J18">
        <f>I18+'Temporada 2026'!Q24</f>
        <v>5</v>
      </c>
      <c r="K18">
        <f>J18+'Temporada 2026'!R24</f>
        <v>5</v>
      </c>
      <c r="L18">
        <f>K18+'Temporada 2026'!S24</f>
        <v>5</v>
      </c>
      <c r="M18">
        <f>L18+'Temporada 2026'!T24</f>
        <v>5</v>
      </c>
      <c r="N18">
        <f>M18+'Temporada 2026'!U24</f>
        <v>5</v>
      </c>
      <c r="O18">
        <f>N18+'Temporada 2026'!V24</f>
        <v>5</v>
      </c>
      <c r="P18">
        <f>O18+'Temporada 2026'!W24</f>
        <v>5</v>
      </c>
      <c r="Q18">
        <f>P18+'Temporada 2026'!X24</f>
        <v>5</v>
      </c>
      <c r="R18">
        <f>Q18+'Temporada 2026'!Y24</f>
        <v>5</v>
      </c>
      <c r="S18">
        <f>R18+'Temporada 2026'!Z24</f>
        <v>5</v>
      </c>
      <c r="T18">
        <f>S18+'Temporada 2026'!AA24</f>
        <v>5</v>
      </c>
      <c r="U18">
        <f>T18+'Temporada 2026'!AB24</f>
        <v>5</v>
      </c>
      <c r="V18">
        <f>U18+'Temporada 2026'!AC24</f>
        <v>5</v>
      </c>
      <c r="W18">
        <f>V18+'Temporada 2026'!AD24</f>
        <v>5</v>
      </c>
      <c r="X18">
        <f>W18+'Temporada 2026'!AE24</f>
        <v>5</v>
      </c>
      <c r="Y18">
        <f>X18+'Temporada 2026'!AF24</f>
        <v>5</v>
      </c>
      <c r="Z18">
        <f>Y18+'Temporada 2026'!AG24</f>
        <v>5</v>
      </c>
    </row>
    <row r="19" spans="1:26" x14ac:dyDescent="0.2">
      <c r="A19">
        <f>'Temporada 2026'!B25</f>
        <v>18</v>
      </c>
      <c r="B19" t="str">
        <f>'Temporada 2026'!C25</f>
        <v>Esteban Ocon</v>
      </c>
      <c r="C19">
        <f>'Temporada 2026'!J25</f>
        <v>0</v>
      </c>
      <c r="D19">
        <f>C19+'Temporada 2026'!K25</f>
        <v>0</v>
      </c>
      <c r="E19">
        <f>D19+'Temporada 2026'!L25</f>
        <v>1</v>
      </c>
      <c r="F19">
        <f>E19+'Temporada 2026'!M25</f>
        <v>1</v>
      </c>
      <c r="G19">
        <f>F19+'Temporada 2026'!N25</f>
        <v>1</v>
      </c>
      <c r="H19">
        <f>G19+'Temporada 2026'!O25</f>
        <v>1</v>
      </c>
      <c r="I19">
        <f>H19+'Temporada 2026'!P25</f>
        <v>1</v>
      </c>
      <c r="J19">
        <f>I19+'Temporada 2026'!Q25</f>
        <v>3</v>
      </c>
      <c r="K19">
        <f>J19+'Temporada 2026'!R25</f>
        <v>3</v>
      </c>
      <c r="L19">
        <f>K19+'Temporada 2026'!S25</f>
        <v>3</v>
      </c>
      <c r="M19">
        <f>L19+'Temporada 2026'!T25</f>
        <v>3</v>
      </c>
      <c r="N19">
        <f>M19+'Temporada 2026'!U25</f>
        <v>3</v>
      </c>
      <c r="O19">
        <f>N19+'Temporada 2026'!V25</f>
        <v>3</v>
      </c>
      <c r="P19">
        <f>O19+'Temporada 2026'!W25</f>
        <v>3</v>
      </c>
      <c r="Q19">
        <f>P19+'Temporada 2026'!X25</f>
        <v>3</v>
      </c>
      <c r="R19">
        <f>Q19+'Temporada 2026'!Y25</f>
        <v>3</v>
      </c>
      <c r="S19">
        <f>R19+'Temporada 2026'!Z25</f>
        <v>3</v>
      </c>
      <c r="T19">
        <f>S19+'Temporada 2026'!AA25</f>
        <v>3</v>
      </c>
      <c r="U19">
        <f>T19+'Temporada 2026'!AB25</f>
        <v>3</v>
      </c>
      <c r="V19">
        <f>U19+'Temporada 2026'!AC25</f>
        <v>3</v>
      </c>
      <c r="W19">
        <f>V19+'Temporada 2026'!AD25</f>
        <v>3</v>
      </c>
      <c r="X19">
        <f>W19+'Temporada 2026'!AE25</f>
        <v>3</v>
      </c>
      <c r="Y19">
        <f>X19+'Temporada 2026'!AF25</f>
        <v>3</v>
      </c>
      <c r="Z19">
        <f>Y19+'Temporada 2026'!AG25</f>
        <v>3</v>
      </c>
    </row>
    <row r="20" spans="1:26" x14ac:dyDescent="0.2">
      <c r="A20">
        <f>'Temporada 2026'!B26</f>
        <v>19</v>
      </c>
      <c r="B20" t="str">
        <f>'Temporada 2026'!C26</f>
        <v>Fernando Alonso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1</v>
      </c>
      <c r="K20">
        <f>J20+'Temporada 2026'!R26</f>
        <v>1</v>
      </c>
      <c r="L20">
        <f>K20+'Temporada 2026'!S26</f>
        <v>1</v>
      </c>
      <c r="M20">
        <f>L20+'Temporada 2026'!T26</f>
        <v>1</v>
      </c>
      <c r="N20">
        <f>M20+'Temporada 2026'!U26</f>
        <v>1</v>
      </c>
      <c r="O20">
        <f>N20+'Temporada 2026'!V26</f>
        <v>1</v>
      </c>
      <c r="P20">
        <f>O20+'Temporada 2026'!W26</f>
        <v>3</v>
      </c>
      <c r="Q20">
        <f>P20+'Temporada 2026'!X26</f>
        <v>3</v>
      </c>
      <c r="R20">
        <f>Q20+'Temporada 2026'!Y26</f>
        <v>3</v>
      </c>
      <c r="S20">
        <f>R20+'Temporada 2026'!Z26</f>
        <v>3</v>
      </c>
      <c r="T20">
        <f>S20+'Temporada 2026'!AA26</f>
        <v>3</v>
      </c>
      <c r="U20">
        <f>T20+'Temporada 2026'!AB26</f>
        <v>3</v>
      </c>
      <c r="V20">
        <f>U20+'Temporada 2026'!AC26</f>
        <v>3</v>
      </c>
      <c r="W20">
        <f>V20+'Temporada 2026'!AD26</f>
        <v>3</v>
      </c>
      <c r="X20">
        <f>W20+'Temporada 2026'!AE26</f>
        <v>3</v>
      </c>
      <c r="Y20">
        <f>X20+'Temporada 2026'!AF26</f>
        <v>3</v>
      </c>
      <c r="Z20">
        <f>Y20+'Temporada 2026'!AG26</f>
        <v>3</v>
      </c>
    </row>
    <row r="21" spans="1:26" x14ac:dyDescent="0.2">
      <c r="A21">
        <f>'Temporada 2026'!B27</f>
        <v>20</v>
      </c>
      <c r="B21" t="str">
        <f>'Temporada 2026'!C27</f>
        <v>Yuki Tsunoda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Lance Stroll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Valtteri Bottas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>
        <f>'Temporada 2026'!B30</f>
        <v>23</v>
      </c>
      <c r="B24" t="str">
        <f>'Temporada 2026'!C30</f>
        <v>Sergio Perez</v>
      </c>
      <c r="C24">
        <f>'Temporada 2026'!J30</f>
        <v>0</v>
      </c>
      <c r="D24">
        <f>C24+'Temporada 2026'!K30</f>
        <v>0</v>
      </c>
      <c r="E24">
        <f>D24+'Temporada 2026'!L30</f>
        <v>0</v>
      </c>
      <c r="F24">
        <f>E24+'Temporada 2026'!M30</f>
        <v>0</v>
      </c>
      <c r="G24">
        <f>F24+'Temporada 2026'!N30</f>
        <v>0</v>
      </c>
      <c r="H24">
        <f>G24+'Temporada 2026'!O30</f>
        <v>0</v>
      </c>
      <c r="I24">
        <f>H24+'Temporada 2026'!P30</f>
        <v>0</v>
      </c>
      <c r="J24">
        <f>I24+'Temporada 2026'!Q30</f>
        <v>0</v>
      </c>
      <c r="K24">
        <f>J24+'Temporada 2026'!R30</f>
        <v>0</v>
      </c>
      <c r="L24">
        <f>K24+'Temporada 2026'!S30</f>
        <v>0</v>
      </c>
      <c r="M24">
        <f>L24+'Temporada 2026'!T30</f>
        <v>0</v>
      </c>
      <c r="N24">
        <f>M24+'Temporada 2026'!U30</f>
        <v>0</v>
      </c>
      <c r="O24">
        <f>N24+'Temporada 2026'!V30</f>
        <v>0</v>
      </c>
      <c r="P24">
        <f>O24+'Temporada 2026'!W30</f>
        <v>0</v>
      </c>
      <c r="Q24">
        <f>P24+'Temporada 2026'!X30</f>
        <v>0</v>
      </c>
      <c r="R24">
        <f>Q24+'Temporada 2026'!Y30</f>
        <v>0</v>
      </c>
      <c r="S24">
        <f>R24+'Temporada 2026'!Z30</f>
        <v>0</v>
      </c>
      <c r="T24">
        <f>S24+'Temporada 2026'!AA30</f>
        <v>0</v>
      </c>
      <c r="U24">
        <f>T24+'Temporada 2026'!AB30</f>
        <v>0</v>
      </c>
      <c r="V24">
        <f>U24+'Temporada 2026'!AC30</f>
        <v>0</v>
      </c>
      <c r="W24">
        <f>V24+'Temporada 2026'!AD30</f>
        <v>0</v>
      </c>
      <c r="X24">
        <f>W24+'Temporada 2026'!AE30</f>
        <v>0</v>
      </c>
      <c r="Y24">
        <f>X24+'Temporada 2026'!AF30</f>
        <v>0</v>
      </c>
      <c r="Z24">
        <f>Y24+'Temporada 2026'!AG30</f>
        <v>0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381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Row],[SAU]]</f>
        <v>0</v>
      </c>
      <c r="I26">
        <f>Tabela1[[#This Row],[MIA]]</f>
        <v>0</v>
      </c>
      <c r="J26">
        <f>Tabela1[[#This Row],[CAN]]</f>
        <v>0</v>
      </c>
      <c r="K26">
        <f>Tabela1[[#This Row],[MON]]</f>
        <v>0</v>
      </c>
      <c r="L26">
        <f>Tabela1[[#This Row],[ESP]]</f>
        <v>0</v>
      </c>
      <c r="M26">
        <f>Tabela1[[#This Row],[AUT]]</f>
        <v>0</v>
      </c>
      <c r="N26">
        <f>Tabela1[[#This Row],[ING]]</f>
        <v>0</v>
      </c>
      <c r="O26">
        <f>Tabela1[[#This Row],[BEL]]</f>
        <v>0</v>
      </c>
      <c r="P26">
        <f>Tabela1[[#This Row],[HUN]]</f>
        <v>0</v>
      </c>
      <c r="Q26">
        <f>Tabela1[[#This Row],[HOL]]</f>
        <v>0</v>
      </c>
      <c r="R26">
        <f>Tabela1[[#This Row],[MAD]]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360</v>
      </c>
      <c r="D29" s="21" t="s">
        <v>361</v>
      </c>
      <c r="E29" s="21" t="s">
        <v>362</v>
      </c>
      <c r="F29" s="21" t="s">
        <v>363</v>
      </c>
      <c r="G29" s="152" t="s">
        <v>435</v>
      </c>
      <c r="H29" s="21" t="s">
        <v>364</v>
      </c>
      <c r="I29" s="152" t="s">
        <v>367</v>
      </c>
      <c r="J29" s="21" t="s">
        <v>365</v>
      </c>
      <c r="K29" s="21" t="s">
        <v>366</v>
      </c>
      <c r="L29" s="152" t="s">
        <v>380</v>
      </c>
      <c r="M29" s="152" t="s">
        <v>368</v>
      </c>
      <c r="N29" s="152" t="s">
        <v>369</v>
      </c>
      <c r="O29" s="152" t="s">
        <v>370</v>
      </c>
      <c r="P29" s="152" t="s">
        <v>371</v>
      </c>
      <c r="Q29" s="152" t="s">
        <v>436</v>
      </c>
      <c r="R29" s="21" t="s">
        <v>372</v>
      </c>
      <c r="S29" s="21" t="s">
        <v>373</v>
      </c>
      <c r="T29" s="21" t="s">
        <v>374</v>
      </c>
      <c r="U29" s="21" t="s">
        <v>302</v>
      </c>
      <c r="V29" s="21" t="s">
        <v>375</v>
      </c>
      <c r="W29" s="21" t="s">
        <v>376</v>
      </c>
      <c r="X29" s="21" t="s">
        <v>377</v>
      </c>
      <c r="Y29" s="21" t="s">
        <v>378</v>
      </c>
      <c r="Z29" s="21" t="s">
        <v>379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Row],[SAU]]+'Temporada 2026'!O39</f>
        <v>180</v>
      </c>
      <c r="I30">
        <f>Tabela2[[#This Row],[MIA]]+'Temporada 2026'!P39</f>
        <v>205</v>
      </c>
      <c r="J30">
        <f>Tabela2[[#This Row],[CAN]]+'Temporada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Row],[AUT]]+'Temporada 2026'!T39</f>
        <v>319</v>
      </c>
      <c r="N30">
        <f>Tabela2[[#This Row],[ING]]+'Temporada 2026'!U39</f>
        <v>344</v>
      </c>
      <c r="O30">
        <f>Tabela2[[#This Row],[BEL]]+'Temporada 2026'!V39</f>
        <v>365</v>
      </c>
      <c r="P30">
        <f>Tabela2[[#This Row],[HUN]]+'Temporada 2026'!W39</f>
        <v>411</v>
      </c>
      <c r="Q30">
        <f>Tabela2[[#This Row],[HOL]]+'Temporada 2026'!X39</f>
        <v>411</v>
      </c>
      <c r="R30">
        <f>Tabela2[[#This Row],[MAD]]+'Temporada 2026'!Y39</f>
        <v>411</v>
      </c>
      <c r="S30">
        <f>Tabela2[[#This Row],[ITA]]+'Temporada 2026'!Z39</f>
        <v>411</v>
      </c>
      <c r="T30">
        <f>Tabela2[[#This Row],[AZE]]+'Temporada 2026'!AA39</f>
        <v>411</v>
      </c>
      <c r="U30">
        <f>Tabela2[[#This Row],[SIN]]+'Temporada 2026'!AB39</f>
        <v>411</v>
      </c>
      <c r="V30">
        <f>Tabela2[[#This Row],[USA]]+'Temporada 2026'!AC39</f>
        <v>411</v>
      </c>
      <c r="W30">
        <f>Tabela2[[#This Row],[MEX]]+'Temporada 2026'!AD39</f>
        <v>411</v>
      </c>
      <c r="X30">
        <f>Tabela2[[#This Row],[SÃO]]+'Temporada 2026'!AE39</f>
        <v>411</v>
      </c>
      <c r="Y30">
        <f>Tabela2[[#This Row],[VEG]]+'Temporada 2026'!AF39</f>
        <v>411</v>
      </c>
      <c r="Z30">
        <f>Tabela2[[#This Row],[QAT]]+'Temporada 2026'!AG39</f>
        <v>411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Row],[SAU]]+'Temporada 2026'!O40</f>
        <v>110</v>
      </c>
      <c r="I31">
        <f>Tabela2[[#This Row],[MIA]]+'Temporada 2026'!P40</f>
        <v>140</v>
      </c>
      <c r="J31">
        <f>Tabela2[[#This Row],[CAN]]+'Temporada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Row],[AUT]]+'Temporada 2026'!T40</f>
        <v>248</v>
      </c>
      <c r="N31">
        <f>Tabela2[[#This Row],[ING]]+'Temporada 2026'!U40</f>
        <v>278</v>
      </c>
      <c r="O31">
        <f>Tabela2[[#This Row],[BEL]]+'Temporada 2026'!V40</f>
        <v>300</v>
      </c>
      <c r="P31">
        <f>Tabela2[[#This Row],[HUN]]+'Temporada 2026'!W40</f>
        <v>331</v>
      </c>
      <c r="Q31">
        <f>Tabela2[[#This Row],[HOL]]+'Temporada 2026'!X40</f>
        <v>331</v>
      </c>
      <c r="R31">
        <f>Tabela2[[#This Row],[MAD]]+'Temporada 2026'!Y40</f>
        <v>331</v>
      </c>
      <c r="S31">
        <f>Tabela2[[#This Row],[ITA]]+'Temporada 2026'!Z40</f>
        <v>331</v>
      </c>
      <c r="T31">
        <f>Tabela2[[#This Row],[AZE]]+'Temporada 2026'!AA40</f>
        <v>331</v>
      </c>
      <c r="U31">
        <f>Tabela2[[#This Row],[SIN]]+'Temporada 2026'!AB40</f>
        <v>331</v>
      </c>
      <c r="V31">
        <f>Tabela2[[#This Row],[USA]]+'Temporada 2026'!AC40</f>
        <v>331</v>
      </c>
      <c r="W31">
        <f>Tabela2[[#This Row],[MEX]]+'Temporada 2026'!AD40</f>
        <v>331</v>
      </c>
      <c r="X31">
        <f>Tabela2[[#This Row],[SÃO]]+'Temporada 2026'!AE40</f>
        <v>331</v>
      </c>
      <c r="Y31">
        <f>Tabela2[[#This Row],[VEG]]+'Temporada 2026'!AF40</f>
        <v>331</v>
      </c>
      <c r="Z31">
        <f>Tabela2[[#This Row],[QAT]]+'Temporada 2026'!AG40</f>
        <v>331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Row],[SAU]]+'Temporada 2026'!O41</f>
        <v>94</v>
      </c>
      <c r="I32">
        <f>Tabela2[[#This Row],[MIA]]+'Temporada 2026'!P41</f>
        <v>94</v>
      </c>
      <c r="J32">
        <f>Tabela2[[#This Row],[CAN]]+'Temporada 2026'!Q41</f>
        <v>104</v>
      </c>
      <c r="K32">
        <f>Tabela2[[#This Row],[MON]]+'Temporada 2026'!R41</f>
        <v>129</v>
      </c>
      <c r="L32">
        <f>Tabela2[[#This Row],[ESP]]+'Temporada 2026'!S41</f>
        <v>147</v>
      </c>
      <c r="M32">
        <f>Tabela2[[#This Row],[AUT]]+'Temporada 2026'!T41</f>
        <v>167</v>
      </c>
      <c r="N32">
        <f>Tabela2[[#This Row],[ING]]+'Temporada 2026'!U41</f>
        <v>183</v>
      </c>
      <c r="O32">
        <f>Tabela2[[#This Row],[BEL]]+'Temporada 2026'!V41</f>
        <v>208</v>
      </c>
      <c r="P32">
        <f>Tabela2[[#This Row],[HUN]]+'Temporada 2026'!W41</f>
        <v>251</v>
      </c>
      <c r="Q32">
        <f>Tabela2[[#This Row],[HOL]]+'Temporada 2026'!X41</f>
        <v>251</v>
      </c>
      <c r="R32">
        <f>Tabela2[[#This Row],[MAD]]+'Temporada 2026'!Y41</f>
        <v>251</v>
      </c>
      <c r="S32">
        <f>Tabela2[[#This Row],[ITA]]+'Temporada 2026'!Z41</f>
        <v>251</v>
      </c>
      <c r="T32">
        <f>Tabela2[[#This Row],[AZE]]+'Temporada 2026'!AA41</f>
        <v>251</v>
      </c>
      <c r="U32">
        <f>Tabela2[[#This Row],[SIN]]+'Temporada 2026'!AB41</f>
        <v>251</v>
      </c>
      <c r="V32">
        <f>Tabela2[[#This Row],[USA]]+'Temporada 2026'!AC41</f>
        <v>251</v>
      </c>
      <c r="W32">
        <f>Tabela2[[#This Row],[MEX]]+'Temporada 2026'!AD41</f>
        <v>251</v>
      </c>
      <c r="X32">
        <f>Tabela2[[#This Row],[SÃO]]+'Temporada 2026'!AE41</f>
        <v>251</v>
      </c>
      <c r="Y32">
        <f>Tabela2[[#This Row],[VEG]]+'Temporada 2026'!AF41</f>
        <v>251</v>
      </c>
      <c r="Z32">
        <f>Tabela2[[#This Row],[QAT]]+'Temporada 2026'!AG41</f>
        <v>251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Row],[SAU]]+'Temporada 2026'!O42</f>
        <v>30</v>
      </c>
      <c r="I33">
        <f>Tabela2[[#This Row],[MIA]]+'Temporada 2026'!P42</f>
        <v>55</v>
      </c>
      <c r="J33">
        <f>Tabela2[[#This Row],[CAN]]+'Temporada 2026'!Q42</f>
        <v>67</v>
      </c>
      <c r="K33">
        <f>Tabela2[[#This Row],[MON]]+'Temporada 2026'!R42</f>
        <v>87</v>
      </c>
      <c r="L33">
        <f>Tabela2[[#This Row],[ESP]]+'Temporada 2026'!S42</f>
        <v>113</v>
      </c>
      <c r="M33">
        <f>Tabela2[[#This Row],[AUT]]+'Temporada 2026'!T42</f>
        <v>126</v>
      </c>
      <c r="N33">
        <f>Tabela2[[#This Row],[ING]]+'Temporada 2026'!U42</f>
        <v>149</v>
      </c>
      <c r="O33">
        <f>Tabela2[[#This Row],[BEL]]+'Temporada 2026'!V42</f>
        <v>175</v>
      </c>
      <c r="P33">
        <f>Tabela2[[#This Row],[HUN]]+'Temporada 2026'!W42</f>
        <v>178</v>
      </c>
      <c r="Q33">
        <f>Tabela2[[#This Row],[HOL]]+'Temporada 2026'!X42</f>
        <v>178</v>
      </c>
      <c r="R33">
        <f>Tabela2[[#This Row],[MAD]]+'Temporada 2026'!Y42</f>
        <v>178</v>
      </c>
      <c r="S33">
        <f>Tabela2[[#This Row],[ITA]]+'Temporada 2026'!Z42</f>
        <v>178</v>
      </c>
      <c r="T33">
        <f>Tabela2[[#This Row],[AZE]]+'Temporada 2026'!AA42</f>
        <v>178</v>
      </c>
      <c r="U33">
        <f>Tabela2[[#This Row],[SIN]]+'Temporada 2026'!AB42</f>
        <v>178</v>
      </c>
      <c r="V33">
        <f>Tabela2[[#This Row],[USA]]+'Temporada 2026'!AC42</f>
        <v>178</v>
      </c>
      <c r="W33">
        <f>Tabela2[[#This Row],[MEX]]+'Temporada 2026'!AD42</f>
        <v>178</v>
      </c>
      <c r="X33">
        <f>Tabela2[[#This Row],[SÃO]]+'Temporada 2026'!AE42</f>
        <v>178</v>
      </c>
      <c r="Y33">
        <f>Tabela2[[#This Row],[VEG]]+'Temporada 2026'!AF42</f>
        <v>178</v>
      </c>
      <c r="Z33">
        <f>Tabela2[[#This Row],[QAT]]+'Temporada 2026'!AG42</f>
        <v>178</v>
      </c>
    </row>
    <row r="34" spans="1:26" x14ac:dyDescent="0.2">
      <c r="A34">
        <f>'Temporada 2026'!B43</f>
        <v>5</v>
      </c>
      <c r="B34" t="str">
        <f>'Temporada 2026'!C43</f>
        <v>Racing Bulls</v>
      </c>
      <c r="C34">
        <f>'Temporada 2026'!J43</f>
        <v>4</v>
      </c>
      <c r="D34">
        <f>Tabela2[[#This Row],[AUS]]+'Temporada 2026'!K43</f>
        <v>12</v>
      </c>
      <c r="E34">
        <f>Tabela2[[#This Row],[CHI]]+'Temporada 2026'!L43</f>
        <v>14</v>
      </c>
      <c r="F34">
        <f>Tabela2[[#This Row],[JAP]]+'Temporada 2026'!M43</f>
        <v>14</v>
      </c>
      <c r="G34">
        <f>Tabela2[[#This Row],[BAH]]+'Temporada 2026'!N43</f>
        <v>14</v>
      </c>
      <c r="H34">
        <f>Tabela2[[#This Row],[SAU]]+'Temporada 2026'!O43</f>
        <v>14</v>
      </c>
      <c r="I34">
        <f>Tabela2[[#This Row],[MIA]]+'Temporada 2026'!P43</f>
        <v>20</v>
      </c>
      <c r="J34">
        <f>Tabela2[[#This Row],[CAN]]+'Temporada 2026'!Q43</f>
        <v>34</v>
      </c>
      <c r="K34">
        <f>Tabela2[[#This Row],[MON]]+'Temporada 2026'!R43</f>
        <v>40</v>
      </c>
      <c r="L34">
        <f>Tabela2[[#This Row],[ESP]]+'Temporada 2026'!S43</f>
        <v>43</v>
      </c>
      <c r="M34">
        <f>Tabela2[[#This Row],[AUT]]+'Temporada 2026'!T43</f>
        <v>58</v>
      </c>
      <c r="N34">
        <f>Tabela2[[#This Row],[ING]]+'Temporada 2026'!U43</f>
        <v>60</v>
      </c>
      <c r="O34">
        <f>Tabela2[[#This Row],[BEL]]+'Temporada 2026'!V43</f>
        <v>65</v>
      </c>
      <c r="P34">
        <f>Tabela2[[#This Row],[HUN]]+'Temporada 2026'!W43</f>
        <v>71</v>
      </c>
      <c r="Q34">
        <f>Tabela2[[#This Row],[HOL]]+'Temporada 2026'!X43</f>
        <v>71</v>
      </c>
      <c r="R34">
        <f>Tabela2[[#This Row],[MAD]]+'Temporada 2026'!Y43</f>
        <v>71</v>
      </c>
      <c r="S34">
        <f>Tabela2[[#This Row],[ITA]]+'Temporada 2026'!Z43</f>
        <v>71</v>
      </c>
      <c r="T34">
        <f>Tabela2[[#This Row],[AZE]]+'Temporada 2026'!AA43</f>
        <v>71</v>
      </c>
      <c r="U34">
        <f>Tabela2[[#This Row],[SIN]]+'Temporada 2026'!AB43</f>
        <v>71</v>
      </c>
      <c r="V34">
        <f>Tabela2[[#This Row],[USA]]+'Temporada 2026'!AC43</f>
        <v>71</v>
      </c>
      <c r="W34">
        <f>Tabela2[[#This Row],[MEX]]+'Temporada 2026'!AD43</f>
        <v>71</v>
      </c>
      <c r="X34">
        <f>Tabela2[[#This Row],[SÃO]]+'Temporada 2026'!AE43</f>
        <v>71</v>
      </c>
      <c r="Y34">
        <f>Tabela2[[#This Row],[VEG]]+'Temporada 2026'!AF43</f>
        <v>71</v>
      </c>
      <c r="Z34">
        <f>Tabela2[[#This Row],[QAT]]+'Temporada 2026'!AG43</f>
        <v>71</v>
      </c>
    </row>
    <row r="35" spans="1:26" x14ac:dyDescent="0.2">
      <c r="A35">
        <f>'Temporada 2026'!B44</f>
        <v>6</v>
      </c>
      <c r="B35" t="str">
        <f>'Temporada 2026'!C44</f>
        <v>Alpine</v>
      </c>
      <c r="C35">
        <f>'Temporada 2026'!J44</f>
        <v>1</v>
      </c>
      <c r="D35">
        <f>Tabela2[[#This Row],[AUS]]+'Temporada 2026'!K44</f>
        <v>10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Row],[SAU]]+'Temporada 2026'!O44</f>
        <v>23</v>
      </c>
      <c r="I35">
        <f>Tabela2[[#This Row],[MIA]]+'Temporada 2026'!P44</f>
        <v>35</v>
      </c>
      <c r="J35">
        <f>Tabela2[[#This Row],[CAN]]+'Temporada 2026'!Q44</f>
        <v>50</v>
      </c>
      <c r="K35">
        <f>Tabela2[[#This Row],[MON]]+'Temporada 2026'!R44</f>
        <v>57</v>
      </c>
      <c r="L35">
        <f>Tabela2[[#This Row],[ESP]]+'Temporada 2026'!S44</f>
        <v>57</v>
      </c>
      <c r="M35">
        <f>Tabela2[[#This Row],[AUT]]+'Temporada 2026'!T44</f>
        <v>60</v>
      </c>
      <c r="N35">
        <f>Tabela2[[#This Row],[ING]]+'Temporada 2026'!U44</f>
        <v>61</v>
      </c>
      <c r="O35">
        <f>Tabela2[[#This Row],[BEL]]+'Temporada 2026'!V44</f>
        <v>61</v>
      </c>
      <c r="P35">
        <f>Tabela2[[#This Row],[HUN]]+'Temporada 2026'!W44</f>
        <v>63</v>
      </c>
      <c r="Q35">
        <f>Tabela2[[#This Row],[HOL]]+'Temporada 2026'!X44</f>
        <v>63</v>
      </c>
      <c r="R35">
        <f>Tabela2[[#This Row],[MAD]]+'Temporada 2026'!Y44</f>
        <v>63</v>
      </c>
      <c r="S35">
        <f>Tabela2[[#This Row],[ITA]]+'Temporada 2026'!Z44</f>
        <v>63</v>
      </c>
      <c r="T35">
        <f>Tabela2[[#This Row],[AZE]]+'Temporada 2026'!AA44</f>
        <v>63</v>
      </c>
      <c r="U35">
        <f>Tabela2[[#This Row],[SIN]]+'Temporada 2026'!AB44</f>
        <v>63</v>
      </c>
      <c r="V35">
        <f>Tabela2[[#This Row],[USA]]+'Temporada 2026'!AC44</f>
        <v>63</v>
      </c>
      <c r="W35">
        <f>Tabela2[[#This Row],[MEX]]+'Temporada 2026'!AD44</f>
        <v>63</v>
      </c>
      <c r="X35">
        <f>Tabela2[[#This Row],[SÃO]]+'Temporada 2026'!AE44</f>
        <v>63</v>
      </c>
      <c r="Y35">
        <f>Tabela2[[#This Row],[VEG]]+'Temporada 2026'!AF44</f>
        <v>63</v>
      </c>
      <c r="Z35">
        <f>Tabela2[[#This Row],[QAT]]+'Temporada 2026'!AG44</f>
        <v>63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2</v>
      </c>
      <c r="I37">
        <f>Tabela2[[#This Row],[MIA]]+'Temporada 2026'!P46</f>
        <v>2</v>
      </c>
      <c r="J37">
        <f>Tabela2[[#This Row],[CAN]]+'Temporada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Row],[AUT]]+'Temporada 2026'!T46</f>
        <v>6</v>
      </c>
      <c r="N37">
        <f>Tabela2[[#This Row],[ING]]+'Temporada 2026'!U46</f>
        <v>10</v>
      </c>
      <c r="O37">
        <f>Tabela2[[#This Row],[BEL]]+'Temporada 2026'!V46</f>
        <v>12</v>
      </c>
      <c r="P37">
        <f>Tabela2[[#This Row],[HUN]]+'Temporada 2026'!W46</f>
        <v>16</v>
      </c>
      <c r="Q37">
        <f>Tabela2[[#This Row],[HOL]]+'Temporada 2026'!X46</f>
        <v>16</v>
      </c>
      <c r="R37">
        <f>Tabela2[[#This Row],[MAD]]+'Temporada 2026'!Y46</f>
        <v>16</v>
      </c>
      <c r="S37">
        <f>Tabela2[[#This Row],[ITA]]+'Temporada 2026'!Z46</f>
        <v>16</v>
      </c>
      <c r="T37">
        <f>Tabela2[[#This Row],[AZE]]+'Temporada 2026'!AA46</f>
        <v>16</v>
      </c>
      <c r="U37">
        <f>Tabela2[[#This Row],[SIN]]+'Temporada 2026'!AB46</f>
        <v>16</v>
      </c>
      <c r="V37">
        <f>Tabela2[[#This Row],[USA]]+'Temporada 2026'!AC46</f>
        <v>16</v>
      </c>
      <c r="W37">
        <f>Tabela2[[#This Row],[MEX]]+'Temporada 2026'!AD46</f>
        <v>16</v>
      </c>
      <c r="X37">
        <f>Tabela2[[#This Row],[SÃO]]+'Temporada 2026'!AE46</f>
        <v>16</v>
      </c>
      <c r="Y37">
        <f>Tabela2[[#This Row],[VEG]]+'Temporada 2026'!AF46</f>
        <v>16</v>
      </c>
      <c r="Z37">
        <f>Tabela2[[#This Row],[QAT]]+'Temporada 2026'!AG46</f>
        <v>16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5</v>
      </c>
      <c r="I38">
        <f>Tabela2[[#This Row],[MIA]]+'Temporada 2026'!P47</f>
        <v>7</v>
      </c>
      <c r="J38">
        <f>Tabela2[[#This Row],[CAN]]+'Temporada 2026'!Q47</f>
        <v>11</v>
      </c>
      <c r="K38">
        <f>Tabela2[[#This Row],[MON]]+'Temporada 2026'!R47</f>
        <v>11</v>
      </c>
      <c r="L38">
        <f>Tabela2[[#This Row],[ESP]]+'Temporada 2026'!S47</f>
        <v>11</v>
      </c>
      <c r="M38">
        <f>Tabela2[[#This Row],[AUT]]+'Temporada 2026'!T47</f>
        <v>11</v>
      </c>
      <c r="N38">
        <f>Tabela2[[#This Row],[ING]]+'Temporada 2026'!U47</f>
        <v>11</v>
      </c>
      <c r="O38">
        <f>Tabela2[[#This Row],[BEL]]+'Temporada 2026'!V47</f>
        <v>11</v>
      </c>
      <c r="P38">
        <f>Tabela2[[#This Row],[HUN]]+'Temporada 2026'!W47</f>
        <v>11</v>
      </c>
      <c r="Q38">
        <f>Tabela2[[#This Row],[HOL]]+'Temporada 2026'!X47</f>
        <v>11</v>
      </c>
      <c r="R38">
        <f>Tabela2[[#This Row],[MAD]]+'Temporada 2026'!Y47</f>
        <v>11</v>
      </c>
      <c r="S38">
        <f>Tabela2[[#This Row],[ITA]]+'Temporada 2026'!Z47</f>
        <v>11</v>
      </c>
      <c r="T38">
        <f>Tabela2[[#This Row],[AZE]]+'Temporada 2026'!AA47</f>
        <v>11</v>
      </c>
      <c r="U38">
        <f>Tabela2[[#This Row],[SIN]]+'Temporada 2026'!AB47</f>
        <v>11</v>
      </c>
      <c r="V38">
        <f>Tabela2[[#This Row],[USA]]+'Temporada 2026'!AC47</f>
        <v>11</v>
      </c>
      <c r="W38">
        <f>Tabela2[[#This Row],[MEX]]+'Temporada 2026'!AD47</f>
        <v>11</v>
      </c>
      <c r="X38">
        <f>Tabela2[[#This Row],[SÃO]]+'Temporada 2026'!AE47</f>
        <v>11</v>
      </c>
      <c r="Y38">
        <f>Tabela2[[#This Row],[VEG]]+'Temporada 2026'!AF47</f>
        <v>11</v>
      </c>
      <c r="Z38">
        <f>Tabela2[[#This Row],[QAT]]+'Temporada 2026'!AG47</f>
        <v>11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Row],[SAU]]+'Temporada 2026'!O48</f>
        <v>0</v>
      </c>
      <c r="I39">
        <f>Tabela2[[#This Row],[MIA]]+'Temporada 2026'!P48</f>
        <v>0</v>
      </c>
      <c r="J39">
        <f>Tabela2[[#This Row],[CAN]]+'Temporada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Row],[AUT]]+'Temporada 2026'!T48</f>
        <v>1</v>
      </c>
      <c r="N39">
        <f>Tabela2[[#This Row],[ING]]+'Temporada 2026'!U48</f>
        <v>1</v>
      </c>
      <c r="O39">
        <f>Tabela2[[#This Row],[BEL]]+'Temporada 2026'!V48</f>
        <v>1</v>
      </c>
      <c r="P39">
        <f>Tabela2[[#This Row],[HUN]]+'Temporada 2026'!W48</f>
        <v>3</v>
      </c>
      <c r="Q39">
        <f>Tabela2[[#This Row],[HOL]]+'Temporada 2026'!X48</f>
        <v>3</v>
      </c>
      <c r="R39">
        <f>Tabela2[[#This Row],[MAD]]+'Temporada 2026'!Y48</f>
        <v>3</v>
      </c>
      <c r="S39">
        <f>Tabela2[[#This Row],[ITA]]+'Temporada 2026'!Z48</f>
        <v>3</v>
      </c>
      <c r="T39">
        <f>Tabela2[[#This Row],[AZE]]+'Temporada 2026'!AA48</f>
        <v>3</v>
      </c>
      <c r="U39">
        <f>Tabela2[[#This Row],[SIN]]+'Temporada 2026'!AB48</f>
        <v>3</v>
      </c>
      <c r="V39">
        <f>Tabela2[[#This Row],[USA]]+'Temporada 2026'!AC48</f>
        <v>3</v>
      </c>
      <c r="W39">
        <f>Tabela2[[#This Row],[MEX]]+'Temporada 2026'!AD48</f>
        <v>3</v>
      </c>
      <c r="X39">
        <f>Tabela2[[#This Row],[SÃO]]+'Temporada 2026'!AE48</f>
        <v>3</v>
      </c>
      <c r="Y39">
        <f>Tabela2[[#This Row],[VEG]]+'Temporada 2026'!AF48</f>
        <v>3</v>
      </c>
      <c r="Z39">
        <f>Tabela2[[#This Row],[QAT]]+'Temporada 2026'!AG48</f>
        <v>3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381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Row],[SAU]]</f>
        <v>0</v>
      </c>
      <c r="I43" s="23">
        <f>Tabela2[[#This Row],[MIA]]</f>
        <v>0</v>
      </c>
      <c r="J43" s="23">
        <f>Tabela2[[#This Row],[CAN]]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Row],[AUT]]</f>
        <v>0</v>
      </c>
      <c r="N43" s="23">
        <f>Tabela2[[#This Row],[ING]]</f>
        <v>0</v>
      </c>
      <c r="O43" s="23">
        <f>Tabela2[[#This Row],[BEL]]</f>
        <v>0</v>
      </c>
      <c r="P43" s="23">
        <f>Tabela2[[#This Row],[HUN]]</f>
        <v>0</v>
      </c>
      <c r="Q43" s="23">
        <f>Tabela2[[#This Row],[HOL]]</f>
        <v>0</v>
      </c>
      <c r="R43" s="23">
        <f>Tabela2[[#This Row],[MAD]]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topLeftCell="A33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3" t="s">
        <v>28</v>
      </c>
      <c r="C2" s="163"/>
      <c r="D2" s="163"/>
      <c r="E2" s="163"/>
      <c r="F2" s="163"/>
      <c r="G2" s="163"/>
      <c r="H2" s="163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73" t="s">
        <v>27</v>
      </c>
      <c r="H4" s="173"/>
    </row>
    <row r="5" spans="2:8" x14ac:dyDescent="0.2">
      <c r="B5" s="171">
        <v>1</v>
      </c>
      <c r="C5" s="170">
        <f>'Calendário atual'!B2</f>
        <v>46089</v>
      </c>
      <c r="D5" s="167" t="str">
        <f>'Calendário atual'!C2</f>
        <v>Australia</v>
      </c>
      <c r="E5" s="164" t="str">
        <f>'Calendário atual'!D2</f>
        <v>FORMULA 1 QATAR AIRWAYS AUSTRALIAN GRAND PRIX 2026</v>
      </c>
      <c r="F5" s="167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71"/>
      <c r="C6" s="170"/>
      <c r="D6" s="168"/>
      <c r="E6" s="165"/>
      <c r="F6" s="168"/>
      <c r="G6" s="105">
        <v>2</v>
      </c>
      <c r="H6" s="103" t="str">
        <f>IF(Resultados!C5&lt;&gt;"",Resultados!C5,"")</f>
        <v>Kimi Antonelli</v>
      </c>
    </row>
    <row r="7" spans="2:8" x14ac:dyDescent="0.2">
      <c r="B7" s="171"/>
      <c r="C7" s="170"/>
      <c r="D7" s="169"/>
      <c r="E7" s="166"/>
      <c r="F7" s="169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70">
        <f>'Calendário atual'!B3</f>
        <v>46096</v>
      </c>
      <c r="D8" s="169" t="str">
        <f>'Calendário atual'!C3</f>
        <v>China</v>
      </c>
      <c r="E8" s="164" t="str">
        <f>'Calendário atual'!D3</f>
        <v>FORMULA 1 HEINEKEN CHINESE GRAND PRIX 2026</v>
      </c>
      <c r="F8" s="167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71"/>
      <c r="C9" s="170"/>
      <c r="D9" s="172"/>
      <c r="E9" s="165"/>
      <c r="F9" s="168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71"/>
      <c r="C10" s="170"/>
      <c r="D10" s="172"/>
      <c r="E10" s="166"/>
      <c r="F10" s="169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71">
        <v>3</v>
      </c>
      <c r="C11" s="170">
        <f>'Calendário atual'!B4</f>
        <v>46110</v>
      </c>
      <c r="D11" s="172" t="str">
        <f>'Calendário atual'!C4</f>
        <v>Japão</v>
      </c>
      <c r="E11" s="164" t="str">
        <f>'Calendário atual'!D4</f>
        <v>FORMULA 1 ARAMCO JAPANESE GRAND PRIX 2026</v>
      </c>
      <c r="F11" s="167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71"/>
      <c r="C12" s="170"/>
      <c r="D12" s="172"/>
      <c r="E12" s="165"/>
      <c r="F12" s="168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71"/>
      <c r="C13" s="170"/>
      <c r="D13" s="172"/>
      <c r="E13" s="166"/>
      <c r="F13" s="169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71">
        <v>4</v>
      </c>
      <c r="C14" s="170">
        <f>'Calendário atual'!B5</f>
        <v>46124</v>
      </c>
      <c r="D14" s="172" t="str">
        <f>'Calendário atual'!C5</f>
        <v>Bahrein</v>
      </c>
      <c r="E14" s="164" t="str">
        <f>'Calendário atual'!D5</f>
        <v>SUSPENSA - FORMULA 1 GULF AIR BAHRAIN GRAND PRIX 2026 - SUSPENSA</v>
      </c>
      <c r="F14" s="167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71"/>
      <c r="C15" s="170"/>
      <c r="D15" s="172"/>
      <c r="E15" s="165"/>
      <c r="F15" s="168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71"/>
      <c r="C16" s="170"/>
      <c r="D16" s="172"/>
      <c r="E16" s="166"/>
      <c r="F16" s="169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71">
        <v>5</v>
      </c>
      <c r="C17" s="170">
        <f>'Calendário atual'!B6</f>
        <v>46131</v>
      </c>
      <c r="D17" s="172" t="str">
        <f>'Calendário atual'!C6</f>
        <v>Arabia Saudita</v>
      </c>
      <c r="E17" s="164" t="str">
        <f>'Calendário atual'!D6</f>
        <v>SUSPENSA - FORMULA 1 STC SAUDI ARABIAN GRAND PRIX 2026 - SUSPENSA</v>
      </c>
      <c r="F17" s="167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71"/>
      <c r="C18" s="170"/>
      <c r="D18" s="172"/>
      <c r="E18" s="165"/>
      <c r="F18" s="168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71"/>
      <c r="C19" s="170"/>
      <c r="D19" s="172"/>
      <c r="E19" s="166"/>
      <c r="F19" s="169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71">
        <v>6</v>
      </c>
      <c r="C20" s="170">
        <f>'Calendário atual'!B7</f>
        <v>46145</v>
      </c>
      <c r="D20" s="172" t="str">
        <f>'Calendário atual'!C7</f>
        <v>USA</v>
      </c>
      <c r="E20" s="164" t="str">
        <f>'Calendário atual'!D7</f>
        <v>FORMULA 1 CRYPTO.COM MIAMI GRAND PRIX 2026</v>
      </c>
      <c r="F20" s="172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71"/>
      <c r="C21" s="170"/>
      <c r="D21" s="172"/>
      <c r="E21" s="165"/>
      <c r="F21" s="172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71"/>
      <c r="C22" s="170"/>
      <c r="D22" s="172"/>
      <c r="E22" s="166"/>
      <c r="F22" s="172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71">
        <v>7</v>
      </c>
      <c r="C23" s="170">
        <f>'Calendário atual'!B8</f>
        <v>46166</v>
      </c>
      <c r="D23" s="172" t="str">
        <f>'Calendário atual'!C8</f>
        <v>Canadá</v>
      </c>
      <c r="E23" s="164" t="str">
        <f>'Calendário atual'!D8</f>
        <v>FORMULA 1 LENOVO GRAND PRIX DU CANADA 2026</v>
      </c>
      <c r="F23" s="172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71"/>
      <c r="C24" s="170"/>
      <c r="D24" s="172"/>
      <c r="E24" s="165"/>
      <c r="F24" s="172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71"/>
      <c r="C25" s="170"/>
      <c r="D25" s="172"/>
      <c r="E25" s="166"/>
      <c r="F25" s="172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71">
        <v>8</v>
      </c>
      <c r="C26" s="170">
        <f>'Calendário atual'!B9</f>
        <v>46180</v>
      </c>
      <c r="D26" s="172" t="str">
        <f>'Calendário atual'!C9</f>
        <v>Mônaco</v>
      </c>
      <c r="E26" s="164" t="str">
        <f>'Calendário atual'!D9</f>
        <v>FORMULA 1 LOUIS VUITTON GRAND PRIX DE MONACO 2026</v>
      </c>
      <c r="F26" s="172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71"/>
      <c r="C27" s="170"/>
      <c r="D27" s="172"/>
      <c r="E27" s="165"/>
      <c r="F27" s="172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71"/>
      <c r="C28" s="170"/>
      <c r="D28" s="172"/>
      <c r="E28" s="166"/>
      <c r="F28" s="172"/>
      <c r="G28" s="106">
        <v>3</v>
      </c>
      <c r="H28" s="104" t="str">
        <f>IF(Resultados!C277&lt;&gt;"",Resultados!C277,"")</f>
        <v>Pierre Gasly</v>
      </c>
    </row>
    <row r="29" spans="2:8" ht="12.75" customHeight="1" x14ac:dyDescent="0.2">
      <c r="B29" s="171">
        <v>9</v>
      </c>
      <c r="C29" s="170">
        <f>'Calendário atual'!B10</f>
        <v>46187</v>
      </c>
      <c r="D29" s="172" t="str">
        <f>'Calendário atual'!C10</f>
        <v>Espanha</v>
      </c>
      <c r="E29" s="164" t="str">
        <f>'Calendário atual'!D10</f>
        <v>FORMULA 1 MSC CRUISES GRAN PREMIO DE BARCELONA-CATALUNYA 2026</v>
      </c>
      <c r="F29" s="172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71"/>
      <c r="C30" s="170"/>
      <c r="D30" s="172"/>
      <c r="E30" s="165"/>
      <c r="F30" s="172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71"/>
      <c r="C31" s="170"/>
      <c r="D31" s="172"/>
      <c r="E31" s="166"/>
      <c r="F31" s="172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71">
        <v>10</v>
      </c>
      <c r="C32" s="170">
        <f>'Calendário atual'!B11</f>
        <v>46201</v>
      </c>
      <c r="D32" s="167" t="str">
        <f>'Calendário atual'!C11</f>
        <v>Austria</v>
      </c>
      <c r="E32" s="164" t="str">
        <f>'Calendário atual'!D11</f>
        <v>FORMULA 1 LENOVO AUSTRIAN GRAND PRIX 2026</v>
      </c>
      <c r="F32" s="167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71"/>
      <c r="C33" s="170"/>
      <c r="D33" s="168"/>
      <c r="E33" s="165"/>
      <c r="F33" s="168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71"/>
      <c r="C34" s="170"/>
      <c r="D34" s="169"/>
      <c r="E34" s="166"/>
      <c r="F34" s="169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71">
        <v>11</v>
      </c>
      <c r="C35" s="170">
        <f>'Calendário atual'!B12</f>
        <v>46208</v>
      </c>
      <c r="D35" s="172" t="str">
        <f>'Calendário atual'!C12</f>
        <v>Inglaterra</v>
      </c>
      <c r="E35" s="164" t="str">
        <f>'Calendário atual'!D12</f>
        <v>FORMULA 1 PIRELLI BRITISH GRAND PRIX 2026</v>
      </c>
      <c r="F35" s="172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71"/>
      <c r="C36" s="170"/>
      <c r="D36" s="172"/>
      <c r="E36" s="165"/>
      <c r="F36" s="172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71"/>
      <c r="C37" s="170"/>
      <c r="D37" s="172"/>
      <c r="E37" s="166"/>
      <c r="F37" s="172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71">
        <v>12</v>
      </c>
      <c r="C38" s="170">
        <f>'Calendário atual'!B13</f>
        <v>46222</v>
      </c>
      <c r="D38" s="172" t="str">
        <f>'Calendário atual'!C13</f>
        <v>Bélgica</v>
      </c>
      <c r="E38" s="164" t="str">
        <f>'Calendário atual'!D13</f>
        <v>FORMULA 1 MOËT &amp; CHANDON BELGIAN GRAND PRIX 2026</v>
      </c>
      <c r="F38" s="172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71"/>
      <c r="C39" s="170"/>
      <c r="D39" s="172"/>
      <c r="E39" s="165"/>
      <c r="F39" s="172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71"/>
      <c r="C40" s="170"/>
      <c r="D40" s="172"/>
      <c r="E40" s="166"/>
      <c r="F40" s="172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71">
        <v>13</v>
      </c>
      <c r="C41" s="170">
        <f>'Calendário atual'!B14</f>
        <v>46229</v>
      </c>
      <c r="D41" s="172" t="str">
        <f>'Calendário atual'!C14</f>
        <v>Hungria</v>
      </c>
      <c r="E41" s="164" t="str">
        <f>'Calendário atual'!D14</f>
        <v>FORMULA 1 AWS HUNGARIAN GRAND PRIX 2026</v>
      </c>
      <c r="F41" s="172" t="str">
        <f>'Calendário atual'!E14</f>
        <v>Hungaroring</v>
      </c>
      <c r="G41" s="101">
        <v>1</v>
      </c>
      <c r="H41" s="102" t="str">
        <f>IF(Resultados!C440&lt;&gt;"",Resultados!C440,"")</f>
        <v>Lando Norris</v>
      </c>
    </row>
    <row r="42" spans="2:8" ht="12.75" customHeight="1" x14ac:dyDescent="0.2">
      <c r="B42" s="171"/>
      <c r="C42" s="170"/>
      <c r="D42" s="172"/>
      <c r="E42" s="165"/>
      <c r="F42" s="172"/>
      <c r="G42" s="105">
        <v>2</v>
      </c>
      <c r="H42" s="103" t="str">
        <f>IF(Resultados!C441&lt;&gt;"",Resultados!C441,"")</f>
        <v>Max Verstappen</v>
      </c>
    </row>
    <row r="43" spans="2:8" ht="12.75" customHeight="1" x14ac:dyDescent="0.2">
      <c r="B43" s="171"/>
      <c r="C43" s="170"/>
      <c r="D43" s="172"/>
      <c r="E43" s="166"/>
      <c r="F43" s="172"/>
      <c r="G43" s="106">
        <v>3</v>
      </c>
      <c r="H43" s="104" t="str">
        <f>IF(Resultados!C442&lt;&gt;"",Resultados!C442,"")</f>
        <v>Kimi Antonelli</v>
      </c>
    </row>
    <row r="44" spans="2:8" ht="12.75" customHeight="1" x14ac:dyDescent="0.2">
      <c r="B44" s="171">
        <v>14</v>
      </c>
      <c r="C44" s="170">
        <f>'Calendário atual'!B15</f>
        <v>46257</v>
      </c>
      <c r="D44" s="172" t="str">
        <f>'Calendário atual'!C15</f>
        <v>Holanda</v>
      </c>
      <c r="E44" s="164" t="str">
        <f>'Calendário atual'!D15</f>
        <v>FORMULA 1 HEINEKEN DUTCH GRAND PRIX 2026</v>
      </c>
      <c r="F44" s="172" t="str">
        <f>'Calendário atual'!E15</f>
        <v>Zandvoort</v>
      </c>
      <c r="G44" s="101">
        <v>1</v>
      </c>
      <c r="H44" s="102" t="str">
        <f>IF(Resultados!C493&lt;&gt;"",Resultados!C493,"")</f>
        <v>Lando Norris</v>
      </c>
    </row>
    <row r="45" spans="2:8" ht="12.75" customHeight="1" x14ac:dyDescent="0.2">
      <c r="B45" s="171"/>
      <c r="C45" s="170"/>
      <c r="D45" s="172"/>
      <c r="E45" s="165"/>
      <c r="F45" s="172"/>
      <c r="G45" s="105">
        <v>2</v>
      </c>
      <c r="H45" s="103" t="str">
        <f>IF(Resultados!C494&lt;&gt;"",Resultados!C494,"")</f>
        <v>Kimi Antonelli</v>
      </c>
    </row>
    <row r="46" spans="2:8" ht="12.75" customHeight="1" x14ac:dyDescent="0.2">
      <c r="B46" s="171"/>
      <c r="C46" s="170"/>
      <c r="D46" s="172"/>
      <c r="E46" s="166"/>
      <c r="F46" s="172"/>
      <c r="G46" s="106">
        <v>3</v>
      </c>
      <c r="H46" s="104" t="str">
        <f>IF(Resultados!C495&lt;&gt;"",Resultados!C495,"")</f>
        <v>George Russell</v>
      </c>
    </row>
    <row r="47" spans="2:8" ht="12.75" customHeight="1" x14ac:dyDescent="0.2">
      <c r="B47" s="171">
        <v>15</v>
      </c>
      <c r="C47" s="170">
        <f>'Calendário atual'!B16</f>
        <v>46271</v>
      </c>
      <c r="D47" s="172" t="str">
        <f>'Calendário atual'!C16</f>
        <v>Itália</v>
      </c>
      <c r="E47" s="164" t="str">
        <f>'Calendário atual'!D16</f>
        <v>FORMULA 1 PIRELLI GRAN PREMIO D’ITALIA 2026</v>
      </c>
      <c r="F47" s="172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71"/>
      <c r="C48" s="170"/>
      <c r="D48" s="172"/>
      <c r="E48" s="165"/>
      <c r="F48" s="172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71"/>
      <c r="C49" s="170"/>
      <c r="D49" s="172"/>
      <c r="E49" s="166"/>
      <c r="F49" s="172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71">
        <v>16</v>
      </c>
      <c r="C50" s="170">
        <f>'Calendário atual'!B17</f>
        <v>46278</v>
      </c>
      <c r="D50" s="172" t="str">
        <f>'Calendário atual'!C17</f>
        <v>Espanha</v>
      </c>
      <c r="E50" s="164" t="str">
        <f>'Calendário atual'!D17</f>
        <v>FORMULA 1 TAG HEUER GRAN PREMIO DE ESPAÑA 2026</v>
      </c>
      <c r="F50" s="172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71"/>
      <c r="C51" s="170"/>
      <c r="D51" s="172"/>
      <c r="E51" s="165"/>
      <c r="F51" s="172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71"/>
      <c r="C52" s="170"/>
      <c r="D52" s="172"/>
      <c r="E52" s="166"/>
      <c r="F52" s="172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71">
        <v>17</v>
      </c>
      <c r="C53" s="170">
        <f>'Calendário atual'!B18</f>
        <v>46292</v>
      </c>
      <c r="D53" s="172" t="str">
        <f>'Calendário atual'!C18</f>
        <v>Azerbaijão</v>
      </c>
      <c r="E53" s="164" t="str">
        <f>'Calendário atual'!D18</f>
        <v>FORMULA 1 QATAR AIRWAYS AZERBAIJAN GRAND PRIX 2026</v>
      </c>
      <c r="F53" s="172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71"/>
      <c r="C54" s="170"/>
      <c r="D54" s="172"/>
      <c r="E54" s="165"/>
      <c r="F54" s="172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71"/>
      <c r="C55" s="170"/>
      <c r="D55" s="172"/>
      <c r="E55" s="166"/>
      <c r="F55" s="172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71">
        <v>18</v>
      </c>
      <c r="C56" s="170">
        <f>'Calendário atual'!B19</f>
        <v>46306</v>
      </c>
      <c r="D56" s="172" t="str">
        <f>'Calendário atual'!C19</f>
        <v>Singapura</v>
      </c>
      <c r="E56" s="164" t="str">
        <f>'Calendário atual'!D19</f>
        <v>FORMULA 1 SINGAPORE AIRLINES SINGAPORE GRAND PRIX 2026</v>
      </c>
      <c r="F56" s="172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71"/>
      <c r="C57" s="170"/>
      <c r="D57" s="172"/>
      <c r="E57" s="165"/>
      <c r="F57" s="172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71"/>
      <c r="C58" s="170"/>
      <c r="D58" s="172"/>
      <c r="E58" s="166"/>
      <c r="F58" s="172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71">
        <v>19</v>
      </c>
      <c r="C59" s="170">
        <f>'Calendário atual'!B20</f>
        <v>46320</v>
      </c>
      <c r="D59" s="172" t="str">
        <f>'Calendário atual'!C20</f>
        <v>USA</v>
      </c>
      <c r="E59" s="164" t="str">
        <f>'Calendário atual'!D20</f>
        <v>FORMULA 1 MSC CRUISES UNITED STATES GRAND PRIX 2026</v>
      </c>
      <c r="F59" s="172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71"/>
      <c r="C60" s="170"/>
      <c r="D60" s="172"/>
      <c r="E60" s="165"/>
      <c r="F60" s="172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71"/>
      <c r="C61" s="170"/>
      <c r="D61" s="172"/>
      <c r="E61" s="166"/>
      <c r="F61" s="172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71">
        <v>20</v>
      </c>
      <c r="C62" s="170">
        <f>'Calendário atual'!B21</f>
        <v>46327</v>
      </c>
      <c r="D62" s="172" t="str">
        <f>'Calendário atual'!C21</f>
        <v>México</v>
      </c>
      <c r="E62" s="164" t="str">
        <f>'Calendário atual'!D21</f>
        <v>FORMULA 1 GRAN PREMIO DE LA CIUDAD DE MÉXICO 2026</v>
      </c>
      <c r="F62" s="172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71"/>
      <c r="C63" s="170"/>
      <c r="D63" s="172"/>
      <c r="E63" s="165"/>
      <c r="F63" s="172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71"/>
      <c r="C64" s="170"/>
      <c r="D64" s="172"/>
      <c r="E64" s="166"/>
      <c r="F64" s="172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71">
        <v>21</v>
      </c>
      <c r="C65" s="170">
        <f>'Calendário atual'!B22</f>
        <v>46334</v>
      </c>
      <c r="D65" s="172" t="str">
        <f>'Calendário atual'!C22</f>
        <v>Brasil</v>
      </c>
      <c r="E65" s="164" t="str">
        <f>'Calendário atual'!D22</f>
        <v>FORMULA 1 MSC CRUISES GRANDE PRÊMIO DE SÃO PAULO 2026</v>
      </c>
      <c r="F65" s="172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71"/>
      <c r="C66" s="170"/>
      <c r="D66" s="172"/>
      <c r="E66" s="165"/>
      <c r="F66" s="172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71"/>
      <c r="C67" s="170"/>
      <c r="D67" s="172"/>
      <c r="E67" s="166"/>
      <c r="F67" s="172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71">
        <v>22</v>
      </c>
      <c r="C68" s="170">
        <f>'Calendário atual'!B23</f>
        <v>46347</v>
      </c>
      <c r="D68" s="172" t="str">
        <f>'Calendário atual'!C23</f>
        <v>USA</v>
      </c>
      <c r="E68" s="164" t="str">
        <f>'Calendário atual'!D23</f>
        <v>FORMULA 1 HEINEKEN LAS VEGAS GRAND PRIX 2026</v>
      </c>
      <c r="F68" s="172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71"/>
      <c r="C69" s="170"/>
      <c r="D69" s="172"/>
      <c r="E69" s="165"/>
      <c r="F69" s="172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71"/>
      <c r="C70" s="170"/>
      <c r="D70" s="172"/>
      <c r="E70" s="166"/>
      <c r="F70" s="172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71">
        <v>23</v>
      </c>
      <c r="C71" s="170">
        <f>'Calendário atual'!B24</f>
        <v>46355</v>
      </c>
      <c r="D71" s="172" t="str">
        <f>'Calendário atual'!C24</f>
        <v>Qatar</v>
      </c>
      <c r="E71" s="164" t="str">
        <f>'Calendário atual'!D24</f>
        <v>FORMULA 1 QATAR AIRWAYS QATAR GRAND PRIX 2026</v>
      </c>
      <c r="F71" s="172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71"/>
      <c r="C72" s="170"/>
      <c r="D72" s="172"/>
      <c r="E72" s="165"/>
      <c r="F72" s="172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71"/>
      <c r="C73" s="170"/>
      <c r="D73" s="172"/>
      <c r="E73" s="166"/>
      <c r="F73" s="172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71">
        <v>24</v>
      </c>
      <c r="C74" s="170">
        <f>'Calendário atual'!B25</f>
        <v>46362</v>
      </c>
      <c r="D74" s="172" t="str">
        <f>'Calendário atual'!C25</f>
        <v>Abu Dhabi</v>
      </c>
      <c r="E74" s="164" t="str">
        <f>'Calendário atual'!D25</f>
        <v>FORMULA 1 ETIHAD AIRWAYS ABU DHABI GRAND PRIX 2026</v>
      </c>
      <c r="F74" s="172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71"/>
      <c r="C75" s="170"/>
      <c r="D75" s="172"/>
      <c r="E75" s="165"/>
      <c r="F75" s="172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71"/>
      <c r="C76" s="170"/>
      <c r="D76" s="172"/>
      <c r="E76" s="166"/>
      <c r="F76" s="172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518" workbookViewId="0">
      <selection activeCell="C521" sqref="C521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263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354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408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 t="str">
        <f>C440</f>
        <v>Lando Norris</v>
      </c>
      <c r="N15" s="77" t="str">
        <f>E440</f>
        <v>McLaren</v>
      </c>
      <c r="O15" s="77">
        <v>1</v>
      </c>
      <c r="P15" s="77" t="str">
        <f>C464</f>
        <v>Lando Norris</v>
      </c>
      <c r="Q15" s="77" t="str">
        <f>E464</f>
        <v>McLaren</v>
      </c>
      <c r="R15" s="77">
        <v>1</v>
      </c>
      <c r="S15" s="77" t="str">
        <f>C465</f>
        <v>Charles Leclerc</v>
      </c>
      <c r="T15" s="77" t="str">
        <f>E465</f>
        <v>Ferrari</v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409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 t="str">
        <f>C493</f>
        <v>Lando Norris</v>
      </c>
      <c r="N16" s="77" t="str">
        <f>E493</f>
        <v>McLaren</v>
      </c>
      <c r="O16" s="77">
        <v>1</v>
      </c>
      <c r="P16" s="77" t="str">
        <f>C517</f>
        <v>Lando Norris</v>
      </c>
      <c r="Q16" s="77" t="str">
        <f>E517</f>
        <v>McLaren</v>
      </c>
      <c r="R16" s="77">
        <v>1</v>
      </c>
      <c r="S16" s="77" t="str">
        <f>C518</f>
        <v>Charles Leclerc</v>
      </c>
      <c r="T16" s="77" t="str">
        <f>E518</f>
        <v>Ferrari</v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413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397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428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428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398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428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407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428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429</v>
      </c>
      <c r="G24" s="75"/>
      <c r="H24" s="75"/>
      <c r="I24" s="75"/>
      <c r="J24" s="76">
        <f t="shared" si="0"/>
        <v>23</v>
      </c>
      <c r="K24" s="74" t="str">
        <f>IF('Equipes e Pilotos'!C25&lt;&gt;"",'Equipes e Pilotos'!C25,"")</f>
        <v>Yuki Tsunoda</v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429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>
        <f>$J$24</f>
        <v>23</v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354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531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355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354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308</v>
      </c>
      <c r="L35" s="77">
        <f>SUM(H:H)</f>
        <v>531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409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413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407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397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428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398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428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408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428</v>
      </c>
      <c r="G54" s="75"/>
      <c r="H54" s="75"/>
      <c r="I54" s="75"/>
      <c r="K54" s="74"/>
    </row>
    <row r="55" spans="2:24" x14ac:dyDescent="0.2">
      <c r="B55" s="147"/>
      <c r="C55" s="93" t="s">
        <v>356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354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409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407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413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408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398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397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428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428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428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429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429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429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429</v>
      </c>
      <c r="G78" s="75"/>
      <c r="H78" s="75"/>
      <c r="I78" s="75"/>
      <c r="K78" s="74"/>
    </row>
    <row r="79" spans="1:26" s="80" customFormat="1" hidden="1" x14ac:dyDescent="0.2">
      <c r="A79" s="91"/>
      <c r="B79" s="149">
        <f>IF(F79="",$J$24,"Ret")</f>
        <v>23</v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354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409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407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408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413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397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398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428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428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>
        <f>IF(F107="",$J$24,"Ret")</f>
        <v>23</v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5" t="str">
        <f>VLOOKUP($A111,'Calendário atual'!$A$2:$E$30,4,FALSE)</f>
        <v>SUSPENSA - FORMULA 1 GULF AIR BAHRAIN GRAND PRIX 2026 - SUSPENSA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>
        <f>IF(F135="",$J$24,"Ret")</f>
        <v>23</v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>
        <f>IF(F163="",$J$24,"Ret")</f>
        <v>23</v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355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354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407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413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409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397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398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429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408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429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432</v>
      </c>
      <c r="G191" s="75"/>
      <c r="H191" s="75"/>
      <c r="I191" s="75"/>
      <c r="K191" s="74"/>
    </row>
    <row r="192" spans="1:26" x14ac:dyDescent="0.2">
      <c r="B192" s="147"/>
      <c r="C192" s="93" t="s">
        <v>356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354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413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408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397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398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428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409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428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428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407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428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>
        <f>IF(F216="",$J$24,"Ret")</f>
        <v>23</v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355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354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408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413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409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397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398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407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428</v>
      </c>
      <c r="G244" s="75"/>
      <c r="H244" s="75"/>
      <c r="I244" s="75"/>
      <c r="K244" s="74"/>
    </row>
    <row r="245" spans="1:26" x14ac:dyDescent="0.2">
      <c r="B245" s="147"/>
      <c r="C245" s="93" t="s">
        <v>356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407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413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409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398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397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428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428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354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428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428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428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408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429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>
        <f>IF(F269="",$J$24,"Ret")</f>
        <v>23</v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354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307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Alpine</v>
      </c>
      <c r="F277" s="137">
        <v>15</v>
      </c>
    </row>
    <row r="278" spans="1:26" x14ac:dyDescent="0.2">
      <c r="B278" s="138">
        <f>$J$5</f>
        <v>4</v>
      </c>
      <c r="C278" s="86" t="s">
        <v>407</v>
      </c>
      <c r="D278" s="87" t="str">
        <f>IF(C278&lt;&gt;"",VLOOKUP(C278,'Dummy Table'!$B$3:$C$30,2,FALSE),"")</f>
        <v>França</v>
      </c>
      <c r="E278" s="87" t="str">
        <f>IF(C278&lt;&gt;"",VLOOKUP(C278,'Dummy Table'!$B$3:$D$30,3,FALSE),"")</f>
        <v>Red Bull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324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McLaren</v>
      </c>
      <c r="F279" s="137">
        <v>10</v>
      </c>
    </row>
    <row r="280" spans="1:26" x14ac:dyDescent="0.2">
      <c r="B280" s="138">
        <f>$J$7</f>
        <v>6</v>
      </c>
      <c r="C280" s="86" t="s">
        <v>409</v>
      </c>
      <c r="D280" s="87" t="str">
        <f>IF(C280&lt;&gt;"",VLOOKUP(C280,'Dummy Table'!$B$3:$C$30,2,FALSE),"")</f>
        <v>Austrália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408</v>
      </c>
      <c r="D281" s="87" t="str">
        <f>IF(C281&lt;&gt;"",VLOOKUP(C281,'Dummy Table'!$B$3:$C$30,2,FALSE),"")</f>
        <v>Inglaterra</v>
      </c>
      <c r="E281" s="87" t="str">
        <f>IF(C281&lt;&gt;"",VLOOKUP(C281,'Dummy Table'!$B$3:$D$30,3,FALSE),"")</f>
        <v>Racing Bulls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354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413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397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428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428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428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428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428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398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428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428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>
        <f>IF(F297="",$J$24,"Ret")</f>
        <v>23</v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354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407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409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408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413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397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428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428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428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428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428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428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398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428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428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>
        <f>IF(F325="",$J$24,"Ret")</f>
        <v>23</v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354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354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407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409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408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413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428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428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397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428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398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428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>
        <f>IF(F353="",$J$24,"Ret")</f>
        <v>23</v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354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355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325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311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354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308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300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324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409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407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408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307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413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330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326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314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329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310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398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306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397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356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308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354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311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407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409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408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330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413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307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324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326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314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397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325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398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329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306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300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428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310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428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428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>
        <f>IF(F406="",$J$24,"Ret")</f>
        <v>23</v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325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325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325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308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300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324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407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311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330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408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413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307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409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326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310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329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314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398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306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428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397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428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354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428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>
        <f>IF(F434="",$J$24,"Ret")</f>
        <v>23</v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325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311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 t="s">
        <v>311</v>
      </c>
      <c r="D440" s="87" t="str">
        <f>IF(C440&lt;&gt;"",VLOOKUP(C440,'Dummy Table'!$B$3:$C$30,2,FALSE),"")</f>
        <v>Inglaterra</v>
      </c>
      <c r="E440" s="87" t="str">
        <f>IF(C440&lt;&gt;"",VLOOKUP(C440,'Dummy Table'!$B$3:$D$30,3,FALSE),"")</f>
        <v>McLaren</v>
      </c>
      <c r="F440" s="137">
        <v>25</v>
      </c>
      <c r="G440" s="69">
        <f>IF(C440="",F440,0)</f>
        <v>0</v>
      </c>
      <c r="H440" s="69">
        <f>IF(C440="",F440,0)</f>
        <v>0</v>
      </c>
      <c r="I440" s="69">
        <f>IF(C440="",1,0)</f>
        <v>0</v>
      </c>
      <c r="K440" s="74"/>
    </row>
    <row r="441" spans="1:26" x14ac:dyDescent="0.2">
      <c r="B441" s="138">
        <f>$J$3</f>
        <v>2</v>
      </c>
      <c r="C441" s="86" t="s">
        <v>300</v>
      </c>
      <c r="D441" s="87" t="str">
        <f>IF(C441&lt;&gt;"",VLOOKUP(C441,'Dummy Table'!$B$3:$C$30,2,FALSE),"")</f>
        <v>Holanda</v>
      </c>
      <c r="E441" s="87" t="str">
        <f>IF(C441&lt;&gt;"",VLOOKUP(C441,'Dummy Table'!$B$3:$D$30,3,FALSE),"")</f>
        <v>Red Bull</v>
      </c>
      <c r="F441" s="137">
        <v>18</v>
      </c>
      <c r="H441" s="69">
        <f>IF(C441="",F441,0)</f>
        <v>0</v>
      </c>
      <c r="K441" s="74"/>
    </row>
    <row r="442" spans="1:26" x14ac:dyDescent="0.2">
      <c r="B442" s="138">
        <f>$J$4</f>
        <v>3</v>
      </c>
      <c r="C442" s="86" t="s">
        <v>325</v>
      </c>
      <c r="D442" s="87" t="str">
        <f>IF(C442&lt;&gt;"",VLOOKUP(C442,'Dummy Table'!$B$3:$C$30,2,FALSE),"")</f>
        <v>Itália</v>
      </c>
      <c r="E442" s="87" t="str">
        <f>IF(C442&lt;&gt;"",VLOOKUP(C442,'Dummy Table'!$B$3:$D$30,3,FALSE),"")</f>
        <v>Mercedes</v>
      </c>
      <c r="F442" s="137">
        <v>15</v>
      </c>
    </row>
    <row r="443" spans="1:26" x14ac:dyDescent="0.2">
      <c r="B443" s="138">
        <f>$J$5</f>
        <v>4</v>
      </c>
      <c r="C443" s="86" t="s">
        <v>308</v>
      </c>
      <c r="D443" s="87" t="str">
        <f>IF(C443&lt;&gt;"",VLOOKUP(C443,'Dummy Table'!$B$3:$C$30,2,FALSE),"")</f>
        <v>Mônaco</v>
      </c>
      <c r="E443" s="87" t="str">
        <f>IF(C443&lt;&gt;"",VLOOKUP(C443,'Dummy Table'!$B$3:$D$30,3,FALSE),"")</f>
        <v>Ferrari</v>
      </c>
      <c r="F443" s="137">
        <v>12</v>
      </c>
      <c r="K443" s="79"/>
    </row>
    <row r="444" spans="1:26" x14ac:dyDescent="0.2">
      <c r="B444" s="138">
        <f>$J$6</f>
        <v>5</v>
      </c>
      <c r="C444" s="86" t="s">
        <v>1</v>
      </c>
      <c r="D444" s="87" t="str">
        <f>IF(C444&lt;&gt;"",VLOOKUP(C444,'Dummy Table'!$B$3:$C$30,2,FALSE),"")</f>
        <v>Inglaterra</v>
      </c>
      <c r="E444" s="87" t="str">
        <f>IF(C444&lt;&gt;"",VLOOKUP(C444,'Dummy Table'!$B$3:$D$30,3,FALSE),"")</f>
        <v>Ferrari</v>
      </c>
      <c r="F444" s="137">
        <v>10</v>
      </c>
    </row>
    <row r="445" spans="1:26" x14ac:dyDescent="0.2">
      <c r="B445" s="138">
        <f>$J$7</f>
        <v>6</v>
      </c>
      <c r="C445" s="86" t="s">
        <v>407</v>
      </c>
      <c r="D445" s="87" t="str">
        <f>IF(C445&lt;&gt;"",VLOOKUP(C445,'Dummy Table'!$B$3:$C$30,2,FALSE),"")</f>
        <v>França</v>
      </c>
      <c r="E445" s="87" t="str">
        <f>IF(C445&lt;&gt;"",VLOOKUP(C445,'Dummy Table'!$B$3:$D$30,3,FALSE),"")</f>
        <v>Red Bull</v>
      </c>
      <c r="F445" s="137">
        <v>8</v>
      </c>
      <c r="K445" s="74"/>
    </row>
    <row r="446" spans="1:26" x14ac:dyDescent="0.2">
      <c r="B446" s="138">
        <f>$J$8</f>
        <v>7</v>
      </c>
      <c r="C446" s="86" t="s">
        <v>354</v>
      </c>
      <c r="D446" s="87" t="str">
        <f>IF(C446&lt;&gt;"",VLOOKUP(C446,'Dummy Table'!$B$3:$C$30,2,FALSE),"")</f>
        <v>Inglaterra</v>
      </c>
      <c r="E446" s="87" t="str">
        <f>IF(C446&lt;&gt;"",VLOOKUP(C446,'Dummy Table'!$B$3:$D$30,3,FALSE),"")</f>
        <v>Mercedes</v>
      </c>
      <c r="F446" s="137">
        <v>6</v>
      </c>
      <c r="K446" s="74"/>
    </row>
    <row r="447" spans="1:26" x14ac:dyDescent="0.2">
      <c r="B447" s="138">
        <f>$J$9</f>
        <v>8</v>
      </c>
      <c r="C447" s="86" t="s">
        <v>409</v>
      </c>
      <c r="D447" s="87" t="str">
        <f>IF(C447&lt;&gt;"",VLOOKUP(C447,'Dummy Table'!$B$3:$C$30,2,FALSE),"")</f>
        <v>Austrália</v>
      </c>
      <c r="E447" s="87" t="str">
        <f>IF(C447&lt;&gt;"",VLOOKUP(C447,'Dummy Table'!$B$3:$D$30,3,FALSE),"")</f>
        <v>Racing Bulls</v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 t="s">
        <v>252</v>
      </c>
      <c r="D448" s="87" t="str">
        <f>IF(C448&lt;&gt;"",VLOOKUP(C448,'Dummy Table'!$B$3:$C$30,2,FALSE),"")</f>
        <v>Alemanha</v>
      </c>
      <c r="E448" s="87" t="str">
        <f>IF(C448&lt;&gt;"",VLOOKUP(C448,'Dummy Table'!$B$3:$D$30,3,FALSE),"")</f>
        <v>Audi</v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 t="s">
        <v>408</v>
      </c>
      <c r="D449" s="87" t="str">
        <f>IF(C449&lt;&gt;"",VLOOKUP(C449,'Dummy Table'!$B$3:$C$30,2,FALSE),"")</f>
        <v>Inglaterra</v>
      </c>
      <c r="E449" s="87" t="str">
        <f>IF(C449&lt;&gt;"",VLOOKUP(C449,'Dummy Table'!$B$3:$D$30,3,FALSE),"")</f>
        <v>Racing Bulls</v>
      </c>
      <c r="F449" s="137">
        <v>1</v>
      </c>
      <c r="K449" s="74"/>
    </row>
    <row r="450" spans="1:26" x14ac:dyDescent="0.2">
      <c r="B450" s="138">
        <f>$J$12</f>
        <v>11</v>
      </c>
      <c r="C450" s="86" t="s">
        <v>330</v>
      </c>
      <c r="D450" s="87" t="str">
        <f>IF(C450&lt;&gt;"",VLOOKUP(C450,'Dummy Table'!$B$3:$C$30,2,FALSE),"")</f>
        <v>Brasil</v>
      </c>
      <c r="E450" s="87" t="str">
        <f>IF(C450&lt;&gt;"",VLOOKUP(C450,'Dummy Table'!$B$3:$D$30,3,FALSE),"")</f>
        <v>Audi</v>
      </c>
      <c r="F450" s="139"/>
      <c r="K450" s="74"/>
    </row>
    <row r="451" spans="1:26" x14ac:dyDescent="0.2">
      <c r="B451" s="138">
        <f>$J$13</f>
        <v>12</v>
      </c>
      <c r="C451" s="86" t="s">
        <v>307</v>
      </c>
      <c r="D451" s="87" t="str">
        <f>IF(C451&lt;&gt;"",VLOOKUP(C451,'Dummy Table'!$B$3:$C$30,2,FALSE),"")</f>
        <v>França</v>
      </c>
      <c r="E451" s="87" t="str">
        <f>IF(C451&lt;&gt;"",VLOOKUP(C451,'Dummy Table'!$B$3:$D$30,3,FALSE),"")</f>
        <v>Alpine</v>
      </c>
      <c r="F451" s="139"/>
      <c r="K451" s="74"/>
    </row>
    <row r="452" spans="1:26" x14ac:dyDescent="0.2">
      <c r="B452" s="138">
        <f>$J$14</f>
        <v>13</v>
      </c>
      <c r="C452" s="86" t="s">
        <v>306</v>
      </c>
      <c r="D452" s="87" t="str">
        <f>IF(C452&lt;&gt;"",VLOOKUP(C452,'Dummy Table'!$B$3:$C$30,2,FALSE),"")</f>
        <v>Canadá</v>
      </c>
      <c r="E452" s="87" t="str">
        <f>IF(C452&lt;&gt;"",VLOOKUP(C452,'Dummy Table'!$B$3:$D$30,3,FALSE),"")</f>
        <v>Aston Martin</v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 t="s">
        <v>30</v>
      </c>
      <c r="D453" s="87" t="str">
        <f>IF(C453&lt;&gt;"",VLOOKUP(C453,'Dummy Table'!$B$3:$C$30,2,FALSE),"")</f>
        <v>Espanha</v>
      </c>
      <c r="E453" s="87" t="str">
        <f>IF(C453&lt;&gt;"",VLOOKUP(C453,'Dummy Table'!$B$3:$D$30,3,FALSE),"")</f>
        <v>Aston Martin</v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 t="s">
        <v>413</v>
      </c>
      <c r="D454" s="87" t="str">
        <f>IF(C454&lt;&gt;"",VLOOKUP(C454,'Dummy Table'!$B$3:$C$30,2,FALSE),"")</f>
        <v>Argentina</v>
      </c>
      <c r="E454" s="87" t="str">
        <f>IF(C454&lt;&gt;"",VLOOKUP(C454,'Dummy Table'!$B$3:$D$30,3,FALSE),"")</f>
        <v>Alpine</v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 t="s">
        <v>314</v>
      </c>
      <c r="D455" s="87" t="str">
        <f>IF(C455&lt;&gt;"",VLOOKUP(C455,'Dummy Table'!$B$3:$C$30,2,FALSE),"")</f>
        <v>França</v>
      </c>
      <c r="E455" s="87" t="str">
        <f>IF(C455&lt;&gt;"",VLOOKUP(C455,'Dummy Table'!$B$3:$D$30,3,FALSE),"")</f>
        <v>Haas</v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 t="s">
        <v>310</v>
      </c>
      <c r="D456" s="87" t="str">
        <f>IF(C456&lt;&gt;"",VLOOKUP(C456,'Dummy Table'!$B$3:$C$30,2,FALSE),"")</f>
        <v>Tailandia</v>
      </c>
      <c r="E456" s="87" t="str">
        <f>IF(C456&lt;&gt;"",VLOOKUP(C456,'Dummy Table'!$B$3:$D$30,3,FALSE),"")</f>
        <v>Williams</v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 t="s">
        <v>329</v>
      </c>
      <c r="D457" s="87" t="str">
        <f>IF(C457&lt;&gt;"",VLOOKUP(C457,'Dummy Table'!$B$3:$C$30,2,FALSE),"")</f>
        <v>Espanha</v>
      </c>
      <c r="E457" s="87" t="str">
        <f>IF(C457&lt;&gt;"",VLOOKUP(C457,'Dummy Table'!$B$3:$D$30,3,FALSE),"")</f>
        <v>Williams</v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 t="s">
        <v>326</v>
      </c>
      <c r="D458" s="87" t="str">
        <f>IF(C458&lt;&gt;"",VLOOKUP(C458,'Dummy Table'!$B$3:$C$30,2,FALSE),"")</f>
        <v>Inglaterra</v>
      </c>
      <c r="E458" s="87" t="str">
        <f>IF(C458&lt;&gt;"",VLOOKUP(C458,'Dummy Table'!$B$3:$D$30,3,FALSE),"")</f>
        <v>Haas</v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 t="s">
        <v>324</v>
      </c>
      <c r="D459" s="87" t="str">
        <f>IF(C459&lt;&gt;"",VLOOKUP(C459,'Dummy Table'!$B$3:$C$30,2,FALSE),"")</f>
        <v>Austrália</v>
      </c>
      <c r="E459" s="87" t="str">
        <f>IF(C459&lt;&gt;"",VLOOKUP(C459,'Dummy Table'!$B$3:$D$30,3,FALSE),"")</f>
        <v>McLaren</v>
      </c>
      <c r="F459" s="139" t="s">
        <v>428</v>
      </c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 t="s">
        <v>397</v>
      </c>
      <c r="D460" s="87" t="str">
        <f>IF(C460&lt;&gt;"",VLOOKUP(C460,'Dummy Table'!$B$3:$C$30,2,FALSE),"")</f>
        <v>México</v>
      </c>
      <c r="E460" s="87" t="str">
        <f>IF(C460&lt;&gt;"",VLOOKUP(C460,'Dummy Table'!$B$3:$D$30,3,FALSE),"")</f>
        <v>Cadillac</v>
      </c>
      <c r="F460" s="139" t="s">
        <v>428</v>
      </c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 t="s">
        <v>398</v>
      </c>
      <c r="D461" s="87" t="str">
        <f>IF(C461&lt;&gt;"",VLOOKUP(C461,'Dummy Table'!$B$3:$C$30,2,FALSE),"")</f>
        <v>Finlândia</v>
      </c>
      <c r="E461" s="87" t="str">
        <f>IF(C461&lt;&gt;"",VLOOKUP(C461,'Dummy Table'!$B$3:$D$30,3,FALSE),"")</f>
        <v>Cadillac</v>
      </c>
      <c r="F461" s="139" t="s">
        <v>428</v>
      </c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>
        <f>IF(F462="",$J$24,"Ret")</f>
        <v>23</v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 t="s">
        <v>311</v>
      </c>
      <c r="D464" s="89" t="str">
        <f>IF(C464&lt;&gt;"",VLOOKUP(C464,'Dummy Table'!$B$3:$C$30,2,FALSE),"")</f>
        <v>Inglaterra</v>
      </c>
      <c r="E464" s="89" t="str">
        <f>IF(C464&lt;&gt;"",VLOOKUP(C464,'Dummy Table'!$B$3:$D$30,3,FALSE),"")</f>
        <v>McLaren</v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 t="s">
        <v>308</v>
      </c>
      <c r="D465" s="145" t="str">
        <f>IF(C465&lt;&gt;"",VLOOKUP(C465,'Dummy Table'!$B$3:$C$30,2,FALSE),"")</f>
        <v>Mônaco</v>
      </c>
      <c r="E465" s="145" t="str">
        <f>IF(C465&lt;&gt;"",VLOOKUP(C465,'Dummy Table'!$B$3:$D$30,3,FALSE),"")</f>
        <v>Ferrari</v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355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 t="s">
        <v>354</v>
      </c>
      <c r="D469" s="87" t="str">
        <f>IF(C469&lt;&gt;"",VLOOKUP(C469,'Dummy Table'!$B$3:$C$30,2,FALSE),"")</f>
        <v>Inglaterra</v>
      </c>
      <c r="E469" s="87" t="str">
        <f>IF(C469&lt;&gt;"",VLOOKUP(C469,'Dummy Table'!$B$3:$D$30,3,FALSE),"")</f>
        <v>Mercedes</v>
      </c>
      <c r="F469" s="137">
        <v>8</v>
      </c>
      <c r="G469" s="69">
        <f>IF(C469="",F469,0)</f>
        <v>0</v>
      </c>
      <c r="H469" s="69">
        <f>IF(C469="",F469,0)</f>
        <v>0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 t="s">
        <v>308</v>
      </c>
      <c r="D470" s="87" t="str">
        <f>IF(C470&lt;&gt;"",VLOOKUP(C470,'Dummy Table'!$B$3:$C$30,2,FALSE),"")</f>
        <v>Mônaco</v>
      </c>
      <c r="E470" s="87" t="str">
        <f>IF(C470&lt;&gt;"",VLOOKUP(C470,'Dummy Table'!$B$3:$D$30,3,FALSE),"")</f>
        <v>Ferrari</v>
      </c>
      <c r="F470" s="137">
        <v>7</v>
      </c>
      <c r="H470" s="69">
        <f>IF(C470="",F470,0)</f>
        <v>0</v>
      </c>
      <c r="K470" s="74"/>
    </row>
    <row r="471" spans="1:26" x14ac:dyDescent="0.2">
      <c r="B471" s="138">
        <f>$J$4</f>
        <v>3</v>
      </c>
      <c r="C471" s="86" t="s">
        <v>311</v>
      </c>
      <c r="D471" s="87" t="str">
        <f>IF(C471&lt;&gt;"",VLOOKUP(C471,'Dummy Table'!$B$3:$C$30,2,FALSE),"")</f>
        <v>Inglaterra</v>
      </c>
      <c r="E471" s="87" t="str">
        <f>IF(C471&lt;&gt;"",VLOOKUP(C471,'Dummy Table'!$B$3:$D$30,3,FALSE),"")</f>
        <v>McLaren</v>
      </c>
      <c r="F471" s="137">
        <v>6</v>
      </c>
    </row>
    <row r="472" spans="1:26" x14ac:dyDescent="0.2">
      <c r="B472" s="138">
        <f>$J$5</f>
        <v>4</v>
      </c>
      <c r="C472" s="86" t="s">
        <v>325</v>
      </c>
      <c r="D472" s="87" t="str">
        <f>IF(C472&lt;&gt;"",VLOOKUP(C472,'Dummy Table'!$B$3:$C$30,2,FALSE),"")</f>
        <v>Itália</v>
      </c>
      <c r="E472" s="87" t="str">
        <f>IF(C472&lt;&gt;"",VLOOKUP(C472,'Dummy Table'!$B$3:$D$30,3,FALSE),"")</f>
        <v>Mercedes</v>
      </c>
      <c r="F472" s="137">
        <v>5</v>
      </c>
      <c r="K472" s="79"/>
    </row>
    <row r="473" spans="1:26" x14ac:dyDescent="0.2">
      <c r="B473" s="138">
        <f>$J$6</f>
        <v>5</v>
      </c>
      <c r="C473" s="86" t="s">
        <v>324</v>
      </c>
      <c r="D473" s="87" t="str">
        <f>IF(C473&lt;&gt;"",VLOOKUP(C473,'Dummy Table'!$B$3:$C$30,2,FALSE),"")</f>
        <v>Austrália</v>
      </c>
      <c r="E473" s="87" t="str">
        <f>IF(C473&lt;&gt;"",VLOOKUP(C473,'Dummy Table'!$B$3:$D$30,3,FALSE),"")</f>
        <v>McLaren</v>
      </c>
      <c r="F473" s="137">
        <v>4</v>
      </c>
    </row>
    <row r="474" spans="1:26" x14ac:dyDescent="0.2">
      <c r="B474" s="138">
        <f>$J$7</f>
        <v>6</v>
      </c>
      <c r="C474" s="86" t="s">
        <v>300</v>
      </c>
      <c r="D474" s="87" t="str">
        <f>IF(C474&lt;&gt;"",VLOOKUP(C474,'Dummy Table'!$B$3:$C$30,2,FALSE),"")</f>
        <v>Holanda</v>
      </c>
      <c r="E474" s="87" t="str">
        <f>IF(C474&lt;&gt;"",VLOOKUP(C474,'Dummy Table'!$B$3:$D$30,3,FALSE),"")</f>
        <v>Red Bull</v>
      </c>
      <c r="F474" s="137">
        <v>3</v>
      </c>
      <c r="K474" s="74"/>
    </row>
    <row r="475" spans="1:26" x14ac:dyDescent="0.2">
      <c r="B475" s="138">
        <f>$J$8</f>
        <v>7</v>
      </c>
      <c r="C475" s="86" t="s">
        <v>1</v>
      </c>
      <c r="D475" s="87" t="str">
        <f>IF(C475&lt;&gt;"",VLOOKUP(C475,'Dummy Table'!$B$3:$C$30,2,FALSE),"")</f>
        <v>Inglaterra</v>
      </c>
      <c r="E475" s="87" t="str">
        <f>IF(C475&lt;&gt;"",VLOOKUP(C475,'Dummy Table'!$B$3:$D$30,3,FALSE),"")</f>
        <v>Ferrari</v>
      </c>
      <c r="F475" s="137">
        <v>2</v>
      </c>
      <c r="K475" s="74"/>
    </row>
    <row r="476" spans="1:26" x14ac:dyDescent="0.2">
      <c r="B476" s="138">
        <f>$J$9</f>
        <v>8</v>
      </c>
      <c r="C476" s="86" t="s">
        <v>307</v>
      </c>
      <c r="D476" s="87" t="str">
        <f>IF(C476&lt;&gt;"",VLOOKUP(C476,'Dummy Table'!$B$3:$C$30,2,FALSE),"")</f>
        <v>França</v>
      </c>
      <c r="E476" s="87" t="str">
        <f>IF(C476&lt;&gt;"",VLOOKUP(C476,'Dummy Table'!$B$3:$D$30,3,FALSE),"")</f>
        <v>Alpine</v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 t="s">
        <v>330</v>
      </c>
      <c r="D477" s="87" t="str">
        <f>IF(C477&lt;&gt;"",VLOOKUP(C477,'Dummy Table'!$B$3:$C$30,2,FALSE),"")</f>
        <v>Brasil</v>
      </c>
      <c r="E477" s="87" t="str">
        <f>IF(C477&lt;&gt;"",VLOOKUP(C477,'Dummy Table'!$B$3:$D$30,3,FALSE),"")</f>
        <v>Audi</v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 t="s">
        <v>408</v>
      </c>
      <c r="D478" s="87" t="str">
        <f>IF(C478&lt;&gt;"",VLOOKUP(C478,'Dummy Table'!$B$3:$C$30,2,FALSE),"")</f>
        <v>Inglaterra</v>
      </c>
      <c r="E478" s="87" t="str">
        <f>IF(C478&lt;&gt;"",VLOOKUP(C478,'Dummy Table'!$B$3:$D$30,3,FALSE),"")</f>
        <v>Racing Bulls</v>
      </c>
      <c r="F478" s="137"/>
      <c r="K478" s="74"/>
    </row>
    <row r="479" spans="1:26" x14ac:dyDescent="0.2">
      <c r="B479" s="138">
        <f>$J$12</f>
        <v>11</v>
      </c>
      <c r="C479" s="86" t="s">
        <v>409</v>
      </c>
      <c r="D479" s="87" t="str">
        <f>IF(C479&lt;&gt;"",VLOOKUP(C479,'Dummy Table'!$B$3:$C$30,2,FALSE),"")</f>
        <v>Austrália</v>
      </c>
      <c r="E479" s="87" t="str">
        <f>IF(C479&lt;&gt;"",VLOOKUP(C479,'Dummy Table'!$B$3:$D$30,3,FALSE),"")</f>
        <v>Racing Bulls</v>
      </c>
      <c r="F479" s="139"/>
      <c r="K479" s="74"/>
    </row>
    <row r="480" spans="1:26" x14ac:dyDescent="0.2">
      <c r="B480" s="138">
        <f>$J$13</f>
        <v>12</v>
      </c>
      <c r="C480" s="86" t="s">
        <v>413</v>
      </c>
      <c r="D480" s="87" t="str">
        <f>IF(C480&lt;&gt;"",VLOOKUP(C480,'Dummy Table'!$B$3:$C$30,2,FALSE),"")</f>
        <v>Argentina</v>
      </c>
      <c r="E480" s="87" t="str">
        <f>IF(C480&lt;&gt;"",VLOOKUP(C480,'Dummy Table'!$B$3:$D$30,3,FALSE),"")</f>
        <v>Alpine</v>
      </c>
      <c r="F480" s="139"/>
      <c r="K480" s="74"/>
    </row>
    <row r="481" spans="2:24" x14ac:dyDescent="0.2">
      <c r="B481" s="138">
        <f>$J$14</f>
        <v>13</v>
      </c>
      <c r="C481" s="86" t="s">
        <v>437</v>
      </c>
      <c r="D481" s="87" t="str">
        <f>IF(C481&lt;&gt;"",VLOOKUP(C481,'Dummy Table'!$B$3:$C$30,2,FALSE),"")</f>
        <v>Japão</v>
      </c>
      <c r="E481" s="87" t="str">
        <f>IF(C481&lt;&gt;"",VLOOKUP(C481,'Dummy Table'!$B$3:$D$30,3,FALSE),"")</f>
        <v>Racing Bulls</v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 t="s">
        <v>314</v>
      </c>
      <c r="D482" s="87" t="str">
        <f>IF(C482&lt;&gt;"",VLOOKUP(C482,'Dummy Table'!$B$3:$C$30,2,FALSE),"")</f>
        <v>França</v>
      </c>
      <c r="E482" s="87" t="str">
        <f>IF(C482&lt;&gt;"",VLOOKUP(C482,'Dummy Table'!$B$3:$D$30,3,FALSE),"")</f>
        <v>Haas</v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 t="s">
        <v>326</v>
      </c>
      <c r="D483" s="87" t="str">
        <f>IF(C483&lt;&gt;"",VLOOKUP(C483,'Dummy Table'!$B$3:$C$30,2,FALSE),"")</f>
        <v>Inglaterra</v>
      </c>
      <c r="E483" s="87" t="str">
        <f>IF(C483&lt;&gt;"",VLOOKUP(C483,'Dummy Table'!$B$3:$D$30,3,FALSE),"")</f>
        <v>Haas</v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 t="s">
        <v>310</v>
      </c>
      <c r="D484" s="87" t="str">
        <f>IF(C484&lt;&gt;"",VLOOKUP(C484,'Dummy Table'!$B$3:$C$30,2,FALSE),"")</f>
        <v>Tailandia</v>
      </c>
      <c r="E484" s="87" t="str">
        <f>IF(C484&lt;&gt;"",VLOOKUP(C484,'Dummy Table'!$B$3:$D$30,3,FALSE),"")</f>
        <v>Williams</v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 t="s">
        <v>306</v>
      </c>
      <c r="D485" s="87" t="str">
        <f>IF(C485&lt;&gt;"",VLOOKUP(C485,'Dummy Table'!$B$3:$C$30,2,FALSE),"")</f>
        <v>Canadá</v>
      </c>
      <c r="E485" s="87" t="str">
        <f>IF(C485&lt;&gt;"",VLOOKUP(C485,'Dummy Table'!$B$3:$D$30,3,FALSE),"")</f>
        <v>Aston Martin</v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 t="s">
        <v>30</v>
      </c>
      <c r="D486" s="87" t="str">
        <f>IF(C486&lt;&gt;"",VLOOKUP(C486,'Dummy Table'!$B$3:$C$30,2,FALSE),"")</f>
        <v>Espanha</v>
      </c>
      <c r="E486" s="87" t="str">
        <f>IF(C486&lt;&gt;"",VLOOKUP(C486,'Dummy Table'!$B$3:$D$30,3,FALSE),"")</f>
        <v>Aston Martin</v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 t="s">
        <v>398</v>
      </c>
      <c r="D487" s="87" t="str">
        <f>IF(C487&lt;&gt;"",VLOOKUP(C487,'Dummy Table'!$B$3:$C$30,2,FALSE),"")</f>
        <v>Finlândia</v>
      </c>
      <c r="E487" s="87" t="str">
        <f>IF(C487&lt;&gt;"",VLOOKUP(C487,'Dummy Table'!$B$3:$D$30,3,FALSE),"")</f>
        <v>Cadillac</v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 t="s">
        <v>329</v>
      </c>
      <c r="D488" s="87" t="str">
        <f>IF(C488&lt;&gt;"",VLOOKUP(C488,'Dummy Table'!$B$3:$C$30,2,FALSE),"")</f>
        <v>Espanha</v>
      </c>
      <c r="E488" s="87" t="str">
        <f>IF(C488&lt;&gt;"",VLOOKUP(C488,'Dummy Table'!$B$3:$D$30,3,FALSE),"")</f>
        <v>Williams</v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 t="s">
        <v>397</v>
      </c>
      <c r="D489" s="87" t="str">
        <f>IF(C489&lt;&gt;"",VLOOKUP(C489,'Dummy Table'!$B$3:$C$30,2,FALSE),"")</f>
        <v>México</v>
      </c>
      <c r="E489" s="87" t="str">
        <f>IF(C489&lt;&gt;"",VLOOKUP(C489,'Dummy Table'!$B$3:$D$30,3,FALSE),"")</f>
        <v>Cadillac</v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 t="s">
        <v>252</v>
      </c>
      <c r="D490" s="87" t="str">
        <f>IF(C490&lt;&gt;"",VLOOKUP(C490,'Dummy Table'!$B$3:$C$30,2,FALSE),"")</f>
        <v>Alemanha</v>
      </c>
      <c r="E490" s="87" t="str">
        <f>IF(C490&lt;&gt;"",VLOOKUP(C490,'Dummy Table'!$B$3:$D$30,3,FALSE),"")</f>
        <v>Audi</v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356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 t="s">
        <v>311</v>
      </c>
      <c r="D493" s="87" t="str">
        <f>IF(C493&lt;&gt;"",VLOOKUP(C493,'Dummy Table'!$B$3:$C$30,2,FALSE),"")</f>
        <v>Inglaterra</v>
      </c>
      <c r="E493" s="87" t="str">
        <f>IF(C493&lt;&gt;"",VLOOKUP(C493,'Dummy Table'!$B$3:$D$30,3,FALSE),"")</f>
        <v>McLaren</v>
      </c>
      <c r="F493" s="137">
        <v>25</v>
      </c>
      <c r="G493" s="69">
        <f>IF(C493="",F493,0)</f>
        <v>0</v>
      </c>
      <c r="H493" s="69">
        <f>IF(C493="",F493,0)</f>
        <v>0</v>
      </c>
      <c r="I493" s="69">
        <f>IF(C493="",1,0)</f>
        <v>0</v>
      </c>
      <c r="K493" s="74"/>
    </row>
    <row r="494" spans="2:24" x14ac:dyDescent="0.2">
      <c r="B494" s="138">
        <f>$J$3</f>
        <v>2</v>
      </c>
      <c r="C494" s="86" t="s">
        <v>325</v>
      </c>
      <c r="D494" s="87" t="str">
        <f>IF(C494&lt;&gt;"",VLOOKUP(C494,'Dummy Table'!$B$3:$C$30,2,FALSE),"")</f>
        <v>Itália</v>
      </c>
      <c r="E494" s="87" t="str">
        <f>IF(C494&lt;&gt;"",VLOOKUP(C494,'Dummy Table'!$B$3:$D$30,3,FALSE),"")</f>
        <v>Mercedes</v>
      </c>
      <c r="F494" s="137">
        <v>18</v>
      </c>
      <c r="H494" s="69">
        <f>IF(C494="",F494,0)</f>
        <v>0</v>
      </c>
      <c r="K494" s="74"/>
    </row>
    <row r="495" spans="2:24" x14ac:dyDescent="0.2">
      <c r="B495" s="138">
        <f>$J$4</f>
        <v>3</v>
      </c>
      <c r="C495" s="86" t="s">
        <v>354</v>
      </c>
      <c r="D495" s="87" t="str">
        <f>IF(C495&lt;&gt;"",VLOOKUP(C495,'Dummy Table'!$B$3:$C$30,2,FALSE),"")</f>
        <v>Inglaterra</v>
      </c>
      <c r="E495" s="87" t="str">
        <f>IF(C495&lt;&gt;"",VLOOKUP(C495,'Dummy Table'!$B$3:$D$30,3,FALSE),"")</f>
        <v>Mercedes</v>
      </c>
      <c r="F495" s="137">
        <v>15</v>
      </c>
    </row>
    <row r="496" spans="2:24" x14ac:dyDescent="0.2">
      <c r="B496" s="138">
        <f>$J$5</f>
        <v>4</v>
      </c>
      <c r="C496" s="86" t="s">
        <v>1</v>
      </c>
      <c r="D496" s="87" t="str">
        <f>IF(C496&lt;&gt;"",VLOOKUP(C496,'Dummy Table'!$B$3:$C$30,2,FALSE),"")</f>
        <v>Inglaterra</v>
      </c>
      <c r="E496" s="87" t="str">
        <f>IF(C496&lt;&gt;"",VLOOKUP(C496,'Dummy Table'!$B$3:$D$30,3,FALSE),"")</f>
        <v>Ferrari</v>
      </c>
      <c r="F496" s="137">
        <v>12</v>
      </c>
      <c r="K496" s="79"/>
    </row>
    <row r="497" spans="1:26" x14ac:dyDescent="0.2">
      <c r="B497" s="138">
        <f>$J$6</f>
        <v>5</v>
      </c>
      <c r="C497" s="86" t="s">
        <v>308</v>
      </c>
      <c r="D497" s="87" t="str">
        <f>IF(C497&lt;&gt;"",VLOOKUP(C497,'Dummy Table'!$B$3:$C$30,2,FALSE),"")</f>
        <v>Mônaco</v>
      </c>
      <c r="E497" s="87" t="str">
        <f>IF(C497&lt;&gt;"",VLOOKUP(C497,'Dummy Table'!$B$3:$D$30,3,FALSE),"")</f>
        <v>Ferrari</v>
      </c>
      <c r="F497" s="137">
        <v>10</v>
      </c>
    </row>
    <row r="498" spans="1:26" x14ac:dyDescent="0.2">
      <c r="B498" s="138">
        <f>$J$7</f>
        <v>6</v>
      </c>
      <c r="C498" s="86" t="s">
        <v>324</v>
      </c>
      <c r="D498" s="87" t="str">
        <f>IF(C498&lt;&gt;"",VLOOKUP(C498,'Dummy Table'!$B$3:$C$30,2,FALSE),"")</f>
        <v>Austrália</v>
      </c>
      <c r="E498" s="87" t="str">
        <f>IF(C498&lt;&gt;"",VLOOKUP(C498,'Dummy Table'!$B$3:$D$30,3,FALSE),"")</f>
        <v>McLaren</v>
      </c>
      <c r="F498" s="137">
        <v>8</v>
      </c>
      <c r="K498" s="74"/>
    </row>
    <row r="499" spans="1:26" x14ac:dyDescent="0.2">
      <c r="B499" s="138">
        <f>$J$8</f>
        <v>7</v>
      </c>
      <c r="C499" s="86" t="s">
        <v>409</v>
      </c>
      <c r="D499" s="87" t="str">
        <f>IF(C499&lt;&gt;"",VLOOKUP(C499,'Dummy Table'!$B$3:$C$30,2,FALSE),"")</f>
        <v>Austrália</v>
      </c>
      <c r="E499" s="87" t="str">
        <f>IF(C499&lt;&gt;"",VLOOKUP(C499,'Dummy Table'!$B$3:$D$30,3,FALSE),"")</f>
        <v>Racing Bulls</v>
      </c>
      <c r="F499" s="137">
        <v>6</v>
      </c>
      <c r="K499" s="74"/>
    </row>
    <row r="500" spans="1:26" x14ac:dyDescent="0.2">
      <c r="B500" s="138">
        <f>$J$9</f>
        <v>8</v>
      </c>
      <c r="C500" s="86" t="s">
        <v>252</v>
      </c>
      <c r="D500" s="87" t="str">
        <f>IF(C500&lt;&gt;"",VLOOKUP(C500,'Dummy Table'!$B$3:$C$30,2,FALSE),"")</f>
        <v>Alemanha</v>
      </c>
      <c r="E500" s="87" t="str">
        <f>IF(C500&lt;&gt;"",VLOOKUP(C500,'Dummy Table'!$B$3:$D$30,3,FALSE),"")</f>
        <v>Audi</v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 t="s">
        <v>30</v>
      </c>
      <c r="D501" s="87" t="str">
        <f>IF(C501&lt;&gt;"",VLOOKUP(C501,'Dummy Table'!$B$3:$C$30,2,FALSE),"")</f>
        <v>Espanha</v>
      </c>
      <c r="E501" s="87" t="str">
        <f>IF(C501&lt;&gt;"",VLOOKUP(C501,'Dummy Table'!$B$3:$D$30,3,FALSE),"")</f>
        <v>Aston Martin</v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 t="s">
        <v>307</v>
      </c>
      <c r="D502" s="87" t="str">
        <f>IF(C502&lt;&gt;"",VLOOKUP(C502,'Dummy Table'!$B$3:$C$30,2,FALSE),"")</f>
        <v>França</v>
      </c>
      <c r="E502" s="87" t="str">
        <f>IF(C502&lt;&gt;"",VLOOKUP(C502,'Dummy Table'!$B$3:$D$30,3,FALSE),"")</f>
        <v>Alpine</v>
      </c>
      <c r="F502" s="137">
        <v>1</v>
      </c>
      <c r="K502" s="74"/>
    </row>
    <row r="503" spans="1:26" x14ac:dyDescent="0.2">
      <c r="B503" s="138">
        <f>$J$12</f>
        <v>11</v>
      </c>
      <c r="C503" s="86" t="s">
        <v>437</v>
      </c>
      <c r="D503" s="87" t="str">
        <f>IF(C503&lt;&gt;"",VLOOKUP(C503,'Dummy Table'!$B$3:$C$30,2,FALSE),"")</f>
        <v>Japão</v>
      </c>
      <c r="E503" s="87" t="str">
        <f>IF(C503&lt;&gt;"",VLOOKUP(C503,'Dummy Table'!$B$3:$D$30,3,FALSE),"")</f>
        <v>Racing Bulls</v>
      </c>
      <c r="F503" s="139"/>
      <c r="K503" s="74"/>
    </row>
    <row r="504" spans="1:26" x14ac:dyDescent="0.2">
      <c r="B504" s="138">
        <f>$J$13</f>
        <v>12</v>
      </c>
      <c r="C504" s="86" t="s">
        <v>408</v>
      </c>
      <c r="D504" s="87" t="str">
        <f>IF(C504&lt;&gt;"",VLOOKUP(C504,'Dummy Table'!$B$3:$C$30,2,FALSE),"")</f>
        <v>Inglaterra</v>
      </c>
      <c r="E504" s="87" t="str">
        <f>IF(C504&lt;&gt;"",VLOOKUP(C504,'Dummy Table'!$B$3:$D$30,3,FALSE),"")</f>
        <v>Racing Bulls</v>
      </c>
      <c r="F504" s="139"/>
      <c r="K504" s="74"/>
    </row>
    <row r="505" spans="1:26" x14ac:dyDescent="0.2">
      <c r="B505" s="138">
        <f>$J$14</f>
        <v>13</v>
      </c>
      <c r="C505" s="86" t="s">
        <v>354</v>
      </c>
      <c r="D505" s="87" t="str">
        <f>IF(C505&lt;&gt;"",VLOOKUP(C505,'Dummy Table'!$B$3:$C$30,2,FALSE),"")</f>
        <v>Inglaterra</v>
      </c>
      <c r="E505" s="87" t="str">
        <f>IF(C505&lt;&gt;"",VLOOKUP(C505,'Dummy Table'!$B$3:$D$30,3,FALSE),"")</f>
        <v>Mercedes</v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 t="s">
        <v>413</v>
      </c>
      <c r="D506" s="87" t="str">
        <f>IF(C506&lt;&gt;"",VLOOKUP(C506,'Dummy Table'!$B$3:$C$30,2,FALSE),"")</f>
        <v>Argentina</v>
      </c>
      <c r="E506" s="87" t="str">
        <f>IF(C506&lt;&gt;"",VLOOKUP(C506,'Dummy Table'!$B$3:$D$30,3,FALSE),"")</f>
        <v>Alpine</v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 t="s">
        <v>397</v>
      </c>
      <c r="D507" s="87" t="str">
        <f>IF(C507&lt;&gt;"",VLOOKUP(C507,'Dummy Table'!$B$3:$C$30,2,FALSE),"")</f>
        <v>México</v>
      </c>
      <c r="E507" s="87" t="str">
        <f>IF(C507&lt;&gt;"",VLOOKUP(C507,'Dummy Table'!$B$3:$D$30,3,FALSE),"")</f>
        <v>Cadillac</v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 t="s">
        <v>329</v>
      </c>
      <c r="D508" s="87" t="str">
        <f>IF(C508&lt;&gt;"",VLOOKUP(C508,'Dummy Table'!$B$3:$C$30,2,FALSE),"")</f>
        <v>Espanha</v>
      </c>
      <c r="E508" s="87" t="str">
        <f>IF(C508&lt;&gt;"",VLOOKUP(C508,'Dummy Table'!$B$3:$D$30,3,FALSE),"")</f>
        <v>Williams</v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 t="s">
        <v>310</v>
      </c>
      <c r="D509" s="87" t="str">
        <f>IF(C509&lt;&gt;"",VLOOKUP(C509,'Dummy Table'!$B$3:$C$30,2,FALSE),"")</f>
        <v>Tailandia</v>
      </c>
      <c r="E509" s="87" t="str">
        <f>IF(C509&lt;&gt;"",VLOOKUP(C509,'Dummy Table'!$B$3:$D$30,3,FALSE),"")</f>
        <v>Williams</v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 t="s">
        <v>398</v>
      </c>
      <c r="D510" s="87" t="str">
        <f>IF(C510&lt;&gt;"",VLOOKUP(C510,'Dummy Table'!$B$3:$C$30,2,FALSE),"")</f>
        <v>Finlândia</v>
      </c>
      <c r="E510" s="87" t="str">
        <f>IF(C510&lt;&gt;"",VLOOKUP(C510,'Dummy Table'!$B$3:$D$30,3,FALSE),"")</f>
        <v>Cadillac</v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 t="s">
        <v>314</v>
      </c>
      <c r="D511" s="87" t="str">
        <f>IF(C511&lt;&gt;"",VLOOKUP(C511,'Dummy Table'!$B$3:$C$30,2,FALSE),"")</f>
        <v>França</v>
      </c>
      <c r="E511" s="87" t="str">
        <f>IF(C511&lt;&gt;"",VLOOKUP(C511,'Dummy Table'!$B$3:$D$30,3,FALSE),"")</f>
        <v>Haas</v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 t="s">
        <v>306</v>
      </c>
      <c r="D512" s="87" t="str">
        <f>IF(C512&lt;&gt;"",VLOOKUP(C512,'Dummy Table'!$B$3:$C$30,2,FALSE),"")</f>
        <v>Canadá</v>
      </c>
      <c r="E512" s="87" t="str">
        <f>IF(C512&lt;&gt;"",VLOOKUP(C512,'Dummy Table'!$B$3:$D$30,3,FALSE),"")</f>
        <v>Aston Martin</v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 t="s">
        <v>326</v>
      </c>
      <c r="D513" s="87" t="str">
        <f>IF(C513&lt;&gt;"",VLOOKUP(C513,'Dummy Table'!$B$3:$C$30,2,FALSE),"")</f>
        <v>Inglaterra</v>
      </c>
      <c r="E513" s="87" t="str">
        <f>IF(C513&lt;&gt;"",VLOOKUP(C513,'Dummy Table'!$B$3:$D$30,3,FALSE),"")</f>
        <v>Haas</v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 t="s">
        <v>300</v>
      </c>
      <c r="D514" s="87" t="str">
        <f>IF(C514&lt;&gt;"",VLOOKUP(C514,'Dummy Table'!$B$3:$C$30,2,FALSE),"")</f>
        <v>Holanda</v>
      </c>
      <c r="E514" s="87" t="str">
        <f>IF(C514&lt;&gt;"",VLOOKUP(C514,'Dummy Table'!$B$3:$D$30,3,FALSE),"")</f>
        <v>Red Bull</v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>
        <f>IF(F515="",$J$24,"Ret")</f>
        <v>23</v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 t="s">
        <v>311</v>
      </c>
      <c r="D517" s="89" t="str">
        <f>IF(C517&lt;&gt;"",VLOOKUP(C517,'Dummy Table'!$B$3:$C$30,2,FALSE),"")</f>
        <v>Inglaterra</v>
      </c>
      <c r="E517" s="89" t="str">
        <f>IF(C517&lt;&gt;"",VLOOKUP(C517,'Dummy Table'!$B$3:$D$30,3,FALSE),"")</f>
        <v>McLaren</v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 t="s">
        <v>308</v>
      </c>
      <c r="D518" s="145" t="str">
        <f>IF(C518&lt;&gt;"",VLOOKUP(C518,'Dummy Table'!$B$3:$C$30,2,FALSE),"")</f>
        <v>Mônaco</v>
      </c>
      <c r="E518" s="145" t="str">
        <f>IF(C518&lt;&gt;"",VLOOKUP(C518,'Dummy Table'!$B$3:$D$30,3,FALSE),"")</f>
        <v>Ferrari</v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>
        <f>IF(F543="",$J$24,"Ret")</f>
        <v>23</v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>
        <f>IF(F571="",$J$24,"Ret")</f>
        <v>23</v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>
        <f>IF(F599="",$J$24,"Ret")</f>
        <v>23</v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355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356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>
        <f>IF(F652="",$J$24,"Ret")</f>
        <v>23</v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>
        <f>IF(F680="",$J$24,"Ret")</f>
        <v>23</v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>
        <f>IF(F708="",$J$24,"Ret")</f>
        <v>23</v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>
        <f>IF(F736="",$J$24,"Ret")</f>
        <v>23</v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>
        <f>IF(F764="",$J$24,"Ret")</f>
        <v>23</v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>
        <f>IF(F792="",$J$24,"Ret")</f>
        <v>23</v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>
        <f>IF(F820="",$J$24,"Ret")</f>
        <v>23</v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3" sqref="C3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354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427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407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427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426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400</v>
      </c>
      <c r="J11" s="50" t="s">
        <v>21</v>
      </c>
      <c r="K11" s="51" t="s">
        <v>400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409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395</v>
      </c>
      <c r="J13" s="50" t="s">
        <v>396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408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400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400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413</v>
      </c>
      <c r="D22" s="60">
        <v>43</v>
      </c>
      <c r="E22" s="59" t="s">
        <v>414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397</v>
      </c>
      <c r="D23" s="60">
        <v>11</v>
      </c>
      <c r="E23" s="59" t="s">
        <v>296</v>
      </c>
      <c r="F23" s="51" t="s">
        <v>395</v>
      </c>
    </row>
    <row r="24" spans="2:6" ht="13.5" customHeight="1" x14ac:dyDescent="0.2">
      <c r="B24" s="57">
        <f t="shared" si="0"/>
        <v>22</v>
      </c>
      <c r="C24" s="63" t="s">
        <v>398</v>
      </c>
      <c r="D24" s="60">
        <v>77</v>
      </c>
      <c r="E24" s="59" t="s">
        <v>399</v>
      </c>
      <c r="F24" s="51" t="s">
        <v>395</v>
      </c>
    </row>
    <row r="25" spans="2:6" ht="13.5" customHeight="1" x14ac:dyDescent="0.2">
      <c r="B25" s="57">
        <f t="shared" si="0"/>
        <v>23</v>
      </c>
      <c r="C25" s="63" t="s">
        <v>437</v>
      </c>
      <c r="D25" s="60">
        <v>22</v>
      </c>
      <c r="E25" s="59" t="s">
        <v>327</v>
      </c>
      <c r="F25" s="51" t="s">
        <v>321</v>
      </c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410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402</v>
      </c>
      <c r="G3" s="28">
        <v>16</v>
      </c>
      <c r="H3" s="15"/>
      <c r="I3" s="35" t="s">
        <v>0</v>
      </c>
      <c r="J3" s="26" t="s">
        <v>406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403</v>
      </c>
      <c r="G4" s="29">
        <v>10</v>
      </c>
      <c r="H4" s="15"/>
      <c r="I4" s="35" t="s">
        <v>19</v>
      </c>
      <c r="J4" s="27" t="s">
        <v>405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401</v>
      </c>
      <c r="G5" s="29">
        <v>9</v>
      </c>
      <c r="H5" s="18"/>
      <c r="I5" s="35" t="s">
        <v>12</v>
      </c>
      <c r="J5" s="26" t="s">
        <v>404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411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2026-08-24T14:02:05Z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