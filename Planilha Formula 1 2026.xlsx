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jpe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4.xml" ContentType="application/vnd.openxmlformats-officedocument.drawing+xml"/>
  <Override PartName="/xl/slicers/slicer2.xml" ContentType="application/vnd.ms-excel.slicer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EstaPasta_de_trabalho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mjunior\Documents\Backup One Drive 10.02\GTSpeed\2026\"/>
    </mc:Choice>
  </mc:AlternateContent>
  <xr:revisionPtr revIDLastSave="0" documentId="13_ncr:1_{A069EE6A-7C09-44DE-92A9-93275918C949}" xr6:coauthVersionLast="47" xr6:coauthVersionMax="47" xr10:uidLastSave="{00000000-0000-0000-0000-000000000000}"/>
  <workbookProtection workbookAlgorithmName="SHA-512" workbookHashValue="QYkPnGvzS985dwRrZjqSebDz8BxwRVdy+4r3MFzviKBcJOyb2tdUBrdKnfJItJFocciY1pvft60LLpVgsbRaiw==" workbookSaltValue="yaqSXkdKetbr7l2vXM3MMA==" workbookSpinCount="100000" lockStructure="1"/>
  <bookViews>
    <workbookView xWindow="-120" yWindow="-120" windowWidth="29040" windowHeight="15720" tabRatio="888" firstSheet="2" activeTab="2" xr2:uid="{00000000-000D-0000-FFFF-FFFF00000000}"/>
  </bookViews>
  <sheets>
    <sheet name="Dummy Table" sheetId="9" state="hidden" r:id="rId1"/>
    <sheet name="Calendário atual" sheetId="16" state="hidden" r:id="rId2"/>
    <sheet name="Temporada 2026" sheetId="1" r:id="rId3"/>
    <sheet name="Graf. Pilotos" sheetId="18" r:id="rId4"/>
    <sheet name="Dummy Chart" sheetId="17" state="hidden" r:id="rId5"/>
    <sheet name="Graf. Equipes" sheetId="19" r:id="rId6"/>
    <sheet name="Calendário e Pódios" sheetId="6" r:id="rId7"/>
    <sheet name="Resultados" sheetId="5" r:id="rId8"/>
    <sheet name="Equipes e Pilotos" sheetId="8" r:id="rId9"/>
    <sheet name="Campeões" sheetId="12" r:id="rId10"/>
    <sheet name="Títulos" sheetId="13" r:id="rId11"/>
  </sheets>
  <definedNames>
    <definedName name="_xlnm._FilterDatabase" localSheetId="9" hidden="1">Campeões!$F$2:$G$66</definedName>
    <definedName name="_xlnm._FilterDatabase" localSheetId="5" hidden="1">'Graf. Equipes'!#REF!</definedName>
    <definedName name="_xlnm._FilterDatabase" localSheetId="3" hidden="1">'Graf. Pilotos'!#REF!</definedName>
    <definedName name="_xlnm._FilterDatabase" localSheetId="2" hidden="1">'Temporada 2026'!$C$6:$G$33</definedName>
    <definedName name="_xlnm.Print_Area" localSheetId="6">'Calendário e Pódios'!$B$2:$H$55</definedName>
    <definedName name="_xlnm.Print_Area" localSheetId="8">'Equipes e Pilotos'!$B$2:$I$34</definedName>
    <definedName name="_xlnm.Print_Area" localSheetId="5">'Graf. Equipes'!#REF!</definedName>
    <definedName name="_xlnm.Print_Area" localSheetId="3">'Graf. Pilotos'!#REF!</definedName>
    <definedName name="_xlnm.Print_Area" localSheetId="7">Resultados!$B$1:$F$602</definedName>
    <definedName name="_xlnm.Print_Area" localSheetId="2">'Temporada 2026'!$B$6:$Z$49</definedName>
    <definedName name="SegmentaçãodeDados_Equipe">#N/A</definedName>
    <definedName name="SegmentaçãodeDados_Piloto">#N/A</definedName>
  </definedName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12"/>
        <x14:slicerCache r:id="rId13"/>
      </x15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626" i="5" l="1"/>
  <c r="E626" i="5"/>
  <c r="D627" i="5"/>
  <c r="E627" i="5"/>
  <c r="D26" i="5" l="1"/>
  <c r="E26" i="5"/>
  <c r="D27" i="5"/>
  <c r="E27" i="5"/>
  <c r="A43" i="17" l="1"/>
  <c r="S26" i="5"/>
  <c r="S25" i="5"/>
  <c r="S24" i="5"/>
  <c r="P26" i="5"/>
  <c r="P25" i="5"/>
  <c r="P24" i="5"/>
  <c r="M26" i="5"/>
  <c r="M25" i="5"/>
  <c r="M24" i="5"/>
  <c r="H224" i="5" l="1"/>
  <c r="H223" i="5"/>
  <c r="G223" i="5"/>
  <c r="H361" i="5"/>
  <c r="H360" i="5"/>
  <c r="G360" i="5"/>
  <c r="H607" i="5"/>
  <c r="H606" i="5"/>
  <c r="G606" i="5"/>
  <c r="H470" i="5"/>
  <c r="H469" i="5"/>
  <c r="G469" i="5"/>
  <c r="H171" i="5"/>
  <c r="H170" i="5"/>
  <c r="G170" i="5"/>
  <c r="H34" i="5"/>
  <c r="H33" i="5"/>
  <c r="G33" i="5"/>
  <c r="H75" i="6"/>
  <c r="H76" i="6"/>
  <c r="H74" i="6"/>
  <c r="H72" i="6"/>
  <c r="H73" i="6"/>
  <c r="H71" i="6"/>
  <c r="H69" i="6"/>
  <c r="H70" i="6"/>
  <c r="H68" i="6"/>
  <c r="H66" i="6"/>
  <c r="H67" i="6"/>
  <c r="H65" i="6"/>
  <c r="H63" i="6"/>
  <c r="H64" i="6"/>
  <c r="H62" i="6"/>
  <c r="H60" i="6"/>
  <c r="H61" i="6"/>
  <c r="H59" i="6"/>
  <c r="H58" i="6"/>
  <c r="H57" i="6"/>
  <c r="H56" i="6"/>
  <c r="S23" i="5"/>
  <c r="S22" i="5"/>
  <c r="S21" i="5"/>
  <c r="S20" i="5"/>
  <c r="P23" i="5"/>
  <c r="P22" i="5"/>
  <c r="P21" i="5"/>
  <c r="P20" i="5"/>
  <c r="W10" i="5"/>
  <c r="W11" i="5" s="1"/>
  <c r="W12" i="5" s="1"/>
  <c r="W13" i="5" s="1"/>
  <c r="W14" i="5" s="1"/>
  <c r="W15" i="5" s="1"/>
  <c r="W16" i="5" s="1"/>
  <c r="M23" i="5"/>
  <c r="M22" i="5"/>
  <c r="M21" i="5"/>
  <c r="M20" i="5"/>
  <c r="F2" i="5"/>
  <c r="C2" i="5"/>
  <c r="B2" i="5"/>
  <c r="H823" i="5"/>
  <c r="E823" i="5"/>
  <c r="D823" i="5"/>
  <c r="E822" i="5"/>
  <c r="D822" i="5"/>
  <c r="E821" i="5"/>
  <c r="D821" i="5"/>
  <c r="E820" i="5"/>
  <c r="D820" i="5"/>
  <c r="E819" i="5"/>
  <c r="D819" i="5"/>
  <c r="E818" i="5"/>
  <c r="D818" i="5"/>
  <c r="E817" i="5"/>
  <c r="D817" i="5"/>
  <c r="E816" i="5"/>
  <c r="D816" i="5"/>
  <c r="E815" i="5"/>
  <c r="D815" i="5"/>
  <c r="E814" i="5"/>
  <c r="D814" i="5"/>
  <c r="E813" i="5"/>
  <c r="D813" i="5"/>
  <c r="E812" i="5"/>
  <c r="D812" i="5"/>
  <c r="E811" i="5"/>
  <c r="D811" i="5"/>
  <c r="E810" i="5"/>
  <c r="D810" i="5"/>
  <c r="E809" i="5"/>
  <c r="D809" i="5"/>
  <c r="E808" i="5"/>
  <c r="D808" i="5"/>
  <c r="E807" i="5"/>
  <c r="D807" i="5"/>
  <c r="E806" i="5"/>
  <c r="D806" i="5"/>
  <c r="E805" i="5"/>
  <c r="D805" i="5"/>
  <c r="E804" i="5"/>
  <c r="D804" i="5"/>
  <c r="E803" i="5"/>
  <c r="D803" i="5"/>
  <c r="E802" i="5"/>
  <c r="D802" i="5"/>
  <c r="E801" i="5"/>
  <c r="D801" i="5"/>
  <c r="E800" i="5"/>
  <c r="D800" i="5"/>
  <c r="H799" i="5"/>
  <c r="E799" i="5"/>
  <c r="D799" i="5"/>
  <c r="I798" i="5"/>
  <c r="H798" i="5"/>
  <c r="G798" i="5"/>
  <c r="E798" i="5"/>
  <c r="D798" i="5"/>
  <c r="H795" i="5"/>
  <c r="E795" i="5"/>
  <c r="D795" i="5"/>
  <c r="E794" i="5"/>
  <c r="D794" i="5"/>
  <c r="E793" i="5"/>
  <c r="D793" i="5"/>
  <c r="E792" i="5"/>
  <c r="D792" i="5"/>
  <c r="E791" i="5"/>
  <c r="D791" i="5"/>
  <c r="E790" i="5"/>
  <c r="D790" i="5"/>
  <c r="E789" i="5"/>
  <c r="D789" i="5"/>
  <c r="E788" i="5"/>
  <c r="D788" i="5"/>
  <c r="E787" i="5"/>
  <c r="D787" i="5"/>
  <c r="E786" i="5"/>
  <c r="D786" i="5"/>
  <c r="E785" i="5"/>
  <c r="D785" i="5"/>
  <c r="E784" i="5"/>
  <c r="D784" i="5"/>
  <c r="E783" i="5"/>
  <c r="D783" i="5"/>
  <c r="E782" i="5"/>
  <c r="D782" i="5"/>
  <c r="E781" i="5"/>
  <c r="D781" i="5"/>
  <c r="E780" i="5"/>
  <c r="D780" i="5"/>
  <c r="E779" i="5"/>
  <c r="D779" i="5"/>
  <c r="E778" i="5"/>
  <c r="D778" i="5"/>
  <c r="E777" i="5"/>
  <c r="D777" i="5"/>
  <c r="E776" i="5"/>
  <c r="D776" i="5"/>
  <c r="E775" i="5"/>
  <c r="D775" i="5"/>
  <c r="E774" i="5"/>
  <c r="D774" i="5"/>
  <c r="E773" i="5"/>
  <c r="D773" i="5"/>
  <c r="E772" i="5"/>
  <c r="D772" i="5"/>
  <c r="H771" i="5"/>
  <c r="E771" i="5"/>
  <c r="D771" i="5"/>
  <c r="I770" i="5"/>
  <c r="H770" i="5"/>
  <c r="G770" i="5"/>
  <c r="E770" i="5"/>
  <c r="D770" i="5"/>
  <c r="H767" i="5"/>
  <c r="E767" i="5"/>
  <c r="D767" i="5"/>
  <c r="E766" i="5"/>
  <c r="D766" i="5"/>
  <c r="E765" i="5"/>
  <c r="D765" i="5"/>
  <c r="E764" i="5"/>
  <c r="D764" i="5"/>
  <c r="E763" i="5"/>
  <c r="D763" i="5"/>
  <c r="E762" i="5"/>
  <c r="D762" i="5"/>
  <c r="E761" i="5"/>
  <c r="D761" i="5"/>
  <c r="E760" i="5"/>
  <c r="D760" i="5"/>
  <c r="E759" i="5"/>
  <c r="D759" i="5"/>
  <c r="E758" i="5"/>
  <c r="D758" i="5"/>
  <c r="E757" i="5"/>
  <c r="D757" i="5"/>
  <c r="E756" i="5"/>
  <c r="D756" i="5"/>
  <c r="E755" i="5"/>
  <c r="D755" i="5"/>
  <c r="E754" i="5"/>
  <c r="D754" i="5"/>
  <c r="E753" i="5"/>
  <c r="D753" i="5"/>
  <c r="E752" i="5"/>
  <c r="D752" i="5"/>
  <c r="E751" i="5"/>
  <c r="D751" i="5"/>
  <c r="E750" i="5"/>
  <c r="D750" i="5"/>
  <c r="E749" i="5"/>
  <c r="D749" i="5"/>
  <c r="E748" i="5"/>
  <c r="D748" i="5"/>
  <c r="E747" i="5"/>
  <c r="D747" i="5"/>
  <c r="E746" i="5"/>
  <c r="D746" i="5"/>
  <c r="E745" i="5"/>
  <c r="D745" i="5"/>
  <c r="E744" i="5"/>
  <c r="D744" i="5"/>
  <c r="H743" i="5"/>
  <c r="E743" i="5"/>
  <c r="D743" i="5"/>
  <c r="I742" i="5"/>
  <c r="H742" i="5"/>
  <c r="G742" i="5"/>
  <c r="E742" i="5"/>
  <c r="D742" i="5"/>
  <c r="H739" i="5"/>
  <c r="E739" i="5"/>
  <c r="T23" i="5" s="1"/>
  <c r="D739" i="5"/>
  <c r="E738" i="5"/>
  <c r="Q23" i="5" s="1"/>
  <c r="D738" i="5"/>
  <c r="E737" i="5"/>
  <c r="D737" i="5"/>
  <c r="E736" i="5"/>
  <c r="D736" i="5"/>
  <c r="E735" i="5"/>
  <c r="D735" i="5"/>
  <c r="E734" i="5"/>
  <c r="D734" i="5"/>
  <c r="E733" i="5"/>
  <c r="D733" i="5"/>
  <c r="E732" i="5"/>
  <c r="D732" i="5"/>
  <c r="E731" i="5"/>
  <c r="D731" i="5"/>
  <c r="E730" i="5"/>
  <c r="D730" i="5"/>
  <c r="E729" i="5"/>
  <c r="D729" i="5"/>
  <c r="E728" i="5"/>
  <c r="D728" i="5"/>
  <c r="E727" i="5"/>
  <c r="D727" i="5"/>
  <c r="E726" i="5"/>
  <c r="D726" i="5"/>
  <c r="E725" i="5"/>
  <c r="D725" i="5"/>
  <c r="E724" i="5"/>
  <c r="D724" i="5"/>
  <c r="E723" i="5"/>
  <c r="D723" i="5"/>
  <c r="E722" i="5"/>
  <c r="D722" i="5"/>
  <c r="E721" i="5"/>
  <c r="D721" i="5"/>
  <c r="E720" i="5"/>
  <c r="D720" i="5"/>
  <c r="E719" i="5"/>
  <c r="D719" i="5"/>
  <c r="E718" i="5"/>
  <c r="D718" i="5"/>
  <c r="E717" i="5"/>
  <c r="D717" i="5"/>
  <c r="E716" i="5"/>
  <c r="D716" i="5"/>
  <c r="H715" i="5"/>
  <c r="E715" i="5"/>
  <c r="D715" i="5"/>
  <c r="I714" i="5"/>
  <c r="H714" i="5"/>
  <c r="G714" i="5"/>
  <c r="E714" i="5"/>
  <c r="N23" i="5" s="1"/>
  <c r="D714" i="5"/>
  <c r="H711" i="5"/>
  <c r="E711" i="5"/>
  <c r="T22" i="5" s="1"/>
  <c r="D711" i="5"/>
  <c r="E710" i="5"/>
  <c r="Q22" i="5" s="1"/>
  <c r="D710" i="5"/>
  <c r="E709" i="5"/>
  <c r="D709" i="5"/>
  <c r="E708" i="5"/>
  <c r="D708" i="5"/>
  <c r="E707" i="5"/>
  <c r="D707" i="5"/>
  <c r="E706" i="5"/>
  <c r="D706" i="5"/>
  <c r="E705" i="5"/>
  <c r="D705" i="5"/>
  <c r="E704" i="5"/>
  <c r="D704" i="5"/>
  <c r="E703" i="5"/>
  <c r="D703" i="5"/>
  <c r="E702" i="5"/>
  <c r="D702" i="5"/>
  <c r="E701" i="5"/>
  <c r="D701" i="5"/>
  <c r="E700" i="5"/>
  <c r="D700" i="5"/>
  <c r="E699" i="5"/>
  <c r="D699" i="5"/>
  <c r="E698" i="5"/>
  <c r="D698" i="5"/>
  <c r="E697" i="5"/>
  <c r="D697" i="5"/>
  <c r="E696" i="5"/>
  <c r="D696" i="5"/>
  <c r="E695" i="5"/>
  <c r="D695" i="5"/>
  <c r="E694" i="5"/>
  <c r="D694" i="5"/>
  <c r="E693" i="5"/>
  <c r="D693" i="5"/>
  <c r="E692" i="5"/>
  <c r="D692" i="5"/>
  <c r="E691" i="5"/>
  <c r="D691" i="5"/>
  <c r="E690" i="5"/>
  <c r="D690" i="5"/>
  <c r="E689" i="5"/>
  <c r="D689" i="5"/>
  <c r="E688" i="5"/>
  <c r="D688" i="5"/>
  <c r="H687" i="5"/>
  <c r="E687" i="5"/>
  <c r="D687" i="5"/>
  <c r="I686" i="5"/>
  <c r="H686" i="5"/>
  <c r="G686" i="5"/>
  <c r="E686" i="5"/>
  <c r="N22" i="5" s="1"/>
  <c r="D686" i="5"/>
  <c r="H683" i="5"/>
  <c r="E681" i="5"/>
  <c r="D681" i="5"/>
  <c r="E680" i="5"/>
  <c r="D680" i="5"/>
  <c r="E679" i="5"/>
  <c r="D679" i="5"/>
  <c r="E678" i="5"/>
  <c r="D678" i="5"/>
  <c r="H659" i="5"/>
  <c r="I658" i="5"/>
  <c r="H658" i="5"/>
  <c r="G658" i="5"/>
  <c r="H655" i="5"/>
  <c r="E653" i="5"/>
  <c r="D653" i="5"/>
  <c r="E652" i="5"/>
  <c r="D652" i="5"/>
  <c r="E651" i="5"/>
  <c r="D651" i="5"/>
  <c r="E650" i="5"/>
  <c r="D650" i="5"/>
  <c r="H631" i="5"/>
  <c r="I630" i="5"/>
  <c r="H630" i="5"/>
  <c r="G630" i="5"/>
  <c r="F74" i="6"/>
  <c r="F71" i="6"/>
  <c r="F68" i="6"/>
  <c r="F65" i="6"/>
  <c r="F62" i="6"/>
  <c r="F59" i="6"/>
  <c r="F56" i="6"/>
  <c r="F53" i="6"/>
  <c r="E74" i="6"/>
  <c r="E71" i="6"/>
  <c r="E68" i="6"/>
  <c r="E65" i="6"/>
  <c r="E62" i="6"/>
  <c r="E59" i="6"/>
  <c r="E56" i="6"/>
  <c r="D74" i="6"/>
  <c r="D71" i="6"/>
  <c r="D68" i="6"/>
  <c r="D65" i="6"/>
  <c r="D62" i="6"/>
  <c r="D59" i="6"/>
  <c r="D56" i="6"/>
  <c r="C74" i="6"/>
  <c r="C71" i="6"/>
  <c r="C68" i="6"/>
  <c r="C65" i="6"/>
  <c r="C62" i="6"/>
  <c r="C59" i="6"/>
  <c r="C56" i="6"/>
  <c r="Q30" i="5" l="1"/>
  <c r="Q26" i="5"/>
  <c r="N28" i="5"/>
  <c r="N24" i="5"/>
  <c r="T30" i="5"/>
  <c r="T26" i="5"/>
  <c r="T29" i="5"/>
  <c r="T25" i="5"/>
  <c r="Q29" i="5"/>
  <c r="Q25" i="5"/>
  <c r="Q28" i="5"/>
  <c r="Q24" i="5"/>
  <c r="T28" i="5"/>
  <c r="T24" i="5"/>
  <c r="N30" i="5"/>
  <c r="N26" i="5"/>
  <c r="N29" i="5"/>
  <c r="N25" i="5"/>
  <c r="B30" i="8"/>
  <c r="B35" i="1" s="1"/>
  <c r="I35" i="1" s="1"/>
  <c r="B29" i="8"/>
  <c r="B34" i="1" s="1"/>
  <c r="I34" i="1" s="1"/>
  <c r="B28" i="8"/>
  <c r="B33" i="1" s="1"/>
  <c r="I33" i="1" s="1"/>
  <c r="H15" i="8"/>
  <c r="B51" i="1" s="1"/>
  <c r="H3" i="8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7" i="1" s="1"/>
  <c r="A21" i="17" s="1"/>
  <c r="H602" i="5"/>
  <c r="E600" i="5"/>
  <c r="D600" i="5"/>
  <c r="E599" i="5"/>
  <c r="D599" i="5"/>
  <c r="E598" i="5"/>
  <c r="D598" i="5"/>
  <c r="E597" i="5"/>
  <c r="D597" i="5"/>
  <c r="H578" i="5"/>
  <c r="I577" i="5"/>
  <c r="H577" i="5"/>
  <c r="G577" i="5"/>
  <c r="H574" i="5"/>
  <c r="E572" i="5"/>
  <c r="D572" i="5"/>
  <c r="E571" i="5"/>
  <c r="D571" i="5"/>
  <c r="E570" i="5"/>
  <c r="D570" i="5"/>
  <c r="E569" i="5"/>
  <c r="D569" i="5"/>
  <c r="H550" i="5"/>
  <c r="I549" i="5"/>
  <c r="H549" i="5"/>
  <c r="G549" i="5"/>
  <c r="H546" i="5"/>
  <c r="E544" i="5"/>
  <c r="D544" i="5"/>
  <c r="E543" i="5"/>
  <c r="D543" i="5"/>
  <c r="E542" i="5"/>
  <c r="D542" i="5"/>
  <c r="E541" i="5"/>
  <c r="D541" i="5"/>
  <c r="H522" i="5"/>
  <c r="I521" i="5"/>
  <c r="H521" i="5"/>
  <c r="G521" i="5"/>
  <c r="H518" i="5"/>
  <c r="E516" i="5"/>
  <c r="D516" i="5"/>
  <c r="E515" i="5"/>
  <c r="D515" i="5"/>
  <c r="H494" i="5"/>
  <c r="I493" i="5"/>
  <c r="H493" i="5"/>
  <c r="G493" i="5"/>
  <c r="H465" i="5"/>
  <c r="E463" i="5"/>
  <c r="D463" i="5"/>
  <c r="E462" i="5"/>
  <c r="D462" i="5"/>
  <c r="H441" i="5"/>
  <c r="I440" i="5"/>
  <c r="H440" i="5"/>
  <c r="G440" i="5"/>
  <c r="H437" i="5"/>
  <c r="E435" i="5"/>
  <c r="D435" i="5"/>
  <c r="E434" i="5"/>
  <c r="D434" i="5"/>
  <c r="H413" i="5"/>
  <c r="I412" i="5"/>
  <c r="H412" i="5"/>
  <c r="G412" i="5"/>
  <c r="H409" i="5"/>
  <c r="E407" i="5"/>
  <c r="D407" i="5"/>
  <c r="E406" i="5"/>
  <c r="D406" i="5"/>
  <c r="H385" i="5"/>
  <c r="I384" i="5"/>
  <c r="H384" i="5"/>
  <c r="G384" i="5"/>
  <c r="H356" i="5"/>
  <c r="E354" i="5"/>
  <c r="D354" i="5"/>
  <c r="E353" i="5"/>
  <c r="D353" i="5"/>
  <c r="H332" i="5"/>
  <c r="I331" i="5"/>
  <c r="H331" i="5"/>
  <c r="G331" i="5"/>
  <c r="H328" i="5"/>
  <c r="E326" i="5"/>
  <c r="D326" i="5"/>
  <c r="E325" i="5"/>
  <c r="D325" i="5"/>
  <c r="H304" i="5"/>
  <c r="I303" i="5"/>
  <c r="H303" i="5"/>
  <c r="G303" i="5"/>
  <c r="H300" i="5"/>
  <c r="E298" i="5"/>
  <c r="D298" i="5"/>
  <c r="E297" i="5"/>
  <c r="D297" i="5"/>
  <c r="H276" i="5"/>
  <c r="I275" i="5"/>
  <c r="H275" i="5"/>
  <c r="G275" i="5"/>
  <c r="H272" i="5"/>
  <c r="E270" i="5"/>
  <c r="D270" i="5"/>
  <c r="E269" i="5"/>
  <c r="D269" i="5"/>
  <c r="H248" i="5"/>
  <c r="I247" i="5"/>
  <c r="H247" i="5"/>
  <c r="G247" i="5"/>
  <c r="H219" i="5"/>
  <c r="E217" i="5"/>
  <c r="D217" i="5"/>
  <c r="E216" i="5"/>
  <c r="D216" i="5"/>
  <c r="H195" i="5"/>
  <c r="I194" i="5"/>
  <c r="H194" i="5"/>
  <c r="G194" i="5"/>
  <c r="H166" i="5"/>
  <c r="E164" i="5"/>
  <c r="D164" i="5"/>
  <c r="E163" i="5"/>
  <c r="D163" i="5"/>
  <c r="E162" i="5"/>
  <c r="D162" i="5"/>
  <c r="E161" i="5"/>
  <c r="D161" i="5"/>
  <c r="H142" i="5"/>
  <c r="I141" i="5"/>
  <c r="H141" i="5"/>
  <c r="G141" i="5"/>
  <c r="H138" i="5"/>
  <c r="E136" i="5"/>
  <c r="D136" i="5"/>
  <c r="E135" i="5"/>
  <c r="D135" i="5"/>
  <c r="E134" i="5"/>
  <c r="D134" i="5"/>
  <c r="E133" i="5"/>
  <c r="D133" i="5"/>
  <c r="H114" i="5"/>
  <c r="I113" i="5"/>
  <c r="H113" i="5"/>
  <c r="G113" i="5"/>
  <c r="H110" i="5"/>
  <c r="E108" i="5"/>
  <c r="D108" i="5"/>
  <c r="E107" i="5"/>
  <c r="D107" i="5"/>
  <c r="H86" i="5"/>
  <c r="I85" i="5"/>
  <c r="H85" i="5"/>
  <c r="G85" i="5"/>
  <c r="H82" i="5"/>
  <c r="E80" i="5"/>
  <c r="D80" i="5"/>
  <c r="E79" i="5"/>
  <c r="D79" i="5"/>
  <c r="H58" i="5"/>
  <c r="I57" i="5"/>
  <c r="H57" i="5"/>
  <c r="G57" i="5"/>
  <c r="K29" i="5"/>
  <c r="J29" i="5" s="1"/>
  <c r="H29" i="5"/>
  <c r="K28" i="5"/>
  <c r="J28" i="5" s="1"/>
  <c r="K27" i="5"/>
  <c r="J27" i="5" s="1"/>
  <c r="K26" i="5"/>
  <c r="K25" i="5"/>
  <c r="K24" i="5"/>
  <c r="K23" i="5"/>
  <c r="K22" i="5"/>
  <c r="K21" i="5"/>
  <c r="K20" i="5"/>
  <c r="S19" i="5"/>
  <c r="P19" i="5"/>
  <c r="M19" i="5"/>
  <c r="K19" i="5"/>
  <c r="S18" i="5"/>
  <c r="P18" i="5"/>
  <c r="M18" i="5"/>
  <c r="K18" i="5"/>
  <c r="S17" i="5"/>
  <c r="P17" i="5"/>
  <c r="M17" i="5"/>
  <c r="K17" i="5"/>
  <c r="S16" i="5"/>
  <c r="P16" i="5"/>
  <c r="M16" i="5"/>
  <c r="K16" i="5"/>
  <c r="S15" i="5"/>
  <c r="P15" i="5"/>
  <c r="M15" i="5"/>
  <c r="K15" i="5"/>
  <c r="S14" i="5"/>
  <c r="P14" i="5"/>
  <c r="M14" i="5"/>
  <c r="K14" i="5"/>
  <c r="S13" i="5"/>
  <c r="P13" i="5"/>
  <c r="M13" i="5"/>
  <c r="K13" i="5"/>
  <c r="S12" i="5"/>
  <c r="P12" i="5"/>
  <c r="M12" i="5"/>
  <c r="K12" i="5"/>
  <c r="S11" i="5"/>
  <c r="P11" i="5"/>
  <c r="M11" i="5"/>
  <c r="K11" i="5"/>
  <c r="S10" i="5"/>
  <c r="P10" i="5"/>
  <c r="M10" i="5"/>
  <c r="K10" i="5"/>
  <c r="S9" i="5"/>
  <c r="P9" i="5"/>
  <c r="M9" i="5"/>
  <c r="K9" i="5"/>
  <c r="S8" i="5"/>
  <c r="P8" i="5"/>
  <c r="M8" i="5"/>
  <c r="K8" i="5"/>
  <c r="S7" i="5"/>
  <c r="P7" i="5"/>
  <c r="M7" i="5"/>
  <c r="K7" i="5"/>
  <c r="S6" i="5"/>
  <c r="P6" i="5"/>
  <c r="M6" i="5"/>
  <c r="K6" i="5"/>
  <c r="S5" i="5"/>
  <c r="P5" i="5"/>
  <c r="M5" i="5"/>
  <c r="K5" i="5"/>
  <c r="H5" i="5"/>
  <c r="S4" i="5"/>
  <c r="P4" i="5"/>
  <c r="M4" i="5"/>
  <c r="K4" i="5"/>
  <c r="I4" i="5"/>
  <c r="H4" i="5"/>
  <c r="G4" i="5"/>
  <c r="S3" i="5"/>
  <c r="P3" i="5"/>
  <c r="M3" i="5"/>
  <c r="K3" i="5"/>
  <c r="K2" i="5"/>
  <c r="J2" i="5" s="1"/>
  <c r="H55" i="6"/>
  <c r="H54" i="6"/>
  <c r="H53" i="6"/>
  <c r="E53" i="6"/>
  <c r="D53" i="6"/>
  <c r="C53" i="6"/>
  <c r="H52" i="6"/>
  <c r="H51" i="6"/>
  <c r="H50" i="6"/>
  <c r="F50" i="6"/>
  <c r="E50" i="6"/>
  <c r="D50" i="6"/>
  <c r="C50" i="6"/>
  <c r="H49" i="6"/>
  <c r="H48" i="6"/>
  <c r="H47" i="6"/>
  <c r="F47" i="6"/>
  <c r="E47" i="6"/>
  <c r="D47" i="6"/>
  <c r="C47" i="6"/>
  <c r="H46" i="6"/>
  <c r="H45" i="6"/>
  <c r="H44" i="6"/>
  <c r="F44" i="6"/>
  <c r="E44" i="6"/>
  <c r="D44" i="6"/>
  <c r="C44" i="6"/>
  <c r="H43" i="6"/>
  <c r="H42" i="6"/>
  <c r="H41" i="6"/>
  <c r="F41" i="6"/>
  <c r="E41" i="6"/>
  <c r="D41" i="6"/>
  <c r="C41" i="6"/>
  <c r="H40" i="6"/>
  <c r="H39" i="6"/>
  <c r="H38" i="6"/>
  <c r="F38" i="6"/>
  <c r="E38" i="6"/>
  <c r="D38" i="6"/>
  <c r="C38" i="6"/>
  <c r="H37" i="6"/>
  <c r="H36" i="6"/>
  <c r="H35" i="6"/>
  <c r="F35" i="6"/>
  <c r="E35" i="6"/>
  <c r="D35" i="6"/>
  <c r="C35" i="6"/>
  <c r="H34" i="6"/>
  <c r="H33" i="6"/>
  <c r="H32" i="6"/>
  <c r="F32" i="6"/>
  <c r="E32" i="6"/>
  <c r="D32" i="6"/>
  <c r="C32" i="6"/>
  <c r="H31" i="6"/>
  <c r="H30" i="6"/>
  <c r="H29" i="6"/>
  <c r="F29" i="6"/>
  <c r="E29" i="6"/>
  <c r="D29" i="6"/>
  <c r="C29" i="6"/>
  <c r="H28" i="6"/>
  <c r="H27" i="6"/>
  <c r="H26" i="6"/>
  <c r="F26" i="6"/>
  <c r="E26" i="6"/>
  <c r="D26" i="6"/>
  <c r="C26" i="6"/>
  <c r="H25" i="6"/>
  <c r="H24" i="6"/>
  <c r="H23" i="6"/>
  <c r="F23" i="6"/>
  <c r="E23" i="6"/>
  <c r="D23" i="6"/>
  <c r="C23" i="6"/>
  <c r="H22" i="6"/>
  <c r="H21" i="6"/>
  <c r="H20" i="6"/>
  <c r="F20" i="6"/>
  <c r="E20" i="6"/>
  <c r="D20" i="6"/>
  <c r="C20" i="6"/>
  <c r="H19" i="6"/>
  <c r="H18" i="6"/>
  <c r="H17" i="6"/>
  <c r="F17" i="6"/>
  <c r="E17" i="6"/>
  <c r="D17" i="6"/>
  <c r="C17" i="6"/>
  <c r="H16" i="6"/>
  <c r="H15" i="6"/>
  <c r="H14" i="6"/>
  <c r="F14" i="6"/>
  <c r="E14" i="6"/>
  <c r="D14" i="6"/>
  <c r="C14" i="6"/>
  <c r="H13" i="6"/>
  <c r="H12" i="6"/>
  <c r="H11" i="6"/>
  <c r="F11" i="6"/>
  <c r="E11" i="6"/>
  <c r="D11" i="6"/>
  <c r="C11" i="6"/>
  <c r="H10" i="6"/>
  <c r="H9" i="6"/>
  <c r="H8" i="6"/>
  <c r="F8" i="6"/>
  <c r="E8" i="6"/>
  <c r="D8" i="6"/>
  <c r="C8" i="6"/>
  <c r="H7" i="6"/>
  <c r="H6" i="6"/>
  <c r="H5" i="6"/>
  <c r="F5" i="6"/>
  <c r="E5" i="6"/>
  <c r="D5" i="6"/>
  <c r="C5" i="6"/>
  <c r="A3" i="16"/>
  <c r="B47" i="9"/>
  <c r="AW47" i="9" s="1"/>
  <c r="B46" i="9"/>
  <c r="B45" i="9"/>
  <c r="B44" i="9"/>
  <c r="B43" i="9"/>
  <c r="D43" i="9" s="1"/>
  <c r="B42" i="9"/>
  <c r="D42" i="9" s="1"/>
  <c r="B41" i="9"/>
  <c r="D41" i="9" s="1"/>
  <c r="B40" i="9"/>
  <c r="B39" i="9"/>
  <c r="D39" i="9" s="1"/>
  <c r="B38" i="9"/>
  <c r="B37" i="9"/>
  <c r="D37" i="9" s="1"/>
  <c r="B36" i="9"/>
  <c r="B35" i="9"/>
  <c r="D35" i="9" s="1"/>
  <c r="B30" i="9"/>
  <c r="AP30" i="9" s="1"/>
  <c r="B29" i="9"/>
  <c r="BB29" i="9" s="1"/>
  <c r="B28" i="9"/>
  <c r="AV28" i="9" s="1"/>
  <c r="B27" i="9"/>
  <c r="B26" i="9"/>
  <c r="B25" i="9"/>
  <c r="B24" i="9"/>
  <c r="B23" i="9"/>
  <c r="B22" i="9"/>
  <c r="C22" i="9" s="1"/>
  <c r="B21" i="9"/>
  <c r="D21" i="9" s="1"/>
  <c r="E214" i="5" s="1"/>
  <c r="B20" i="9"/>
  <c r="B19" i="9"/>
  <c r="C19" i="9" s="1"/>
  <c r="B18" i="9"/>
  <c r="C18" i="9" s="1"/>
  <c r="B17" i="9"/>
  <c r="D17" i="9" s="1"/>
  <c r="B16" i="9"/>
  <c r="B15" i="9"/>
  <c r="D15" i="9" s="1"/>
  <c r="B14" i="9"/>
  <c r="B13" i="9"/>
  <c r="C13" i="9" s="1"/>
  <c r="B12" i="9"/>
  <c r="D12" i="9" s="1"/>
  <c r="B11" i="9"/>
  <c r="D11" i="9" s="1"/>
  <c r="E267" i="5" s="1"/>
  <c r="B10" i="9"/>
  <c r="D10" i="9" s="1"/>
  <c r="B9" i="9"/>
  <c r="B8" i="9"/>
  <c r="B7" i="9"/>
  <c r="D7" i="9" s="1"/>
  <c r="E514" i="5" s="1"/>
  <c r="B6" i="9"/>
  <c r="C6" i="9" s="1"/>
  <c r="B5" i="9"/>
  <c r="C5" i="9" s="1"/>
  <c r="D433" i="5" s="1"/>
  <c r="B4" i="9"/>
  <c r="D4" i="9" s="1"/>
  <c r="B3" i="9"/>
  <c r="D25" i="5" l="1"/>
  <c r="D490" i="5"/>
  <c r="E78" i="5"/>
  <c r="E380" i="5"/>
  <c r="E238" i="5"/>
  <c r="E235" i="5"/>
  <c r="E375" i="5"/>
  <c r="D244" i="5"/>
  <c r="D379" i="5"/>
  <c r="D363" i="5"/>
  <c r="D223" i="5"/>
  <c r="D374" i="5"/>
  <c r="D237" i="5"/>
  <c r="E366" i="5"/>
  <c r="E226" i="5"/>
  <c r="E229" i="5"/>
  <c r="E365" i="5"/>
  <c r="E105" i="5"/>
  <c r="D360" i="5"/>
  <c r="D225" i="5"/>
  <c r="E242" i="5"/>
  <c r="E370" i="5"/>
  <c r="D371" i="5"/>
  <c r="D231" i="5"/>
  <c r="E241" i="5"/>
  <c r="E377" i="5"/>
  <c r="E228" i="5"/>
  <c r="E361" i="5"/>
  <c r="E376" i="5"/>
  <c r="E232" i="5"/>
  <c r="E296" i="5"/>
  <c r="E24" i="5"/>
  <c r="E324" i="5"/>
  <c r="E404" i="5"/>
  <c r="D233" i="5"/>
  <c r="D367" i="5"/>
  <c r="D405" i="5"/>
  <c r="B11" i="1"/>
  <c r="A5" i="17" s="1"/>
  <c r="I51" i="1"/>
  <c r="A42" i="17"/>
  <c r="K35" i="5"/>
  <c r="AQ29" i="9"/>
  <c r="BC9" i="9"/>
  <c r="D9" i="9"/>
  <c r="E34" i="5" s="1"/>
  <c r="A4" i="16"/>
  <c r="A5" i="16" s="1"/>
  <c r="A6" i="16" s="1"/>
  <c r="A7" i="16" s="1"/>
  <c r="A8" i="16" s="1"/>
  <c r="A9" i="16" s="1"/>
  <c r="A10" i="16" s="1"/>
  <c r="A11" i="16" s="1"/>
  <c r="A12" i="16" s="1"/>
  <c r="A13" i="16" s="1"/>
  <c r="A14" i="16" s="1"/>
  <c r="A15" i="16" s="1"/>
  <c r="A16" i="16" s="1"/>
  <c r="A17" i="16" s="1"/>
  <c r="A18" i="16" s="1"/>
  <c r="A19" i="16" s="1"/>
  <c r="A20" i="16" s="1"/>
  <c r="A21" i="16" s="1"/>
  <c r="A22" i="16" s="1"/>
  <c r="A23" i="16" s="1"/>
  <c r="A24" i="16" s="1"/>
  <c r="A25" i="16" s="1"/>
  <c r="F575" i="5"/>
  <c r="F301" i="5"/>
  <c r="C712" i="5"/>
  <c r="C139" i="5"/>
  <c r="F684" i="5"/>
  <c r="F410" i="5"/>
  <c r="F111" i="5"/>
  <c r="B796" i="5"/>
  <c r="B547" i="5"/>
  <c r="B410" i="5"/>
  <c r="F656" i="5"/>
  <c r="F519" i="5"/>
  <c r="F83" i="5"/>
  <c r="B712" i="5"/>
  <c r="B575" i="5"/>
  <c r="B438" i="5"/>
  <c r="B301" i="5"/>
  <c r="B139" i="5"/>
  <c r="F796" i="5"/>
  <c r="F547" i="5"/>
  <c r="F273" i="5"/>
  <c r="B684" i="5"/>
  <c r="B273" i="5"/>
  <c r="F768" i="5"/>
  <c r="F357" i="5"/>
  <c r="C796" i="5"/>
  <c r="C684" i="5"/>
  <c r="C547" i="5"/>
  <c r="C410" i="5"/>
  <c r="C273" i="5"/>
  <c r="C111" i="5"/>
  <c r="C768" i="5"/>
  <c r="C656" i="5"/>
  <c r="C519" i="5"/>
  <c r="C357" i="5"/>
  <c r="C220" i="5"/>
  <c r="C83" i="5"/>
  <c r="B768" i="5"/>
  <c r="B656" i="5"/>
  <c r="B519" i="5"/>
  <c r="B357" i="5"/>
  <c r="B220" i="5"/>
  <c r="B83" i="5"/>
  <c r="C740" i="5"/>
  <c r="C603" i="5"/>
  <c r="C466" i="5"/>
  <c r="C329" i="5"/>
  <c r="C30" i="5"/>
  <c r="B740" i="5"/>
  <c r="B329" i="5"/>
  <c r="B30" i="5"/>
  <c r="F740" i="5"/>
  <c r="F603" i="5"/>
  <c r="F466" i="5"/>
  <c r="F329" i="5"/>
  <c r="F167" i="5"/>
  <c r="F30" i="5"/>
  <c r="C167" i="5"/>
  <c r="B603" i="5"/>
  <c r="B466" i="5"/>
  <c r="B167" i="5"/>
  <c r="D666" i="5"/>
  <c r="D660" i="5"/>
  <c r="E669" i="5"/>
  <c r="E606" i="5"/>
  <c r="D675" i="5"/>
  <c r="E625" i="5"/>
  <c r="E619" i="5"/>
  <c r="E613" i="5"/>
  <c r="E683" i="5"/>
  <c r="T21" i="5" s="1"/>
  <c r="E665" i="5"/>
  <c r="E664" i="5"/>
  <c r="D676" i="5"/>
  <c r="D664" i="5"/>
  <c r="E623" i="5"/>
  <c r="E611" i="5"/>
  <c r="E675" i="5"/>
  <c r="D617" i="5"/>
  <c r="D619" i="5"/>
  <c r="D613" i="5"/>
  <c r="E607" i="5"/>
  <c r="D683" i="5"/>
  <c r="D671" i="5"/>
  <c r="E659" i="5"/>
  <c r="E618" i="5"/>
  <c r="E612" i="5"/>
  <c r="E682" i="5"/>
  <c r="Q21" i="5" s="1"/>
  <c r="E670" i="5"/>
  <c r="D682" i="5"/>
  <c r="D670" i="5"/>
  <c r="E617" i="5"/>
  <c r="E663" i="5"/>
  <c r="D611" i="5"/>
  <c r="D663" i="5"/>
  <c r="D623" i="5"/>
  <c r="E622" i="5"/>
  <c r="E610" i="5"/>
  <c r="D606" i="5"/>
  <c r="E674" i="5"/>
  <c r="E668" i="5"/>
  <c r="E662" i="5"/>
  <c r="E658" i="5"/>
  <c r="N21" i="5" s="1"/>
  <c r="D616" i="5"/>
  <c r="D610" i="5"/>
  <c r="D668" i="5"/>
  <c r="D662" i="5"/>
  <c r="D658" i="5"/>
  <c r="D615" i="5"/>
  <c r="D673" i="5"/>
  <c r="D661" i="5"/>
  <c r="E672" i="5"/>
  <c r="E621" i="5"/>
  <c r="E667" i="5"/>
  <c r="E661" i="5"/>
  <c r="D609" i="5"/>
  <c r="D667" i="5"/>
  <c r="E614" i="5"/>
  <c r="E660" i="5"/>
  <c r="B12" i="1"/>
  <c r="A6" i="17" s="1"/>
  <c r="B8" i="1"/>
  <c r="A2" i="17" s="1"/>
  <c r="B9" i="1"/>
  <c r="A3" i="17" s="1"/>
  <c r="B10" i="1"/>
  <c r="A4" i="17" s="1"/>
  <c r="D472" i="5"/>
  <c r="D635" i="5"/>
  <c r="E641" i="5"/>
  <c r="E473" i="5"/>
  <c r="E647" i="5"/>
  <c r="D643" i="5"/>
  <c r="D655" i="5"/>
  <c r="D637" i="5"/>
  <c r="D476" i="5"/>
  <c r="D640" i="5"/>
  <c r="E654" i="5"/>
  <c r="Q20" i="5" s="1"/>
  <c r="E630" i="5"/>
  <c r="N20" i="5" s="1"/>
  <c r="E649" i="5"/>
  <c r="E485" i="5"/>
  <c r="E634" i="5"/>
  <c r="D646" i="5"/>
  <c r="E470" i="5"/>
  <c r="E633" i="5"/>
  <c r="E642" i="5"/>
  <c r="E631" i="5"/>
  <c r="E482" i="5"/>
  <c r="E636" i="5"/>
  <c r="D648" i="5"/>
  <c r="L35" i="5"/>
  <c r="K30" i="5"/>
  <c r="D184" i="5"/>
  <c r="E176" i="5"/>
  <c r="E42" i="5"/>
  <c r="E187" i="5"/>
  <c r="E41" i="5"/>
  <c r="E174" i="5"/>
  <c r="E171" i="5"/>
  <c r="E48" i="5"/>
  <c r="D37" i="5"/>
  <c r="D189" i="5"/>
  <c r="D33" i="5"/>
  <c r="E38" i="5"/>
  <c r="D179" i="5"/>
  <c r="E35" i="5"/>
  <c r="E186" i="5"/>
  <c r="B360" i="5"/>
  <c r="B223" i="5"/>
  <c r="B469" i="5"/>
  <c r="B606" i="5"/>
  <c r="B33" i="5"/>
  <c r="B170" i="5"/>
  <c r="B742" i="5"/>
  <c r="B630" i="5"/>
  <c r="B686" i="5"/>
  <c r="B770" i="5"/>
  <c r="B658" i="5"/>
  <c r="B798" i="5"/>
  <c r="B714" i="5"/>
  <c r="BC14" i="9"/>
  <c r="BC16" i="9"/>
  <c r="AI29" i="9"/>
  <c r="BB30" i="9"/>
  <c r="AK29" i="9"/>
  <c r="BC7" i="9"/>
  <c r="AY29" i="9"/>
  <c r="AS29" i="9"/>
  <c r="C29" i="9"/>
  <c r="E47" i="9"/>
  <c r="E29" i="9"/>
  <c r="BA29" i="9"/>
  <c r="I47" i="9"/>
  <c r="U47" i="9"/>
  <c r="M29" i="9"/>
  <c r="F30" i="9"/>
  <c r="Y47" i="9"/>
  <c r="S29" i="9"/>
  <c r="J30" i="9"/>
  <c r="AO47" i="9"/>
  <c r="U29" i="9"/>
  <c r="Z30" i="9"/>
  <c r="K29" i="9"/>
  <c r="AA29" i="9"/>
  <c r="AD30" i="9"/>
  <c r="AC29" i="9"/>
  <c r="AT30" i="9"/>
  <c r="C14" i="9"/>
  <c r="D14" i="9"/>
  <c r="B23" i="8"/>
  <c r="B28" i="1" s="1"/>
  <c r="A22" i="17" s="1"/>
  <c r="C23" i="9"/>
  <c r="D489" i="5" s="1"/>
  <c r="D23" i="9"/>
  <c r="E489" i="5" s="1"/>
  <c r="D19" i="9"/>
  <c r="E490" i="5" s="1"/>
  <c r="BC10" i="9"/>
  <c r="B16" i="1"/>
  <c r="A10" i="17" s="1"/>
  <c r="B19" i="1"/>
  <c r="A13" i="17" s="1"/>
  <c r="B13" i="1"/>
  <c r="A7" i="17" s="1"/>
  <c r="B24" i="1"/>
  <c r="A18" i="17" s="1"/>
  <c r="BC12" i="9"/>
  <c r="B14" i="1"/>
  <c r="A8" i="17" s="1"/>
  <c r="T46" i="9"/>
  <c r="C45" i="9"/>
  <c r="D45" i="9"/>
  <c r="E27" i="9"/>
  <c r="D27" i="9"/>
  <c r="D6" i="9"/>
  <c r="E442" i="5" s="1"/>
  <c r="D28" i="9"/>
  <c r="D36" i="9"/>
  <c r="D40" i="9"/>
  <c r="D44" i="9"/>
  <c r="AB46" i="9"/>
  <c r="L46" i="9"/>
  <c r="X46" i="9"/>
  <c r="H46" i="9"/>
  <c r="D5" i="9"/>
  <c r="E173" i="5" s="1"/>
  <c r="BC6" i="9"/>
  <c r="C10" i="9"/>
  <c r="BC13" i="9"/>
  <c r="D46" i="9"/>
  <c r="BB28" i="9"/>
  <c r="AR28" i="9"/>
  <c r="AB28" i="9"/>
  <c r="L28" i="9"/>
  <c r="AN28" i="9"/>
  <c r="X28" i="9"/>
  <c r="H28" i="9"/>
  <c r="AF28" i="9"/>
  <c r="H4" i="8"/>
  <c r="B39" i="1"/>
  <c r="A30" i="17" s="1"/>
  <c r="BC18" i="9"/>
  <c r="D22" i="9"/>
  <c r="E480" i="5" s="1"/>
  <c r="C27" i="9"/>
  <c r="AJ28" i="9"/>
  <c r="D38" i="9"/>
  <c r="C11" i="9"/>
  <c r="D484" i="5" s="1"/>
  <c r="P28" i="9"/>
  <c r="BC5" i="9"/>
  <c r="C9" i="9"/>
  <c r="BC17" i="9"/>
  <c r="C21" i="9"/>
  <c r="D43" i="5" s="1"/>
  <c r="T28" i="9"/>
  <c r="AZ28" i="9"/>
  <c r="P46" i="9"/>
  <c r="A29" i="9"/>
  <c r="G29" i="9"/>
  <c r="O29" i="9"/>
  <c r="W29" i="9"/>
  <c r="AE29" i="9"/>
  <c r="AM29" i="9"/>
  <c r="AU29" i="9"/>
  <c r="BC29" i="9"/>
  <c r="N30" i="9"/>
  <c r="AL30" i="9"/>
  <c r="BC35" i="9"/>
  <c r="A47" i="9"/>
  <c r="M47" i="9"/>
  <c r="AC47" i="9"/>
  <c r="J3" i="5"/>
  <c r="B413" i="5" s="1"/>
  <c r="C25" i="9"/>
  <c r="I29" i="9"/>
  <c r="Q29" i="9"/>
  <c r="Y29" i="9"/>
  <c r="AG29" i="9"/>
  <c r="AO29" i="9"/>
  <c r="AW29" i="9"/>
  <c r="V30" i="9"/>
  <c r="Q47" i="9"/>
  <c r="AG47" i="9"/>
  <c r="C24" i="9"/>
  <c r="C26" i="9"/>
  <c r="D24" i="9"/>
  <c r="D26" i="9"/>
  <c r="BC21" i="9"/>
  <c r="E567" i="5"/>
  <c r="E552" i="5"/>
  <c r="E497" i="5"/>
  <c r="E577" i="5"/>
  <c r="N19" i="5" s="1"/>
  <c r="E529" i="5"/>
  <c r="E555" i="5"/>
  <c r="E596" i="5"/>
  <c r="BC3" i="9"/>
  <c r="C3" i="9"/>
  <c r="BC4" i="9"/>
  <c r="D3" i="9"/>
  <c r="E36" i="5" s="1"/>
  <c r="C4" i="9"/>
  <c r="C16" i="9"/>
  <c r="D513" i="5" s="1"/>
  <c r="C17" i="9"/>
  <c r="D18" i="9"/>
  <c r="E486" i="5" s="1"/>
  <c r="C7" i="9"/>
  <c r="D514" i="5" s="1"/>
  <c r="C12" i="9"/>
  <c r="D488" i="5" s="1"/>
  <c r="D13" i="9"/>
  <c r="E479" i="5" s="1"/>
  <c r="C15" i="9"/>
  <c r="D180" i="5" s="1"/>
  <c r="D16" i="9"/>
  <c r="AZ30" i="9"/>
  <c r="AV30" i="9"/>
  <c r="AR30" i="9"/>
  <c r="AN30" i="9"/>
  <c r="AJ30" i="9"/>
  <c r="AF30" i="9"/>
  <c r="AB30" i="9"/>
  <c r="X30" i="9"/>
  <c r="T30" i="9"/>
  <c r="P30" i="9"/>
  <c r="L30" i="9"/>
  <c r="H30" i="9"/>
  <c r="D30" i="9"/>
  <c r="BC30" i="9"/>
  <c r="AY30" i="9"/>
  <c r="AU30" i="9"/>
  <c r="AQ30" i="9"/>
  <c r="AM30" i="9"/>
  <c r="AI30" i="9"/>
  <c r="AE30" i="9"/>
  <c r="AA30" i="9"/>
  <c r="W30" i="9"/>
  <c r="S30" i="9"/>
  <c r="O30" i="9"/>
  <c r="K30" i="9"/>
  <c r="G30" i="9"/>
  <c r="C30" i="9"/>
  <c r="BA30" i="9"/>
  <c r="AW30" i="9"/>
  <c r="AS30" i="9"/>
  <c r="AO30" i="9"/>
  <c r="AK30" i="9"/>
  <c r="AG30" i="9"/>
  <c r="AC30" i="9"/>
  <c r="Y30" i="9"/>
  <c r="U30" i="9"/>
  <c r="Q30" i="9"/>
  <c r="M30" i="9"/>
  <c r="I30" i="9"/>
  <c r="E30" i="9"/>
  <c r="A30" i="9"/>
  <c r="R30" i="9"/>
  <c r="AH30" i="9"/>
  <c r="AX30" i="9"/>
  <c r="D25" i="9"/>
  <c r="E481" i="5" s="1"/>
  <c r="C28" i="9"/>
  <c r="G28" i="9"/>
  <c r="K28" i="9"/>
  <c r="O28" i="9"/>
  <c r="S28" i="9"/>
  <c r="W28" i="9"/>
  <c r="AA28" i="9"/>
  <c r="AE28" i="9"/>
  <c r="AI28" i="9"/>
  <c r="AM28" i="9"/>
  <c r="AQ28" i="9"/>
  <c r="AU28" i="9"/>
  <c r="AY28" i="9"/>
  <c r="BC28" i="9"/>
  <c r="D29" i="9"/>
  <c r="H29" i="9"/>
  <c r="L29" i="9"/>
  <c r="P29" i="9"/>
  <c r="T29" i="9"/>
  <c r="X29" i="9"/>
  <c r="AB29" i="9"/>
  <c r="AF29" i="9"/>
  <c r="AJ29" i="9"/>
  <c r="AN29" i="9"/>
  <c r="AR29" i="9"/>
  <c r="AV29" i="9"/>
  <c r="AZ29" i="9"/>
  <c r="C35" i="9"/>
  <c r="C36" i="9"/>
  <c r="C37" i="9"/>
  <c r="C38" i="9"/>
  <c r="C39" i="9"/>
  <c r="C40" i="9"/>
  <c r="C41" i="9"/>
  <c r="C42" i="9"/>
  <c r="C43" i="9"/>
  <c r="C44" i="9"/>
  <c r="C46" i="9"/>
  <c r="G46" i="9"/>
  <c r="K46" i="9"/>
  <c r="O46" i="9"/>
  <c r="S46" i="9"/>
  <c r="W46" i="9"/>
  <c r="AA46" i="9"/>
  <c r="D47" i="9"/>
  <c r="H47" i="9"/>
  <c r="L47" i="9"/>
  <c r="P47" i="9"/>
  <c r="T47" i="9"/>
  <c r="X47" i="9"/>
  <c r="AB47" i="9"/>
  <c r="AF47" i="9"/>
  <c r="AM47" i="9"/>
  <c r="AU47" i="9"/>
  <c r="BC47" i="9"/>
  <c r="B577" i="5"/>
  <c r="B521" i="5"/>
  <c r="B384" i="5"/>
  <c r="B247" i="5"/>
  <c r="B440" i="5"/>
  <c r="B412" i="5"/>
  <c r="B275" i="5"/>
  <c r="B493" i="5"/>
  <c r="B303" i="5"/>
  <c r="B4" i="5"/>
  <c r="B549" i="5"/>
  <c r="B331" i="5"/>
  <c r="B194" i="5"/>
  <c r="B141" i="5"/>
  <c r="B113" i="5"/>
  <c r="B85" i="5"/>
  <c r="B57" i="5"/>
  <c r="B494" i="5"/>
  <c r="B441" i="5"/>
  <c r="B304" i="5"/>
  <c r="B195" i="5"/>
  <c r="A28" i="9"/>
  <c r="E28" i="9"/>
  <c r="I28" i="9"/>
  <c r="M28" i="9"/>
  <c r="Q28" i="9"/>
  <c r="U28" i="9"/>
  <c r="Y28" i="9"/>
  <c r="AC28" i="9"/>
  <c r="AG28" i="9"/>
  <c r="AK28" i="9"/>
  <c r="AO28" i="9"/>
  <c r="AS28" i="9"/>
  <c r="AW28" i="9"/>
  <c r="BA28" i="9"/>
  <c r="F29" i="9"/>
  <c r="J29" i="9"/>
  <c r="N29" i="9"/>
  <c r="R29" i="9"/>
  <c r="V29" i="9"/>
  <c r="Z29" i="9"/>
  <c r="AD29" i="9"/>
  <c r="AH29" i="9"/>
  <c r="AL29" i="9"/>
  <c r="AP29" i="9"/>
  <c r="AT29" i="9"/>
  <c r="AX29" i="9"/>
  <c r="E46" i="9"/>
  <c r="I46" i="9"/>
  <c r="M46" i="9"/>
  <c r="Q46" i="9"/>
  <c r="U46" i="9"/>
  <c r="Y46" i="9"/>
  <c r="AC46" i="9"/>
  <c r="BB47" i="9"/>
  <c r="AX47" i="9"/>
  <c r="AT47" i="9"/>
  <c r="AP47" i="9"/>
  <c r="AL47" i="9"/>
  <c r="AH47" i="9"/>
  <c r="AZ47" i="9"/>
  <c r="AV47" i="9"/>
  <c r="AR47" i="9"/>
  <c r="AN47" i="9"/>
  <c r="AJ47" i="9"/>
  <c r="F47" i="9"/>
  <c r="J47" i="9"/>
  <c r="N47" i="9"/>
  <c r="R47" i="9"/>
  <c r="V47" i="9"/>
  <c r="Z47" i="9"/>
  <c r="AD47" i="9"/>
  <c r="AI47" i="9"/>
  <c r="AQ47" i="9"/>
  <c r="AY47" i="9"/>
  <c r="F28" i="9"/>
  <c r="J28" i="9"/>
  <c r="N28" i="9"/>
  <c r="R28" i="9"/>
  <c r="V28" i="9"/>
  <c r="Z28" i="9"/>
  <c r="AD28" i="9"/>
  <c r="AH28" i="9"/>
  <c r="AL28" i="9"/>
  <c r="AP28" i="9"/>
  <c r="AT28" i="9"/>
  <c r="AX28" i="9"/>
  <c r="F46" i="9"/>
  <c r="J46" i="9"/>
  <c r="N46" i="9"/>
  <c r="R46" i="9"/>
  <c r="V46" i="9"/>
  <c r="Z46" i="9"/>
  <c r="C47" i="9"/>
  <c r="G47" i="9"/>
  <c r="K47" i="9"/>
  <c r="O47" i="9"/>
  <c r="S47" i="9"/>
  <c r="W47" i="9"/>
  <c r="AA47" i="9"/>
  <c r="AE47" i="9"/>
  <c r="AK47" i="9"/>
  <c r="AS47" i="9"/>
  <c r="BA47" i="9"/>
  <c r="BC22" i="9"/>
  <c r="C8" i="9"/>
  <c r="D8" i="9"/>
  <c r="E178" i="5" s="1"/>
  <c r="BC11" i="9"/>
  <c r="BC15" i="9"/>
  <c r="BC19" i="9"/>
  <c r="B20" i="1"/>
  <c r="A14" i="17" s="1"/>
  <c r="B15" i="1"/>
  <c r="A9" i="17" s="1"/>
  <c r="B23" i="1"/>
  <c r="A17" i="17" s="1"/>
  <c r="C20" i="9"/>
  <c r="D45" i="5" s="1"/>
  <c r="D20" i="9"/>
  <c r="BC20" i="9"/>
  <c r="D346" i="5"/>
  <c r="E413" i="5"/>
  <c r="E335" i="5"/>
  <c r="E419" i="5"/>
  <c r="E332" i="5"/>
  <c r="E196" i="5"/>
  <c r="E165" i="5"/>
  <c r="Q7" i="5" s="1"/>
  <c r="E29" i="5"/>
  <c r="T3" i="5" s="1"/>
  <c r="E420" i="5"/>
  <c r="E337" i="5"/>
  <c r="E399" i="5"/>
  <c r="E280" i="5"/>
  <c r="E402" i="5"/>
  <c r="E253" i="5"/>
  <c r="E447" i="5"/>
  <c r="E308" i="5"/>
  <c r="E155" i="5"/>
  <c r="E207" i="5"/>
  <c r="E118" i="5"/>
  <c r="BC8" i="9"/>
  <c r="B17" i="1"/>
  <c r="A11" i="17" s="1"/>
  <c r="B21" i="1"/>
  <c r="A15" i="17" s="1"/>
  <c r="B25" i="1"/>
  <c r="A19" i="17" s="1"/>
  <c r="B18" i="1"/>
  <c r="A12" i="17" s="1"/>
  <c r="B22" i="1"/>
  <c r="A16" i="17" s="1"/>
  <c r="B26" i="1"/>
  <c r="A20" i="17" s="1"/>
  <c r="D477" i="5" l="1"/>
  <c r="D483" i="5"/>
  <c r="E258" i="5"/>
  <c r="E181" i="5"/>
  <c r="E513" i="5"/>
  <c r="E469" i="5"/>
  <c r="E494" i="5"/>
  <c r="E278" i="5"/>
  <c r="D625" i="5"/>
  <c r="D376" i="5"/>
  <c r="D232" i="5"/>
  <c r="E646" i="5"/>
  <c r="E231" i="5"/>
  <c r="E371" i="5"/>
  <c r="E250" i="5"/>
  <c r="E360" i="5"/>
  <c r="E225" i="5"/>
  <c r="E643" i="5"/>
  <c r="E237" i="5"/>
  <c r="E374" i="5"/>
  <c r="E25" i="5"/>
  <c r="E405" i="5"/>
  <c r="E409" i="5"/>
  <c r="T13" i="5" s="1"/>
  <c r="D641" i="5"/>
  <c r="D380" i="5"/>
  <c r="D238" i="5"/>
  <c r="D324" i="5"/>
  <c r="D105" i="5"/>
  <c r="D649" i="5"/>
  <c r="D242" i="5"/>
  <c r="D370" i="5"/>
  <c r="D214" i="5"/>
  <c r="E645" i="5"/>
  <c r="E381" i="5"/>
  <c r="E236" i="5"/>
  <c r="E432" i="5"/>
  <c r="E351" i="5"/>
  <c r="E460" i="5"/>
  <c r="D50" i="5"/>
  <c r="D228" i="5"/>
  <c r="D361" i="5"/>
  <c r="D638" i="5"/>
  <c r="D240" i="5"/>
  <c r="D373" i="5"/>
  <c r="D106" i="5"/>
  <c r="E635" i="5"/>
  <c r="E363" i="5"/>
  <c r="E223" i="5"/>
  <c r="E433" i="5"/>
  <c r="D674" i="5"/>
  <c r="D381" i="5"/>
  <c r="D236" i="5"/>
  <c r="D460" i="5"/>
  <c r="D432" i="5"/>
  <c r="D351" i="5"/>
  <c r="D177" i="5"/>
  <c r="D633" i="5"/>
  <c r="D226" i="5"/>
  <c r="D366" i="5"/>
  <c r="D24" i="5"/>
  <c r="D607" i="5"/>
  <c r="D364" i="5"/>
  <c r="D227" i="5"/>
  <c r="D44" i="5"/>
  <c r="E51" i="5"/>
  <c r="D644" i="5"/>
  <c r="D243" i="5"/>
  <c r="D368" i="5"/>
  <c r="D215" i="5"/>
  <c r="E550" i="5"/>
  <c r="E224" i="5"/>
  <c r="E362" i="5"/>
  <c r="E22" i="5"/>
  <c r="E190" i="5"/>
  <c r="E54" i="5"/>
  <c r="E230" i="5"/>
  <c r="E369" i="5"/>
  <c r="E268" i="5"/>
  <c r="E175" i="5"/>
  <c r="E644" i="5"/>
  <c r="E243" i="5"/>
  <c r="E368" i="5"/>
  <c r="E215" i="5"/>
  <c r="E23" i="5"/>
  <c r="E272" i="5"/>
  <c r="T9" i="5" s="1"/>
  <c r="D54" i="5"/>
  <c r="D190" i="5"/>
  <c r="D230" i="5"/>
  <c r="D369" i="5"/>
  <c r="D268" i="5"/>
  <c r="E364" i="5"/>
  <c r="E227" i="5"/>
  <c r="D659" i="5"/>
  <c r="D224" i="5"/>
  <c r="D362" i="5"/>
  <c r="E53" i="5"/>
  <c r="E239" i="5"/>
  <c r="E378" i="5"/>
  <c r="E352" i="5"/>
  <c r="E461" i="5"/>
  <c r="E323" i="5"/>
  <c r="E295" i="5"/>
  <c r="D622" i="5"/>
  <c r="D377" i="5"/>
  <c r="D241" i="5"/>
  <c r="D404" i="5"/>
  <c r="D78" i="5"/>
  <c r="D267" i="5"/>
  <c r="D172" i="5"/>
  <c r="D365" i="5"/>
  <c r="D229" i="5"/>
  <c r="D296" i="5"/>
  <c r="E677" i="5"/>
  <c r="E191" i="5"/>
  <c r="E234" i="5"/>
  <c r="E372" i="5"/>
  <c r="E77" i="5"/>
  <c r="E620" i="5"/>
  <c r="E240" i="5"/>
  <c r="E373" i="5"/>
  <c r="E106" i="5"/>
  <c r="E640" i="5"/>
  <c r="E244" i="5"/>
  <c r="E379" i="5"/>
  <c r="D415" i="5"/>
  <c r="D672" i="5"/>
  <c r="D235" i="5"/>
  <c r="D375" i="5"/>
  <c r="D53" i="5"/>
  <c r="D239" i="5"/>
  <c r="D378" i="5"/>
  <c r="D352" i="5"/>
  <c r="D461" i="5"/>
  <c r="D323" i="5"/>
  <c r="D295" i="5"/>
  <c r="D677" i="5"/>
  <c r="D191" i="5"/>
  <c r="D372" i="5"/>
  <c r="D234" i="5"/>
  <c r="D77" i="5"/>
  <c r="E648" i="5"/>
  <c r="E233" i="5"/>
  <c r="E367" i="5"/>
  <c r="E39" i="5"/>
  <c r="F438" i="5"/>
  <c r="F712" i="5"/>
  <c r="C301" i="5"/>
  <c r="E25" i="9" s="1"/>
  <c r="C438" i="5"/>
  <c r="C575" i="5"/>
  <c r="F220" i="5"/>
  <c r="B111" i="5"/>
  <c r="F139" i="5"/>
  <c r="B522" i="5"/>
  <c r="B58" i="5"/>
  <c r="B550" i="5"/>
  <c r="E24" i="9"/>
  <c r="B142" i="5"/>
  <c r="BC23" i="9"/>
  <c r="E608" i="5"/>
  <c r="D621" i="5"/>
  <c r="E458" i="5"/>
  <c r="E609" i="5"/>
  <c r="D612" i="5"/>
  <c r="E671" i="5"/>
  <c r="D608" i="5"/>
  <c r="E616" i="5"/>
  <c r="E676" i="5"/>
  <c r="E673" i="5"/>
  <c r="E251" i="5"/>
  <c r="E525" i="5"/>
  <c r="E615" i="5"/>
  <c r="D618" i="5"/>
  <c r="E666" i="5"/>
  <c r="D614" i="5"/>
  <c r="E445" i="5"/>
  <c r="E92" i="5"/>
  <c r="D624" i="5"/>
  <c r="D669" i="5"/>
  <c r="D620" i="5"/>
  <c r="D665" i="5"/>
  <c r="E624" i="5"/>
  <c r="E282" i="5"/>
  <c r="D487" i="5"/>
  <c r="D645" i="5"/>
  <c r="E474" i="5"/>
  <c r="E639" i="5"/>
  <c r="D474" i="5"/>
  <c r="D639" i="5"/>
  <c r="D144" i="5"/>
  <c r="D632" i="5"/>
  <c r="E422" i="5"/>
  <c r="E638" i="5"/>
  <c r="E483" i="5"/>
  <c r="E655" i="5"/>
  <c r="T20" i="5" s="1"/>
  <c r="E637" i="5"/>
  <c r="D473" i="5"/>
  <c r="D647" i="5"/>
  <c r="D654" i="5"/>
  <c r="D630" i="5"/>
  <c r="D566" i="5"/>
  <c r="D642" i="5"/>
  <c r="D482" i="5"/>
  <c r="D636" i="5"/>
  <c r="D485" i="5"/>
  <c r="D634" i="5"/>
  <c r="E471" i="5"/>
  <c r="E632" i="5"/>
  <c r="D443" i="5"/>
  <c r="D631" i="5"/>
  <c r="E91" i="5"/>
  <c r="D115" i="5"/>
  <c r="D254" i="5"/>
  <c r="E177" i="5"/>
  <c r="E488" i="5"/>
  <c r="E403" i="5"/>
  <c r="D10" i="5"/>
  <c r="D486" i="5"/>
  <c r="E595" i="5"/>
  <c r="D186" i="5"/>
  <c r="D469" i="5"/>
  <c r="D173" i="5"/>
  <c r="D480" i="5"/>
  <c r="E184" i="5"/>
  <c r="E477" i="5"/>
  <c r="E206" i="5"/>
  <c r="E179" i="5"/>
  <c r="E476" i="5"/>
  <c r="D175" i="5"/>
  <c r="D479" i="5"/>
  <c r="E182" i="5"/>
  <c r="E478" i="5"/>
  <c r="D183" i="5"/>
  <c r="D475" i="5"/>
  <c r="E180" i="5"/>
  <c r="E484" i="5"/>
  <c r="D182" i="5"/>
  <c r="D478" i="5"/>
  <c r="D171" i="5"/>
  <c r="D470" i="5"/>
  <c r="E132" i="5"/>
  <c r="E487" i="5"/>
  <c r="D505" i="5"/>
  <c r="D174" i="5"/>
  <c r="D481" i="5"/>
  <c r="D170" i="5"/>
  <c r="D471" i="5"/>
  <c r="E183" i="5"/>
  <c r="E475" i="5"/>
  <c r="E189" i="5"/>
  <c r="E472" i="5"/>
  <c r="E276" i="5"/>
  <c r="E153" i="5"/>
  <c r="D48" i="5"/>
  <c r="D181" i="5"/>
  <c r="D51" i="5"/>
  <c r="D178" i="5"/>
  <c r="D42" i="5"/>
  <c r="D187" i="5"/>
  <c r="D52" i="5"/>
  <c r="D185" i="5"/>
  <c r="E116" i="5"/>
  <c r="E143" i="5"/>
  <c r="E74" i="5"/>
  <c r="E98" i="5"/>
  <c r="E188" i="5"/>
  <c r="E40" i="5"/>
  <c r="E170" i="5"/>
  <c r="D49" i="5"/>
  <c r="D188" i="5"/>
  <c r="D39" i="5"/>
  <c r="D176" i="5"/>
  <c r="D213" i="5"/>
  <c r="E33" i="5"/>
  <c r="E172" i="5"/>
  <c r="E52" i="5"/>
  <c r="E185" i="5"/>
  <c r="E58" i="5"/>
  <c r="E86" i="5"/>
  <c r="E4" i="5"/>
  <c r="D89" i="5"/>
  <c r="D46" i="5"/>
  <c r="D517" i="5"/>
  <c r="D47" i="5"/>
  <c r="E286" i="5"/>
  <c r="E43" i="5"/>
  <c r="D464" i="5"/>
  <c r="D34" i="5"/>
  <c r="E131" i="5"/>
  <c r="E49" i="5"/>
  <c r="D306" i="5"/>
  <c r="D41" i="5"/>
  <c r="E499" i="5"/>
  <c r="E46" i="5"/>
  <c r="D521" i="5"/>
  <c r="D40" i="5"/>
  <c r="E197" i="5"/>
  <c r="E47" i="5"/>
  <c r="E152" i="5"/>
  <c r="E37" i="5"/>
  <c r="E459" i="5"/>
  <c r="E44" i="5"/>
  <c r="D448" i="5"/>
  <c r="D38" i="5"/>
  <c r="D601" i="5"/>
  <c r="D35" i="5"/>
  <c r="D512" i="5"/>
  <c r="D36" i="5"/>
  <c r="E73" i="5"/>
  <c r="E50" i="5"/>
  <c r="E126" i="5"/>
  <c r="E45" i="5"/>
  <c r="B361" i="5"/>
  <c r="B224" i="5"/>
  <c r="B470" i="5"/>
  <c r="B607" i="5"/>
  <c r="B34" i="5"/>
  <c r="B171" i="5"/>
  <c r="B659" i="5"/>
  <c r="B799" i="5"/>
  <c r="B687" i="5"/>
  <c r="B771" i="5"/>
  <c r="B715" i="5"/>
  <c r="B743" i="5"/>
  <c r="B631" i="5"/>
  <c r="E109" i="5"/>
  <c r="Q5" i="5" s="1"/>
  <c r="E310" i="5"/>
  <c r="E6" i="5"/>
  <c r="E558" i="5"/>
  <c r="D61" i="5"/>
  <c r="E500" i="5"/>
  <c r="E496" i="5"/>
  <c r="E425" i="5"/>
  <c r="E594" i="5"/>
  <c r="D573" i="5"/>
  <c r="D551" i="5"/>
  <c r="E584" i="5"/>
  <c r="D578" i="5"/>
  <c r="D594" i="5"/>
  <c r="E26" i="9"/>
  <c r="D582" i="5"/>
  <c r="E313" i="5"/>
  <c r="E60" i="5"/>
  <c r="E453" i="5"/>
  <c r="D82" i="5"/>
  <c r="E534" i="5"/>
  <c r="E303" i="5"/>
  <c r="N11" i="5" s="1"/>
  <c r="D248" i="5"/>
  <c r="D87" i="5"/>
  <c r="D64" i="5"/>
  <c r="E340" i="5"/>
  <c r="E305" i="5"/>
  <c r="D545" i="5"/>
  <c r="D522" i="5"/>
  <c r="E539" i="5"/>
  <c r="E523" i="5"/>
  <c r="E202" i="5"/>
  <c r="E384" i="5"/>
  <c r="N13" i="5" s="1"/>
  <c r="E437" i="5"/>
  <c r="T14" i="5" s="1"/>
  <c r="E10" i="5"/>
  <c r="E142" i="5"/>
  <c r="E355" i="5"/>
  <c r="Q12" i="5" s="1"/>
  <c r="E328" i="5"/>
  <c r="T11" i="5" s="1"/>
  <c r="E436" i="5"/>
  <c r="Q14" i="5" s="1"/>
  <c r="D356" i="5"/>
  <c r="E104" i="5"/>
  <c r="E252" i="5"/>
  <c r="E416" i="5"/>
  <c r="E137" i="5"/>
  <c r="Q6" i="5" s="1"/>
  <c r="E113" i="5"/>
  <c r="N6" i="5" s="1"/>
  <c r="D145" i="5"/>
  <c r="D277" i="5"/>
  <c r="D117" i="5"/>
  <c r="D327" i="5"/>
  <c r="D279" i="5"/>
  <c r="E426" i="5"/>
  <c r="D400" i="5"/>
  <c r="D501" i="5"/>
  <c r="E347" i="5"/>
  <c r="D138" i="5"/>
  <c r="E398" i="5"/>
  <c r="D465" i="5"/>
  <c r="E66" i="5"/>
  <c r="E283" i="5"/>
  <c r="D81" i="5"/>
  <c r="D414" i="5"/>
  <c r="E19" i="5"/>
  <c r="E285" i="5"/>
  <c r="D59" i="5"/>
  <c r="D304" i="5"/>
  <c r="D440" i="5"/>
  <c r="E88" i="5"/>
  <c r="D7" i="5"/>
  <c r="D195" i="5"/>
  <c r="D271" i="5"/>
  <c r="Q9" i="5" s="1"/>
  <c r="D252" i="5"/>
  <c r="D62" i="5"/>
  <c r="D399" i="5"/>
  <c r="D8" i="5"/>
  <c r="E315" i="5"/>
  <c r="E314" i="5"/>
  <c r="E423" i="5"/>
  <c r="D249" i="5"/>
  <c r="D333" i="5"/>
  <c r="D385" i="5"/>
  <c r="D300" i="5"/>
  <c r="E451" i="5"/>
  <c r="E16" i="5"/>
  <c r="D493" i="5"/>
  <c r="E5" i="9"/>
  <c r="E6" i="9"/>
  <c r="E23" i="9"/>
  <c r="E10" i="9"/>
  <c r="E9" i="5"/>
  <c r="D119" i="5"/>
  <c r="D73" i="5"/>
  <c r="D253" i="5"/>
  <c r="D282" i="5"/>
  <c r="D104" i="5"/>
  <c r="D126" i="5"/>
  <c r="E586" i="5"/>
  <c r="D207" i="5"/>
  <c r="E68" i="5"/>
  <c r="D340" i="5"/>
  <c r="D315" i="5"/>
  <c r="D423" i="5"/>
  <c r="E339" i="5"/>
  <c r="E446" i="5"/>
  <c r="E200" i="5"/>
  <c r="E103" i="5"/>
  <c r="E256" i="5"/>
  <c r="E288" i="5"/>
  <c r="E260" i="5"/>
  <c r="E386" i="5"/>
  <c r="E13" i="5"/>
  <c r="D208" i="5"/>
  <c r="D455" i="5"/>
  <c r="D281" i="5"/>
  <c r="D130" i="5"/>
  <c r="D568" i="5"/>
  <c r="E14" i="5"/>
  <c r="E129" i="5"/>
  <c r="E219" i="5"/>
  <c r="T8" i="5" s="1"/>
  <c r="E146" i="5"/>
  <c r="E334" i="5"/>
  <c r="D401" i="5"/>
  <c r="D15" i="5"/>
  <c r="E64" i="5"/>
  <c r="E90" i="5"/>
  <c r="E254" i="5"/>
  <c r="E309" i="5"/>
  <c r="E417" i="5"/>
  <c r="E392" i="5"/>
  <c r="E319" i="5"/>
  <c r="E149" i="5"/>
  <c r="E507" i="5"/>
  <c r="E198" i="5"/>
  <c r="D16" i="5"/>
  <c r="E97" i="5"/>
  <c r="D314" i="5"/>
  <c r="E110" i="5"/>
  <c r="T5" i="5" s="1"/>
  <c r="E397" i="5"/>
  <c r="E284" i="5"/>
  <c r="D23" i="5"/>
  <c r="E125" i="5"/>
  <c r="D341" i="5"/>
  <c r="D218" i="5"/>
  <c r="D58" i="5"/>
  <c r="D91" i="5"/>
  <c r="D128" i="5"/>
  <c r="D260" i="5"/>
  <c r="E535" i="5"/>
  <c r="D76" i="5"/>
  <c r="D276" i="5"/>
  <c r="D264" i="5"/>
  <c r="D452" i="5"/>
  <c r="D150" i="5"/>
  <c r="D142" i="5"/>
  <c r="E560" i="5"/>
  <c r="D425" i="5"/>
  <c r="D402" i="5"/>
  <c r="E511" i="5"/>
  <c r="E546" i="5"/>
  <c r="T17" i="5" s="1"/>
  <c r="E424" i="5"/>
  <c r="D101" i="5"/>
  <c r="D458" i="5"/>
  <c r="D292" i="5"/>
  <c r="D266" i="5"/>
  <c r="D450" i="5"/>
  <c r="D388" i="5"/>
  <c r="D204" i="5"/>
  <c r="D345" i="5"/>
  <c r="E263" i="5"/>
  <c r="E291" i="5"/>
  <c r="E391" i="5"/>
  <c r="D581" i="5"/>
  <c r="E537" i="5"/>
  <c r="D532" i="5"/>
  <c r="D72" i="5"/>
  <c r="D158" i="5"/>
  <c r="D98" i="5"/>
  <c r="D160" i="5"/>
  <c r="E205" i="5"/>
  <c r="D280" i="5"/>
  <c r="D336" i="5"/>
  <c r="E350" i="5"/>
  <c r="E147" i="5"/>
  <c r="D556" i="5"/>
  <c r="D536" i="5"/>
  <c r="D593" i="5"/>
  <c r="D509" i="5"/>
  <c r="D310" i="5"/>
  <c r="D308" i="5"/>
  <c r="D75" i="5"/>
  <c r="D120" i="5"/>
  <c r="D211" i="5"/>
  <c r="D322" i="5"/>
  <c r="D20" i="5"/>
  <c r="D283" i="5"/>
  <c r="D257" i="5"/>
  <c r="E321" i="5"/>
  <c r="D420" i="5"/>
  <c r="D102" i="5"/>
  <c r="D148" i="5"/>
  <c r="D199" i="5"/>
  <c r="D393" i="5"/>
  <c r="D430" i="5"/>
  <c r="D416" i="5"/>
  <c r="D456" i="5"/>
  <c r="E69" i="5"/>
  <c r="D527" i="5"/>
  <c r="D564" i="5"/>
  <c r="E510" i="5"/>
  <c r="E591" i="5"/>
  <c r="E557" i="5"/>
  <c r="E418" i="5"/>
  <c r="E431" i="5"/>
  <c r="D22" i="5"/>
  <c r="D131" i="5"/>
  <c r="D386" i="5"/>
  <c r="E395" i="5"/>
  <c r="D212" i="5"/>
  <c r="D103" i="5"/>
  <c r="D13" i="5"/>
  <c r="D586" i="5"/>
  <c r="E261" i="5"/>
  <c r="E390" i="5"/>
  <c r="D156" i="5"/>
  <c r="E427" i="5"/>
  <c r="D453" i="5"/>
  <c r="D132" i="5"/>
  <c r="E561" i="5"/>
  <c r="D313" i="5"/>
  <c r="E63" i="5"/>
  <c r="E76" i="5"/>
  <c r="E150" i="5"/>
  <c r="D206" i="5"/>
  <c r="E122" i="5"/>
  <c r="E294" i="5"/>
  <c r="E338" i="5"/>
  <c r="D403" i="5"/>
  <c r="E114" i="5"/>
  <c r="E203" i="5"/>
  <c r="E210" i="5"/>
  <c r="E452" i="5"/>
  <c r="E311" i="5"/>
  <c r="E21" i="5"/>
  <c r="E154" i="5"/>
  <c r="E349" i="5"/>
  <c r="E281" i="5"/>
  <c r="E166" i="5"/>
  <c r="T7" i="5" s="1"/>
  <c r="D445" i="5"/>
  <c r="E588" i="5"/>
  <c r="E95" i="5"/>
  <c r="D258" i="5"/>
  <c r="E318" i="5"/>
  <c r="E11" i="5"/>
  <c r="E93" i="5"/>
  <c r="E455" i="5"/>
  <c r="E130" i="5"/>
  <c r="E304" i="5"/>
  <c r="E412" i="5"/>
  <c r="N14" i="5" s="1"/>
  <c r="E538" i="5"/>
  <c r="D339" i="5"/>
  <c r="D149" i="5"/>
  <c r="E157" i="5"/>
  <c r="D319" i="5"/>
  <c r="E454" i="5"/>
  <c r="D29" i="5"/>
  <c r="D109" i="5"/>
  <c r="D250" i="5"/>
  <c r="D256" i="5"/>
  <c r="D68" i="5"/>
  <c r="E592" i="5"/>
  <c r="E540" i="5"/>
  <c r="D511" i="5"/>
  <c r="E565" i="5"/>
  <c r="D590" i="5"/>
  <c r="B24" i="8"/>
  <c r="B25" i="8" s="1"/>
  <c r="B26" i="8" s="1"/>
  <c r="B27" i="8" s="1"/>
  <c r="E71" i="5"/>
  <c r="E127" i="5"/>
  <c r="D312" i="5"/>
  <c r="E262" i="5"/>
  <c r="E320" i="5"/>
  <c r="D457" i="5"/>
  <c r="D165" i="5"/>
  <c r="E344" i="5"/>
  <c r="E506" i="5"/>
  <c r="E568" i="5"/>
  <c r="D288" i="5"/>
  <c r="E394" i="5"/>
  <c r="E100" i="5"/>
  <c r="E293" i="5"/>
  <c r="D290" i="5"/>
  <c r="D446" i="5"/>
  <c r="E208" i="5"/>
  <c r="D396" i="5"/>
  <c r="D426" i="5"/>
  <c r="D398" i="5"/>
  <c r="D200" i="5"/>
  <c r="D560" i="5"/>
  <c r="D535" i="5"/>
  <c r="E587" i="5"/>
  <c r="E556" i="5"/>
  <c r="E527" i="5"/>
  <c r="D67" i="5"/>
  <c r="E120" i="5"/>
  <c r="D99" i="5"/>
  <c r="E204" i="5"/>
  <c r="E341" i="5"/>
  <c r="D259" i="5"/>
  <c r="E401" i="5"/>
  <c r="E450" i="5"/>
  <c r="D429" i="5"/>
  <c r="D584" i="5"/>
  <c r="E563" i="5"/>
  <c r="D530" i="5"/>
  <c r="D587" i="5"/>
  <c r="D554" i="5"/>
  <c r="D18" i="5"/>
  <c r="E102" i="5"/>
  <c r="D124" i="5"/>
  <c r="E266" i="5"/>
  <c r="D348" i="5"/>
  <c r="D116" i="5"/>
  <c r="D502" i="5"/>
  <c r="E502" i="5"/>
  <c r="E531" i="5"/>
  <c r="E589" i="5"/>
  <c r="E508" i="5"/>
  <c r="D563" i="5"/>
  <c r="E15" i="5"/>
  <c r="E62" i="5"/>
  <c r="E160" i="5"/>
  <c r="D595" i="5"/>
  <c r="D147" i="5"/>
  <c r="D449" i="5"/>
  <c r="D209" i="5"/>
  <c r="D390" i="5"/>
  <c r="D349" i="5"/>
  <c r="E393" i="5"/>
  <c r="E213" i="5"/>
  <c r="D94" i="5"/>
  <c r="D96" i="5"/>
  <c r="E465" i="5"/>
  <c r="T15" i="5" s="1"/>
  <c r="E306" i="5"/>
  <c r="D9" i="5"/>
  <c r="D350" i="5"/>
  <c r="D328" i="5"/>
  <c r="D275" i="5"/>
  <c r="E299" i="5"/>
  <c r="Q10" i="5" s="1"/>
  <c r="D11" i="5"/>
  <c r="E388" i="5"/>
  <c r="D395" i="5"/>
  <c r="E115" i="5"/>
  <c r="E28" i="5"/>
  <c r="Q3" i="5" s="1"/>
  <c r="E141" i="5"/>
  <c r="E194" i="5"/>
  <c r="N8" i="5" s="1"/>
  <c r="E247" i="5"/>
  <c r="N9" i="5" s="1"/>
  <c r="E408" i="5"/>
  <c r="Q13" i="5" s="1"/>
  <c r="D122" i="5"/>
  <c r="E199" i="5"/>
  <c r="E72" i="5"/>
  <c r="D154" i="5"/>
  <c r="E257" i="5"/>
  <c r="E75" i="5"/>
  <c r="E148" i="5"/>
  <c r="E158" i="5"/>
  <c r="D210" i="5"/>
  <c r="E336" i="5"/>
  <c r="D418" i="5"/>
  <c r="D311" i="5"/>
  <c r="D421" i="5"/>
  <c r="E385" i="5"/>
  <c r="E356" i="5"/>
  <c r="T12" i="5" s="1"/>
  <c r="E218" i="5"/>
  <c r="Q8" i="5" s="1"/>
  <c r="E275" i="5"/>
  <c r="N10" i="5" s="1"/>
  <c r="E307" i="5"/>
  <c r="E578" i="5"/>
  <c r="D63" i="5"/>
  <c r="E5" i="5"/>
  <c r="D261" i="5"/>
  <c r="D93" i="5"/>
  <c r="E119" i="5"/>
  <c r="D338" i="5"/>
  <c r="E144" i="5"/>
  <c r="E85" i="5"/>
  <c r="N5" i="5" s="1"/>
  <c r="E57" i="5"/>
  <c r="N4" i="5" s="1"/>
  <c r="E331" i="5"/>
  <c r="N12" i="5" s="1"/>
  <c r="E441" i="5"/>
  <c r="E101" i="5"/>
  <c r="D70" i="5"/>
  <c r="D205" i="5"/>
  <c r="D65" i="5"/>
  <c r="D343" i="5"/>
  <c r="E271" i="5"/>
  <c r="D320" i="5"/>
  <c r="E20" i="5"/>
  <c r="E505" i="5"/>
  <c r="E345" i="5"/>
  <c r="D17" i="5"/>
  <c r="D265" i="5"/>
  <c r="D389" i="5"/>
  <c r="E322" i="5"/>
  <c r="D262" i="5"/>
  <c r="D424" i="5"/>
  <c r="D342" i="5"/>
  <c r="D255" i="5"/>
  <c r="D263" i="5"/>
  <c r="D293" i="5"/>
  <c r="D444" i="5"/>
  <c r="D437" i="5"/>
  <c r="D392" i="5"/>
  <c r="E300" i="5"/>
  <c r="T10" i="5" s="1"/>
  <c r="D157" i="5"/>
  <c r="E128" i="5"/>
  <c r="E593" i="5"/>
  <c r="E536" i="5"/>
  <c r="D451" i="5"/>
  <c r="D125" i="5"/>
  <c r="D289" i="5"/>
  <c r="E430" i="5"/>
  <c r="E248" i="5"/>
  <c r="E195" i="5"/>
  <c r="E509" i="5"/>
  <c r="D97" i="5"/>
  <c r="E159" i="5"/>
  <c r="E287" i="5"/>
  <c r="E211" i="5"/>
  <c r="E255" i="5"/>
  <c r="D287" i="5"/>
  <c r="D316" i="5"/>
  <c r="E456" i="5"/>
  <c r="D391" i="5"/>
  <c r="D251" i="5"/>
  <c r="E400" i="5"/>
  <c r="E7" i="5"/>
  <c r="E346" i="5"/>
  <c r="E87" i="5"/>
  <c r="D12" i="5"/>
  <c r="D74" i="5"/>
  <c r="D159" i="5"/>
  <c r="D286" i="5"/>
  <c r="D69" i="5"/>
  <c r="D202" i="5"/>
  <c r="E259" i="5"/>
  <c r="D291" i="5"/>
  <c r="D151" i="5"/>
  <c r="D321" i="5"/>
  <c r="D155" i="5"/>
  <c r="E292" i="5"/>
  <c r="E429" i="5"/>
  <c r="D337" i="5"/>
  <c r="D428" i="5"/>
  <c r="D121" i="5"/>
  <c r="D152" i="5"/>
  <c r="E264" i="5"/>
  <c r="D285" i="5"/>
  <c r="D387" i="5"/>
  <c r="D454" i="5"/>
  <c r="D303" i="5"/>
  <c r="E89" i="5"/>
  <c r="D57" i="5"/>
  <c r="E279" i="5"/>
  <c r="E61" i="5"/>
  <c r="E443" i="5"/>
  <c r="E414" i="5"/>
  <c r="D419" i="5"/>
  <c r="D332" i="5"/>
  <c r="E573" i="5"/>
  <c r="Q18" i="5" s="1"/>
  <c r="D540" i="5"/>
  <c r="E564" i="5"/>
  <c r="D592" i="5"/>
  <c r="E289" i="5"/>
  <c r="E94" i="5"/>
  <c r="E316" i="5"/>
  <c r="D6" i="5"/>
  <c r="E59" i="5"/>
  <c r="E415" i="5"/>
  <c r="D5" i="5"/>
  <c r="D247" i="5"/>
  <c r="E12" i="5"/>
  <c r="D28" i="5"/>
  <c r="D71" i="5"/>
  <c r="D100" i="5"/>
  <c r="E18" i="5"/>
  <c r="D66" i="5"/>
  <c r="E212" i="5"/>
  <c r="D347" i="5"/>
  <c r="D447" i="5"/>
  <c r="E265" i="5"/>
  <c r="E348" i="5"/>
  <c r="D427" i="5"/>
  <c r="E151" i="5"/>
  <c r="D294" i="5"/>
  <c r="D318" i="5"/>
  <c r="D344" i="5"/>
  <c r="D394" i="5"/>
  <c r="E428" i="5"/>
  <c r="D88" i="5"/>
  <c r="D60" i="5"/>
  <c r="D436" i="5"/>
  <c r="D409" i="5"/>
  <c r="E8" i="5"/>
  <c r="E249" i="5"/>
  <c r="E327" i="5"/>
  <c r="Q11" i="5" s="1"/>
  <c r="E333" i="5"/>
  <c r="D85" i="5"/>
  <c r="D194" i="5"/>
  <c r="D331" i="5"/>
  <c r="D441" i="5"/>
  <c r="D412" i="5"/>
  <c r="D118" i="5"/>
  <c r="E65" i="5"/>
  <c r="D113" i="5"/>
  <c r="D305" i="5"/>
  <c r="D196" i="5"/>
  <c r="D442" i="5"/>
  <c r="D497" i="5"/>
  <c r="D508" i="5"/>
  <c r="D565" i="5"/>
  <c r="D506" i="5"/>
  <c r="D558" i="5"/>
  <c r="E545" i="5"/>
  <c r="Q17" i="5" s="1"/>
  <c r="D589" i="5"/>
  <c r="D529" i="5"/>
  <c r="D596" i="5"/>
  <c r="E123" i="5"/>
  <c r="E343" i="5"/>
  <c r="E209" i="5"/>
  <c r="D335" i="5"/>
  <c r="D384" i="5"/>
  <c r="D143" i="5"/>
  <c r="E145" i="5"/>
  <c r="E277" i="5"/>
  <c r="E440" i="5"/>
  <c r="N15" i="5" s="1"/>
  <c r="D307" i="5"/>
  <c r="D408" i="5"/>
  <c r="E121" i="5"/>
  <c r="E551" i="5"/>
  <c r="D4" i="5"/>
  <c r="D127" i="5"/>
  <c r="D21" i="5"/>
  <c r="E67" i="5"/>
  <c r="E70" i="5"/>
  <c r="D92" i="5"/>
  <c r="E124" i="5"/>
  <c r="E156" i="5"/>
  <c r="E387" i="5"/>
  <c r="D153" i="5"/>
  <c r="D203" i="5"/>
  <c r="E99" i="5"/>
  <c r="E290" i="5"/>
  <c r="E312" i="5"/>
  <c r="D431" i="5"/>
  <c r="D422" i="5"/>
  <c r="E396" i="5"/>
  <c r="E449" i="5"/>
  <c r="E457" i="5"/>
  <c r="D278" i="5"/>
  <c r="D197" i="5"/>
  <c r="D459" i="5"/>
  <c r="D413" i="5"/>
  <c r="E82" i="5"/>
  <c r="T4" i="5" s="1"/>
  <c r="E138" i="5"/>
  <c r="T6" i="5" s="1"/>
  <c r="E117" i="5"/>
  <c r="E464" i="5"/>
  <c r="Q15" i="5" s="1"/>
  <c r="D114" i="5"/>
  <c r="D299" i="5"/>
  <c r="D141" i="5"/>
  <c r="D355" i="5"/>
  <c r="E96" i="5"/>
  <c r="D86" i="5"/>
  <c r="D272" i="5"/>
  <c r="D137" i="5"/>
  <c r="D19" i="5"/>
  <c r="D95" i="5"/>
  <c r="D531" i="5"/>
  <c r="D110" i="5"/>
  <c r="D334" i="5"/>
  <c r="D219" i="5"/>
  <c r="D284" i="5"/>
  <c r="D198" i="5"/>
  <c r="D417" i="5"/>
  <c r="D90" i="5"/>
  <c r="D317" i="5"/>
  <c r="E421" i="5"/>
  <c r="E17" i="5"/>
  <c r="D146" i="5"/>
  <c r="D309" i="5"/>
  <c r="E317" i="5"/>
  <c r="D397" i="5"/>
  <c r="D201" i="5"/>
  <c r="E389" i="5"/>
  <c r="E448" i="5"/>
  <c r="D129" i="5"/>
  <c r="E201" i="5"/>
  <c r="E342" i="5"/>
  <c r="E444" i="5"/>
  <c r="D166" i="5"/>
  <c r="B86" i="5"/>
  <c r="B332" i="5"/>
  <c r="B5" i="5"/>
  <c r="B248" i="5"/>
  <c r="B578" i="5"/>
  <c r="E81" i="5"/>
  <c r="Q4" i="5" s="1"/>
  <c r="E493" i="5"/>
  <c r="N16" i="5" s="1"/>
  <c r="E517" i="5"/>
  <c r="Q16" i="5" s="1"/>
  <c r="D567" i="5"/>
  <c r="E522" i="5"/>
  <c r="D534" i="5"/>
  <c r="E566" i="5"/>
  <c r="E521" i="5"/>
  <c r="E582" i="5"/>
  <c r="H5" i="8"/>
  <c r="B40" i="1"/>
  <c r="A31" i="17" s="1"/>
  <c r="BC36" i="9"/>
  <c r="B114" i="5"/>
  <c r="J4" i="5"/>
  <c r="B276" i="5"/>
  <c r="B385" i="5"/>
  <c r="E549" i="5"/>
  <c r="N18" i="5" s="1"/>
  <c r="D496" i="5"/>
  <c r="E601" i="5"/>
  <c r="Q19" i="5" s="1"/>
  <c r="E18" i="9"/>
  <c r="E3" i="9"/>
  <c r="E15" i="9"/>
  <c r="D494" i="5"/>
  <c r="E504" i="5"/>
  <c r="D518" i="5"/>
  <c r="E554" i="5"/>
  <c r="D579" i="5"/>
  <c r="E503" i="5"/>
  <c r="D504" i="5"/>
  <c r="E533" i="5"/>
  <c r="E580" i="5"/>
  <c r="D602" i="5"/>
  <c r="D538" i="5"/>
  <c r="D553" i="5"/>
  <c r="E581" i="5"/>
  <c r="E602" i="5"/>
  <c r="T19" i="5" s="1"/>
  <c r="E518" i="5"/>
  <c r="T16" i="5" s="1"/>
  <c r="D550" i="5"/>
  <c r="E579" i="5"/>
  <c r="D588" i="5"/>
  <c r="D123" i="5"/>
  <c r="E17" i="9"/>
  <c r="E495" i="5"/>
  <c r="D498" i="5"/>
  <c r="E524" i="5"/>
  <c r="D546" i="5"/>
  <c r="D557" i="5"/>
  <c r="D525" i="5"/>
  <c r="D583" i="5"/>
  <c r="D495" i="5"/>
  <c r="D523" i="5"/>
  <c r="E574" i="5"/>
  <c r="T18" i="5" s="1"/>
  <c r="D555" i="5"/>
  <c r="E562" i="5"/>
  <c r="D574" i="5"/>
  <c r="E583" i="5"/>
  <c r="D591" i="5"/>
  <c r="D507" i="5"/>
  <c r="D537" i="5"/>
  <c r="E559" i="5"/>
  <c r="D510" i="5"/>
  <c r="E530" i="5"/>
  <c r="E553" i="5"/>
  <c r="D500" i="5"/>
  <c r="D561" i="5"/>
  <c r="E585" i="5"/>
  <c r="E498" i="5"/>
  <c r="E528" i="5"/>
  <c r="D562" i="5"/>
  <c r="D499" i="5"/>
  <c r="D526" i="5"/>
  <c r="D559" i="5"/>
  <c r="D577" i="5"/>
  <c r="E526" i="5"/>
  <c r="D585" i="5"/>
  <c r="D524" i="5"/>
  <c r="D539" i="5"/>
  <c r="E9" i="9"/>
  <c r="E13" i="9"/>
  <c r="E20" i="9"/>
  <c r="E22" i="9"/>
  <c r="E21" i="9"/>
  <c r="E14" i="9"/>
  <c r="E11" i="9"/>
  <c r="E12" i="9"/>
  <c r="E7" i="9"/>
  <c r="E4" i="9"/>
  <c r="E19" i="9"/>
  <c r="E512" i="5"/>
  <c r="E532" i="5"/>
  <c r="D552" i="5"/>
  <c r="E590" i="5"/>
  <c r="E501" i="5"/>
  <c r="D528" i="5"/>
  <c r="D549" i="5"/>
  <c r="D580" i="5"/>
  <c r="D503" i="5"/>
  <c r="D533" i="5"/>
  <c r="E8" i="9"/>
  <c r="E16" i="9"/>
  <c r="D14" i="5"/>
  <c r="N17" i="5" l="1"/>
  <c r="E40" i="9"/>
  <c r="E37" i="9"/>
  <c r="E42" i="9"/>
  <c r="B32" i="1"/>
  <c r="BC27" i="9"/>
  <c r="N3" i="5"/>
  <c r="E45" i="9"/>
  <c r="N7" i="5"/>
  <c r="B362" i="5"/>
  <c r="B225" i="5"/>
  <c r="B471" i="5"/>
  <c r="B608" i="5"/>
  <c r="B35" i="5"/>
  <c r="B172" i="5"/>
  <c r="B87" i="5"/>
  <c r="B688" i="5"/>
  <c r="B716" i="5"/>
  <c r="B744" i="5"/>
  <c r="B632" i="5"/>
  <c r="B800" i="5"/>
  <c r="B772" i="5"/>
  <c r="B660" i="5"/>
  <c r="B305" i="5"/>
  <c r="B495" i="5"/>
  <c r="E41" i="9"/>
  <c r="B414" i="5"/>
  <c r="B551" i="5"/>
  <c r="B523" i="5"/>
  <c r="B6" i="5"/>
  <c r="B249" i="5"/>
  <c r="B143" i="5"/>
  <c r="B115" i="5"/>
  <c r="B196" i="5"/>
  <c r="B277" i="5"/>
  <c r="B333" i="5"/>
  <c r="B442" i="5"/>
  <c r="B579" i="5"/>
  <c r="B386" i="5"/>
  <c r="J5" i="5"/>
  <c r="B552" i="5" s="1"/>
  <c r="B59" i="5"/>
  <c r="BC26" i="9"/>
  <c r="B31" i="1"/>
  <c r="B30" i="1"/>
  <c r="BC25" i="9"/>
  <c r="B29" i="1"/>
  <c r="A23" i="17" s="1"/>
  <c r="BC24" i="9"/>
  <c r="E43" i="9"/>
  <c r="E35" i="9"/>
  <c r="E44" i="9"/>
  <c r="E36" i="9"/>
  <c r="H6" i="8"/>
  <c r="B41" i="1"/>
  <c r="A32" i="17" s="1"/>
  <c r="BC37" i="9"/>
  <c r="E38" i="9"/>
  <c r="E39" i="9"/>
  <c r="A26" i="17" l="1"/>
  <c r="B88" i="5"/>
  <c r="B116" i="5"/>
  <c r="B197" i="5"/>
  <c r="B334" i="5"/>
  <c r="B144" i="5"/>
  <c r="A24" i="17"/>
  <c r="A25" i="17"/>
  <c r="B363" i="5"/>
  <c r="B226" i="5"/>
  <c r="B472" i="5"/>
  <c r="B609" i="5"/>
  <c r="J6" i="5"/>
  <c r="B524" i="5"/>
  <c r="B173" i="5"/>
  <c r="B306" i="5"/>
  <c r="B250" i="5"/>
  <c r="B36" i="5"/>
  <c r="B415" i="5"/>
  <c r="B443" i="5"/>
  <c r="B496" i="5"/>
  <c r="B278" i="5"/>
  <c r="B7" i="5"/>
  <c r="B745" i="5"/>
  <c r="B633" i="5"/>
  <c r="B773" i="5"/>
  <c r="B661" i="5"/>
  <c r="B801" i="5"/>
  <c r="B689" i="5"/>
  <c r="B717" i="5"/>
  <c r="B387" i="5"/>
  <c r="B580" i="5"/>
  <c r="B60" i="5"/>
  <c r="H7" i="8"/>
  <c r="B42" i="1"/>
  <c r="A33" i="17" s="1"/>
  <c r="BC38" i="9"/>
  <c r="B364" i="5" l="1"/>
  <c r="B227" i="5"/>
  <c r="B473" i="5"/>
  <c r="B610" i="5"/>
  <c r="B690" i="5"/>
  <c r="B307" i="5"/>
  <c r="B117" i="5"/>
  <c r="B581" i="5"/>
  <c r="B774" i="5"/>
  <c r="B746" i="5"/>
  <c r="B802" i="5"/>
  <c r="B8" i="5"/>
  <c r="B444" i="5"/>
  <c r="B497" i="5"/>
  <c r="B145" i="5"/>
  <c r="B198" i="5"/>
  <c r="B335" i="5"/>
  <c r="J7" i="5"/>
  <c r="B280" i="5" s="1"/>
  <c r="B251" i="5"/>
  <c r="B634" i="5"/>
  <c r="B174" i="5"/>
  <c r="B89" i="5"/>
  <c r="B553" i="5"/>
  <c r="B525" i="5"/>
  <c r="B662" i="5"/>
  <c r="B279" i="5"/>
  <c r="B416" i="5"/>
  <c r="B61" i="5"/>
  <c r="B388" i="5"/>
  <c r="B718" i="5"/>
  <c r="B37" i="5"/>
  <c r="H8" i="8"/>
  <c r="B43" i="1"/>
  <c r="A34" i="17" s="1"/>
  <c r="BC39" i="9"/>
  <c r="B175" i="5" l="1"/>
  <c r="B38" i="5"/>
  <c r="B199" i="5"/>
  <c r="B445" i="5"/>
  <c r="B663" i="5"/>
  <c r="B691" i="5"/>
  <c r="B803" i="5"/>
  <c r="B582" i="5"/>
  <c r="B389" i="5"/>
  <c r="B90" i="5"/>
  <c r="B365" i="5"/>
  <c r="B228" i="5"/>
  <c r="B775" i="5"/>
  <c r="B526" i="5"/>
  <c r="B9" i="5"/>
  <c r="B719" i="5"/>
  <c r="B498" i="5"/>
  <c r="B118" i="5"/>
  <c r="B417" i="5"/>
  <c r="B308" i="5"/>
  <c r="B62" i="5"/>
  <c r="B474" i="5"/>
  <c r="B611" i="5"/>
  <c r="B554" i="5"/>
  <c r="B252" i="5"/>
  <c r="B635" i="5"/>
  <c r="B146" i="5"/>
  <c r="B336" i="5"/>
  <c r="B747" i="5"/>
  <c r="J8" i="5"/>
  <c r="B229" i="5" s="1"/>
  <c r="H9" i="8"/>
  <c r="B44" i="1"/>
  <c r="A35" i="17" s="1"/>
  <c r="BC40" i="9"/>
  <c r="B720" i="5" l="1"/>
  <c r="B176" i="5"/>
  <c r="B119" i="5"/>
  <c r="B418" i="5"/>
  <c r="B499" i="5"/>
  <c r="B309" i="5"/>
  <c r="B804" i="5"/>
  <c r="B366" i="5"/>
  <c r="B555" i="5"/>
  <c r="B281" i="5"/>
  <c r="B390" i="5"/>
  <c r="B39" i="5"/>
  <c r="B692" i="5"/>
  <c r="B446" i="5"/>
  <c r="B527" i="5"/>
  <c r="B776" i="5"/>
  <c r="B91" i="5"/>
  <c r="B475" i="5"/>
  <c r="B612" i="5"/>
  <c r="B63" i="5"/>
  <c r="B664" i="5"/>
  <c r="B253" i="5"/>
  <c r="B583" i="5"/>
  <c r="J9" i="5"/>
  <c r="B338" i="5" s="1"/>
  <c r="B10" i="5"/>
  <c r="B337" i="5"/>
  <c r="B636" i="5"/>
  <c r="B200" i="5"/>
  <c r="B147" i="5"/>
  <c r="B748" i="5"/>
  <c r="H10" i="8"/>
  <c r="B45" i="1"/>
  <c r="A36" i="17" s="1"/>
  <c r="BC41" i="9"/>
  <c r="B805" i="5" l="1"/>
  <c r="B230" i="5"/>
  <c r="B310" i="5"/>
  <c r="B447" i="5"/>
  <c r="B528" i="5"/>
  <c r="B92" i="5"/>
  <c r="J10" i="5"/>
  <c r="B477" i="5" s="1"/>
  <c r="B693" i="5"/>
  <c r="B201" i="5"/>
  <c r="B637" i="5"/>
  <c r="B367" i="5"/>
  <c r="B419" i="5"/>
  <c r="B177" i="5"/>
  <c r="B120" i="5"/>
  <c r="B40" i="5"/>
  <c r="B721" i="5"/>
  <c r="B584" i="5"/>
  <c r="B254" i="5"/>
  <c r="B777" i="5"/>
  <c r="B11" i="5"/>
  <c r="B665" i="5"/>
  <c r="B282" i="5"/>
  <c r="B148" i="5"/>
  <c r="B476" i="5"/>
  <c r="B613" i="5"/>
  <c r="B64" i="5"/>
  <c r="B391" i="5"/>
  <c r="B556" i="5"/>
  <c r="B500" i="5"/>
  <c r="B749" i="5"/>
  <c r="H11" i="8"/>
  <c r="B46" i="1"/>
  <c r="A37" i="17" s="1"/>
  <c r="BC42" i="9"/>
  <c r="B420" i="5" l="1"/>
  <c r="B178" i="5"/>
  <c r="B778" i="5"/>
  <c r="J11" i="5"/>
  <c r="B369" i="5" s="1"/>
  <c r="B283" i="5"/>
  <c r="B255" i="5"/>
  <c r="B585" i="5"/>
  <c r="B666" i="5"/>
  <c r="B311" i="5"/>
  <c r="B41" i="5"/>
  <c r="B557" i="5"/>
  <c r="B65" i="5"/>
  <c r="B121" i="5"/>
  <c r="B368" i="5"/>
  <c r="B231" i="5"/>
  <c r="B501" i="5"/>
  <c r="B750" i="5"/>
  <c r="B93" i="5"/>
  <c r="B722" i="5"/>
  <c r="B149" i="5"/>
  <c r="B614" i="5"/>
  <c r="B448" i="5"/>
  <c r="B12" i="5"/>
  <c r="B694" i="5"/>
  <c r="B202" i="5"/>
  <c r="B392" i="5"/>
  <c r="B806" i="5"/>
  <c r="B529" i="5"/>
  <c r="B339" i="5"/>
  <c r="B638" i="5"/>
  <c r="B42" i="5"/>
  <c r="B807" i="5"/>
  <c r="B723" i="5"/>
  <c r="B779" i="5"/>
  <c r="H12" i="8"/>
  <c r="H13" i="8" s="1"/>
  <c r="H14" i="8" s="1"/>
  <c r="B47" i="1"/>
  <c r="A38" i="17" s="1"/>
  <c r="BC43" i="9"/>
  <c r="B179" i="5" l="1"/>
  <c r="B615" i="5"/>
  <c r="B421" i="5"/>
  <c r="B66" i="5"/>
  <c r="B340" i="5"/>
  <c r="B530" i="5"/>
  <c r="B122" i="5"/>
  <c r="B312" i="5"/>
  <c r="B203" i="5"/>
  <c r="B478" i="5"/>
  <c r="B502" i="5"/>
  <c r="B586" i="5"/>
  <c r="J12" i="5"/>
  <c r="B696" i="5" s="1"/>
  <c r="B150" i="5"/>
  <c r="B284" i="5"/>
  <c r="B256" i="5"/>
  <c r="B639" i="5"/>
  <c r="B393" i="5"/>
  <c r="B751" i="5"/>
  <c r="B94" i="5"/>
  <c r="B558" i="5"/>
  <c r="B667" i="5"/>
  <c r="B232" i="5"/>
  <c r="B13" i="5"/>
  <c r="B449" i="5"/>
  <c r="B695" i="5"/>
  <c r="B50" i="1"/>
  <c r="BC46" i="9"/>
  <c r="B49" i="1"/>
  <c r="BC45" i="9"/>
  <c r="B48" i="1"/>
  <c r="A39" i="17" s="1"/>
  <c r="BC44" i="9"/>
  <c r="B479" i="5" l="1"/>
  <c r="B285" i="5"/>
  <c r="B616" i="5"/>
  <c r="B233" i="5"/>
  <c r="B559" i="5"/>
  <c r="B394" i="5"/>
  <c r="B341" i="5"/>
  <c r="B43" i="5"/>
  <c r="B503" i="5"/>
  <c r="B370" i="5"/>
  <c r="B257" i="5"/>
  <c r="B531" i="5"/>
  <c r="B180" i="5"/>
  <c r="B204" i="5"/>
  <c r="B313" i="5"/>
  <c r="B67" i="5"/>
  <c r="B668" i="5"/>
  <c r="B780" i="5"/>
  <c r="B808" i="5"/>
  <c r="B123" i="5"/>
  <c r="B450" i="5"/>
  <c r="B724" i="5"/>
  <c r="B587" i="5"/>
  <c r="J13" i="5"/>
  <c r="B480" i="5" s="1"/>
  <c r="B752" i="5"/>
  <c r="B14" i="5"/>
  <c r="B640" i="5"/>
  <c r="B95" i="5"/>
  <c r="B422" i="5"/>
  <c r="B151" i="5"/>
  <c r="A40" i="17"/>
  <c r="A41" i="17"/>
  <c r="B781" i="5" l="1"/>
  <c r="B205" i="5"/>
  <c r="B532" i="5"/>
  <c r="B371" i="5"/>
  <c r="B342" i="5"/>
  <c r="B15" i="5"/>
  <c r="B697" i="5"/>
  <c r="B234" i="5"/>
  <c r="B560" i="5"/>
  <c r="B96" i="5"/>
  <c r="B451" i="5"/>
  <c r="B809" i="5"/>
  <c r="B669" i="5"/>
  <c r="B641" i="5"/>
  <c r="B588" i="5"/>
  <c r="B286" i="5"/>
  <c r="B725" i="5"/>
  <c r="B753" i="5"/>
  <c r="J14" i="5"/>
  <c r="B642" i="5" s="1"/>
  <c r="B152" i="5"/>
  <c r="B181" i="5"/>
  <c r="B68" i="5"/>
  <c r="B44" i="5"/>
  <c r="B258" i="5"/>
  <c r="B504" i="5"/>
  <c r="B124" i="5"/>
  <c r="B423" i="5"/>
  <c r="B617" i="5"/>
  <c r="B395" i="5"/>
  <c r="B314" i="5"/>
  <c r="J15" i="5" l="1"/>
  <c r="B811" i="5" s="1"/>
  <c r="B153" i="5"/>
  <c r="B182" i="5"/>
  <c r="B125" i="5"/>
  <c r="B69" i="5"/>
  <c r="B235" i="5"/>
  <c r="B782" i="5"/>
  <c r="B618" i="5"/>
  <c r="B589" i="5"/>
  <c r="B424" i="5"/>
  <c r="B45" i="5"/>
  <c r="B206" i="5"/>
  <c r="B372" i="5"/>
  <c r="B726" i="5"/>
  <c r="B315" i="5"/>
  <c r="B396" i="5"/>
  <c r="B287" i="5"/>
  <c r="B16" i="5"/>
  <c r="B343" i="5"/>
  <c r="B259" i="5"/>
  <c r="B452" i="5"/>
  <c r="B533" i="5"/>
  <c r="B698" i="5"/>
  <c r="B97" i="5"/>
  <c r="B810" i="5"/>
  <c r="B754" i="5"/>
  <c r="B505" i="5"/>
  <c r="B670" i="5"/>
  <c r="B481" i="5"/>
  <c r="B561" i="5"/>
  <c r="B288" i="5" l="1"/>
  <c r="B783" i="5"/>
  <c r="B590" i="5"/>
  <c r="B183" i="5"/>
  <c r="B46" i="5"/>
  <c r="B207" i="5"/>
  <c r="B534" i="5"/>
  <c r="B482" i="5"/>
  <c r="B236" i="5"/>
  <c r="B260" i="5"/>
  <c r="B619" i="5"/>
  <c r="J16" i="5"/>
  <c r="B728" i="5" s="1"/>
  <c r="B70" i="5"/>
  <c r="B126" i="5"/>
  <c r="B154" i="5"/>
  <c r="B373" i="5"/>
  <c r="B425" i="5"/>
  <c r="B453" i="5"/>
  <c r="B17" i="5"/>
  <c r="B562" i="5"/>
  <c r="B397" i="5"/>
  <c r="B344" i="5"/>
  <c r="B98" i="5"/>
  <c r="B506" i="5"/>
  <c r="B316" i="5"/>
  <c r="B643" i="5"/>
  <c r="B755" i="5"/>
  <c r="B671" i="5"/>
  <c r="B727" i="5"/>
  <c r="B699" i="5"/>
  <c r="B454" i="5" l="1"/>
  <c r="J17" i="5"/>
  <c r="B757" i="5" s="1"/>
  <c r="B47" i="5"/>
  <c r="B18" i="5"/>
  <c r="B620" i="5"/>
  <c r="B345" i="5"/>
  <c r="B289" i="5"/>
  <c r="B237" i="5"/>
  <c r="B672" i="5"/>
  <c r="B507" i="5"/>
  <c r="B812" i="5"/>
  <c r="B563" i="5"/>
  <c r="B700" i="5"/>
  <c r="B155" i="5"/>
  <c r="B644" i="5"/>
  <c r="B261" i="5"/>
  <c r="B756" i="5"/>
  <c r="B317" i="5"/>
  <c r="B184" i="5"/>
  <c r="B208" i="5"/>
  <c r="B71" i="5"/>
  <c r="B99" i="5"/>
  <c r="B483" i="5"/>
  <c r="B426" i="5"/>
  <c r="B535" i="5"/>
  <c r="B374" i="5"/>
  <c r="B784" i="5"/>
  <c r="B591" i="5"/>
  <c r="B127" i="5"/>
  <c r="B398" i="5"/>
  <c r="B375" i="5"/>
  <c r="B238" i="5"/>
  <c r="B484" i="5"/>
  <c r="B621" i="5"/>
  <c r="B48" i="5"/>
  <c r="B185" i="5"/>
  <c r="B785" i="5"/>
  <c r="B673" i="5"/>
  <c r="B813" i="5"/>
  <c r="B701" i="5"/>
  <c r="B318" i="5"/>
  <c r="B290" i="5"/>
  <c r="B592" i="5"/>
  <c r="B262" i="5"/>
  <c r="B72" i="5"/>
  <c r="B128" i="5"/>
  <c r="B536" i="5"/>
  <c r="B100" i="5"/>
  <c r="B455" i="5"/>
  <c r="B508" i="5"/>
  <c r="B156" i="5"/>
  <c r="B209" i="5"/>
  <c r="B564" i="5"/>
  <c r="B427" i="5"/>
  <c r="B19" i="5" l="1"/>
  <c r="B729" i="5"/>
  <c r="B346" i="5"/>
  <c r="B645" i="5"/>
  <c r="J18" i="5"/>
  <c r="B786" i="5" s="1"/>
  <c r="B399" i="5"/>
  <c r="B239" i="5"/>
  <c r="B485" i="5"/>
  <c r="B622" i="5"/>
  <c r="B49" i="5"/>
  <c r="B186" i="5"/>
  <c r="B646" i="5"/>
  <c r="B758" i="5"/>
  <c r="B730" i="5"/>
  <c r="B428" i="5"/>
  <c r="B157" i="5"/>
  <c r="B400" i="5"/>
  <c r="B20" i="5"/>
  <c r="B319" i="5"/>
  <c r="J19" i="5"/>
  <c r="B565" i="5"/>
  <c r="B347" i="5"/>
  <c r="B210" i="5"/>
  <c r="B129" i="5"/>
  <c r="B73" i="5"/>
  <c r="B537" i="5"/>
  <c r="B456" i="5"/>
  <c r="B376" i="5" l="1"/>
  <c r="B702" i="5"/>
  <c r="B509" i="5"/>
  <c r="B101" i="5"/>
  <c r="B814" i="5"/>
  <c r="B291" i="5"/>
  <c r="B674" i="5"/>
  <c r="B593" i="5"/>
  <c r="B263" i="5"/>
  <c r="B377" i="5"/>
  <c r="B240" i="5"/>
  <c r="B486" i="5"/>
  <c r="B623" i="5"/>
  <c r="B50" i="5"/>
  <c r="B187" i="5"/>
  <c r="B815" i="5"/>
  <c r="B703" i="5"/>
  <c r="B787" i="5"/>
  <c r="B731" i="5"/>
  <c r="B675" i="5"/>
  <c r="B759" i="5"/>
  <c r="B647" i="5"/>
  <c r="B510" i="5"/>
  <c r="B594" i="5"/>
  <c r="B211" i="5"/>
  <c r="B102" i="5"/>
  <c r="B457" i="5"/>
  <c r="B566" i="5"/>
  <c r="B264" i="5"/>
  <c r="B74" i="5"/>
  <c r="B292" i="5"/>
  <c r="B158" i="5"/>
  <c r="B538" i="5"/>
  <c r="B348" i="5"/>
  <c r="B401" i="5"/>
  <c r="B130" i="5"/>
  <c r="B21" i="5"/>
  <c r="B320" i="5"/>
  <c r="J20" i="5"/>
  <c r="B429" i="5"/>
  <c r="B378" i="5" l="1"/>
  <c r="B241" i="5"/>
  <c r="B487" i="5"/>
  <c r="B624" i="5"/>
  <c r="B51" i="5"/>
  <c r="B188" i="5"/>
  <c r="B732" i="5"/>
  <c r="B704" i="5"/>
  <c r="B760" i="5"/>
  <c r="B648" i="5"/>
  <c r="B788" i="5"/>
  <c r="B676" i="5"/>
  <c r="B816" i="5"/>
  <c r="B539" i="5"/>
  <c r="B103" i="5"/>
  <c r="B293" i="5"/>
  <c r="B75" i="5"/>
  <c r="B595" i="5"/>
  <c r="B511" i="5"/>
  <c r="B349" i="5"/>
  <c r="B458" i="5"/>
  <c r="B265" i="5"/>
  <c r="B22" i="5"/>
  <c r="B159" i="5"/>
  <c r="B321" i="5"/>
  <c r="B430" i="5"/>
  <c r="B402" i="5"/>
  <c r="B212" i="5"/>
  <c r="B567" i="5"/>
  <c r="B131" i="5"/>
  <c r="J21" i="5"/>
  <c r="B189" i="5" s="1"/>
  <c r="B379" i="5" l="1"/>
  <c r="B242" i="5"/>
  <c r="B488" i="5"/>
  <c r="B625" i="5"/>
  <c r="B52" i="5"/>
  <c r="J22" i="5"/>
  <c r="B626" i="5" s="1"/>
  <c r="B761" i="5"/>
  <c r="B649" i="5"/>
  <c r="B789" i="5"/>
  <c r="B677" i="5"/>
  <c r="B733" i="5"/>
  <c r="B817" i="5"/>
  <c r="B705" i="5"/>
  <c r="B459" i="5"/>
  <c r="B322" i="5"/>
  <c r="B431" i="5"/>
  <c r="B512" i="5"/>
  <c r="B596" i="5"/>
  <c r="B266" i="5"/>
  <c r="B213" i="5"/>
  <c r="B104" i="5"/>
  <c r="B403" i="5"/>
  <c r="B132" i="5"/>
  <c r="B294" i="5"/>
  <c r="B76" i="5"/>
  <c r="B350" i="5"/>
  <c r="B568" i="5"/>
  <c r="B540" i="5"/>
  <c r="B160" i="5"/>
  <c r="B23" i="5"/>
  <c r="B380" i="5" l="1"/>
  <c r="B489" i="5"/>
  <c r="B190" i="5"/>
  <c r="B243" i="5"/>
  <c r="B267" i="5"/>
  <c r="B53" i="5"/>
  <c r="J23" i="5"/>
  <c r="B627" i="5" s="1"/>
  <c r="B351" i="5"/>
  <c r="B133" i="5"/>
  <c r="B323" i="5"/>
  <c r="B295" i="5"/>
  <c r="B105" i="5"/>
  <c r="B460" i="5"/>
  <c r="B541" i="5"/>
  <c r="B77" i="5"/>
  <c r="B597" i="5"/>
  <c r="B432" i="5"/>
  <c r="B24" i="5"/>
  <c r="B214" i="5"/>
  <c r="B513" i="5"/>
  <c r="B161" i="5"/>
  <c r="B404" i="5"/>
  <c r="B569" i="5"/>
  <c r="B650" i="5"/>
  <c r="B790" i="5"/>
  <c r="B678" i="5"/>
  <c r="B818" i="5"/>
  <c r="B706" i="5"/>
  <c r="B762" i="5"/>
  <c r="B734" i="5"/>
  <c r="B381" i="5" l="1"/>
  <c r="B490" i="5"/>
  <c r="B191" i="5"/>
  <c r="B244" i="5"/>
  <c r="B106" i="5"/>
  <c r="B54" i="5"/>
  <c r="J24" i="5"/>
  <c r="B163" i="5" s="1"/>
  <c r="B25" i="5"/>
  <c r="B651" i="5"/>
  <c r="B598" i="5"/>
  <c r="B461" i="5"/>
  <c r="B514" i="5"/>
  <c r="B162" i="5"/>
  <c r="B763" i="5"/>
  <c r="B433" i="5"/>
  <c r="B268" i="5"/>
  <c r="B791" i="5"/>
  <c r="B296" i="5"/>
  <c r="B735" i="5"/>
  <c r="B324" i="5"/>
  <c r="B707" i="5"/>
  <c r="B542" i="5"/>
  <c r="B819" i="5"/>
  <c r="B352" i="5"/>
  <c r="B78" i="5"/>
  <c r="B405" i="5"/>
  <c r="B679" i="5"/>
  <c r="B215" i="5"/>
  <c r="B134" i="5"/>
  <c r="B570" i="5"/>
  <c r="J25" i="5"/>
  <c r="B269" i="5" l="1"/>
  <c r="B325" i="5"/>
  <c r="B434" i="5"/>
  <c r="B216" i="5"/>
  <c r="B79" i="5"/>
  <c r="B515" i="5"/>
  <c r="B107" i="5"/>
  <c r="B680" i="5"/>
  <c r="B708" i="5"/>
  <c r="B599" i="5"/>
  <c r="B543" i="5"/>
  <c r="B792" i="5"/>
  <c r="B820" i="5"/>
  <c r="B652" i="5"/>
  <c r="B764" i="5"/>
  <c r="B462" i="5"/>
  <c r="B736" i="5"/>
  <c r="B135" i="5"/>
  <c r="B406" i="5"/>
  <c r="B297" i="5"/>
  <c r="J26" i="5"/>
  <c r="B27" i="5"/>
  <c r="B353" i="5"/>
  <c r="B26" i="5"/>
  <c r="B571" i="5"/>
  <c r="B737" i="5"/>
  <c r="B765" i="5"/>
  <c r="B653" i="5"/>
  <c r="B793" i="5"/>
  <c r="B681" i="5"/>
  <c r="B821" i="5"/>
  <c r="B709" i="5"/>
  <c r="B463" i="5"/>
  <c r="B136" i="5"/>
  <c r="B298" i="5"/>
  <c r="B435" i="5"/>
  <c r="B544" i="5"/>
  <c r="B108" i="5"/>
  <c r="B217" i="5"/>
  <c r="B164" i="5"/>
  <c r="B600" i="5"/>
  <c r="B407" i="5"/>
  <c r="B572" i="5"/>
  <c r="B326" i="5"/>
  <c r="B354" i="5"/>
  <c r="B516" i="5"/>
  <c r="B270" i="5"/>
  <c r="B80" i="5"/>
  <c r="R45" i="9" l="1"/>
  <c r="V26" i="9"/>
  <c r="Q25" i="9"/>
  <c r="Y25" i="9"/>
  <c r="T25" i="9"/>
  <c r="O26" i="9"/>
  <c r="I26" i="9"/>
  <c r="AA25" i="9"/>
  <c r="J25" i="9"/>
  <c r="W25" i="9"/>
  <c r="G26" i="9"/>
  <c r="L25" i="9"/>
  <c r="Z25" i="9"/>
  <c r="Z26" i="9"/>
  <c r="W26" i="9"/>
  <c r="N25" i="9"/>
  <c r="U25" i="9"/>
  <c r="P26" i="9"/>
  <c r="M26" i="9"/>
  <c r="S25" i="9"/>
  <c r="X25" i="9"/>
  <c r="Y26" i="9"/>
  <c r="N26" i="9"/>
  <c r="AB25" i="9"/>
  <c r="F25" i="9"/>
  <c r="S26" i="9"/>
  <c r="J26" i="9"/>
  <c r="R25" i="9"/>
  <c r="K25" i="9"/>
  <c r="X26" i="9"/>
  <c r="AC25" i="9"/>
  <c r="AB26" i="9"/>
  <c r="U26" i="9"/>
  <c r="O25" i="9"/>
  <c r="F26" i="9"/>
  <c r="AA26" i="9"/>
  <c r="R26" i="9"/>
  <c r="P25" i="9"/>
  <c r="G25" i="9"/>
  <c r="AC26" i="9"/>
  <c r="K26" i="9"/>
  <c r="M25" i="9"/>
  <c r="V25" i="9"/>
  <c r="L26" i="9"/>
  <c r="T26" i="9"/>
  <c r="H25" i="9"/>
  <c r="I25" i="9"/>
  <c r="L27" i="9"/>
  <c r="K27" i="9"/>
  <c r="G27" i="9"/>
  <c r="S27" i="9"/>
  <c r="T27" i="9"/>
  <c r="AC27" i="9"/>
  <c r="Y27" i="9"/>
  <c r="Q27" i="9"/>
  <c r="V27" i="9"/>
  <c r="X27" i="9"/>
  <c r="W27" i="9"/>
  <c r="P27" i="9"/>
  <c r="F27" i="9"/>
  <c r="N27" i="9"/>
  <c r="R27" i="9"/>
  <c r="Z27" i="9"/>
  <c r="U27" i="9"/>
  <c r="J27" i="9"/>
  <c r="M27" i="9"/>
  <c r="H27" i="9"/>
  <c r="AA27" i="9"/>
  <c r="I27" i="9"/>
  <c r="AB27" i="9"/>
  <c r="O27" i="9"/>
  <c r="H26" i="9"/>
  <c r="Q26" i="9"/>
  <c r="V45" i="9"/>
  <c r="AA45" i="9"/>
  <c r="T45" i="9"/>
  <c r="M45" i="9"/>
  <c r="L45" i="9"/>
  <c r="O45" i="9"/>
  <c r="X45" i="9"/>
  <c r="K45" i="9"/>
  <c r="AC45" i="9"/>
  <c r="U45" i="9"/>
  <c r="S45" i="9"/>
  <c r="AB45" i="9"/>
  <c r="H45" i="9"/>
  <c r="Q45" i="9"/>
  <c r="W45" i="9"/>
  <c r="G45" i="9"/>
  <c r="N45" i="9"/>
  <c r="Y45" i="9"/>
  <c r="P45" i="9"/>
  <c r="F45" i="9"/>
  <c r="Z45" i="9"/>
  <c r="I45" i="9"/>
  <c r="J45" i="9"/>
  <c r="V24" i="9"/>
  <c r="R24" i="9"/>
  <c r="X24" i="9"/>
  <c r="S24" i="9"/>
  <c r="AA24" i="9"/>
  <c r="AC24" i="9"/>
  <c r="J24" i="9"/>
  <c r="L24" i="9"/>
  <c r="N24" i="9"/>
  <c r="Y24" i="9"/>
  <c r="Z24" i="9"/>
  <c r="G24" i="9"/>
  <c r="O24" i="9"/>
  <c r="F24" i="9"/>
  <c r="K24" i="9"/>
  <c r="U24" i="9"/>
  <c r="T24" i="9"/>
  <c r="W24" i="9"/>
  <c r="I24" i="9"/>
  <c r="AB24" i="9"/>
  <c r="Q24" i="9"/>
  <c r="M24" i="9"/>
  <c r="H24" i="9"/>
  <c r="P24" i="9"/>
  <c r="H23" i="9"/>
  <c r="N23" i="9"/>
  <c r="K23" i="9"/>
  <c r="P23" i="9"/>
  <c r="I23" i="9"/>
  <c r="W23" i="9"/>
  <c r="V23" i="9"/>
  <c r="AB23" i="9"/>
  <c r="F23" i="9"/>
  <c r="AC23" i="9"/>
  <c r="Z23" i="9"/>
  <c r="Q23" i="9"/>
  <c r="O23" i="9"/>
  <c r="L23" i="9"/>
  <c r="G23" i="9"/>
  <c r="S23" i="9"/>
  <c r="AA23" i="9"/>
  <c r="Y23" i="9"/>
  <c r="U23" i="9"/>
  <c r="M23" i="9"/>
  <c r="J23" i="9"/>
  <c r="T23" i="9"/>
  <c r="X23" i="9"/>
  <c r="R23" i="9"/>
  <c r="F3" i="9"/>
  <c r="R37" i="9"/>
  <c r="R41" i="9"/>
  <c r="R39" i="9"/>
  <c r="O5" i="9"/>
  <c r="W17" i="9"/>
  <c r="F4" i="9"/>
  <c r="G19" i="9"/>
  <c r="K11" i="9"/>
  <c r="N13" i="9"/>
  <c r="P16" i="9"/>
  <c r="R40" i="9"/>
  <c r="R38" i="9"/>
  <c r="W9" i="9"/>
  <c r="I12" i="9"/>
  <c r="Q9" i="9"/>
  <c r="AC8" i="9"/>
  <c r="K17" i="9"/>
  <c r="Z17" i="9"/>
  <c r="G35" i="9"/>
  <c r="J44" i="9"/>
  <c r="Q38" i="9"/>
  <c r="N38" i="9"/>
  <c r="K42" i="9"/>
  <c r="Z36" i="9"/>
  <c r="P36" i="9"/>
  <c r="N36" i="9"/>
  <c r="K41" i="9"/>
  <c r="S41" i="9"/>
  <c r="O35" i="9"/>
  <c r="V43" i="9"/>
  <c r="AA44" i="9"/>
  <c r="P42" i="9"/>
  <c r="T42" i="9"/>
  <c r="AA41" i="9"/>
  <c r="K37" i="9"/>
  <c r="L40" i="9"/>
  <c r="F36" i="9"/>
  <c r="G8" i="9"/>
  <c r="F6" i="9"/>
  <c r="P9" i="9"/>
  <c r="R7" i="9"/>
  <c r="W12" i="9"/>
  <c r="AA15" i="9"/>
  <c r="K12" i="9"/>
  <c r="J16" i="9"/>
  <c r="H8" i="9"/>
  <c r="W22" i="9"/>
  <c r="W14" i="9"/>
  <c r="Q22" i="9"/>
  <c r="Y15" i="9"/>
  <c r="S13" i="9"/>
  <c r="AC15" i="9"/>
  <c r="U5" i="9"/>
  <c r="Y14" i="9"/>
  <c r="F14" i="9"/>
  <c r="F13" i="9"/>
  <c r="J11" i="9"/>
  <c r="AC11" i="9"/>
  <c r="O6" i="9"/>
  <c r="W4" i="9"/>
  <c r="P21" i="9"/>
  <c r="I7" i="9"/>
  <c r="Z21" i="9"/>
  <c r="R3" i="9"/>
  <c r="W3" i="9"/>
  <c r="K3" i="9"/>
  <c r="K4" i="9"/>
  <c r="Y22" i="9"/>
  <c r="N5" i="9"/>
  <c r="L16" i="9"/>
  <c r="P3" i="9"/>
  <c r="G7" i="9"/>
  <c r="O37" i="9"/>
  <c r="F35" i="9"/>
  <c r="H41" i="9"/>
  <c r="Z19" i="9"/>
  <c r="Q12" i="9"/>
  <c r="O22" i="9"/>
  <c r="Z9" i="9"/>
  <c r="L13" i="9"/>
  <c r="X7" i="9"/>
  <c r="Y38" i="9"/>
  <c r="Y43" i="9"/>
  <c r="J40" i="9"/>
  <c r="L39" i="9"/>
  <c r="N16" i="9"/>
  <c r="X19" i="9"/>
  <c r="I13" i="9"/>
  <c r="O8" i="9"/>
  <c r="AB5" i="9"/>
  <c r="AA12" i="9"/>
  <c r="Q3" i="9"/>
  <c r="H6" i="9"/>
  <c r="S43" i="9"/>
  <c r="S10" i="9"/>
  <c r="AA18" i="9"/>
  <c r="T21" i="9"/>
  <c r="L12" i="9"/>
  <c r="U13" i="9"/>
  <c r="R10" i="9"/>
  <c r="X39" i="9"/>
  <c r="M36" i="9"/>
  <c r="Q39" i="9"/>
  <c r="F41" i="9"/>
  <c r="S36" i="9"/>
  <c r="AA38" i="9"/>
  <c r="H36" i="9"/>
  <c r="J35" i="9"/>
  <c r="O40" i="9"/>
  <c r="L41" i="9"/>
  <c r="Y41" i="9"/>
  <c r="Y44" i="9"/>
  <c r="U39" i="9"/>
  <c r="N44" i="9"/>
  <c r="S39" i="9"/>
  <c r="K38" i="9"/>
  <c r="N43" i="9"/>
  <c r="Q43" i="9"/>
  <c r="H38" i="9"/>
  <c r="H13" i="9"/>
  <c r="X16" i="9"/>
  <c r="AC4" i="9"/>
  <c r="AC18" i="9"/>
  <c r="P6" i="9"/>
  <c r="S18" i="9"/>
  <c r="L17" i="9"/>
  <c r="U3" i="9"/>
  <c r="X17" i="9"/>
  <c r="R18" i="9"/>
  <c r="V5" i="9"/>
  <c r="Q6" i="9"/>
  <c r="I11" i="9"/>
  <c r="N6" i="9"/>
  <c r="R15" i="9"/>
  <c r="F7" i="9"/>
  <c r="N21" i="9"/>
  <c r="P20" i="9"/>
  <c r="W7" i="9"/>
  <c r="AA19" i="9"/>
  <c r="AA11" i="9"/>
  <c r="P5" i="9"/>
  <c r="N10" i="9"/>
  <c r="Y10" i="9"/>
  <c r="W18" i="9"/>
  <c r="Q18" i="9"/>
  <c r="O20" i="9"/>
  <c r="W11" i="9"/>
  <c r="H18" i="9"/>
  <c r="L18" i="9"/>
  <c r="Y7" i="9"/>
  <c r="M44" i="9"/>
  <c r="Y40" i="9"/>
  <c r="Q35" i="9"/>
  <c r="AC6" i="9"/>
  <c r="F8" i="9"/>
  <c r="V18" i="9"/>
  <c r="V9" i="9"/>
  <c r="N19" i="9"/>
  <c r="AB19" i="9"/>
  <c r="H9" i="9"/>
  <c r="U36" i="9"/>
  <c r="P40" i="9"/>
  <c r="S14" i="9"/>
  <c r="G10" i="9"/>
  <c r="F15" i="9"/>
  <c r="Q21" i="9"/>
  <c r="K21" i="9"/>
  <c r="I18" i="9"/>
  <c r="M11" i="9"/>
  <c r="AA10" i="9"/>
  <c r="L15" i="9"/>
  <c r="M42" i="9"/>
  <c r="R16" i="9"/>
  <c r="N3" i="9"/>
  <c r="P13" i="9"/>
  <c r="AA21" i="9"/>
  <c r="Q20" i="9"/>
  <c r="F9" i="9"/>
  <c r="M8" i="9"/>
  <c r="Y20" i="9"/>
  <c r="AB44" i="9"/>
  <c r="AC35" i="9"/>
  <c r="AC43" i="9"/>
  <c r="Z42" i="9"/>
  <c r="AB41" i="9"/>
  <c r="H44" i="9"/>
  <c r="J42" i="9"/>
  <c r="T38" i="9"/>
  <c r="O42" i="9"/>
  <c r="AB35" i="9"/>
  <c r="Z44" i="9"/>
  <c r="J43" i="9"/>
  <c r="V41" i="9"/>
  <c r="Z39" i="9"/>
  <c r="X44" i="9"/>
  <c r="Z43" i="9"/>
  <c r="X43" i="9"/>
  <c r="AA43" i="9"/>
  <c r="O44" i="9"/>
  <c r="AA8" i="9"/>
  <c r="AA14" i="9"/>
  <c r="J19" i="9"/>
  <c r="N20" i="9"/>
  <c r="I19" i="9"/>
  <c r="M5" i="9"/>
  <c r="Q7" i="9"/>
  <c r="Y19" i="9"/>
  <c r="M16" i="9"/>
  <c r="U16" i="9"/>
  <c r="F20" i="9"/>
  <c r="U12" i="9"/>
  <c r="T10" i="9"/>
  <c r="N22" i="9"/>
  <c r="Q8" i="9"/>
  <c r="I15" i="9"/>
  <c r="O17" i="9"/>
  <c r="P10" i="9"/>
  <c r="S3" i="9"/>
  <c r="AC3" i="9"/>
  <c r="Y3" i="9"/>
  <c r="M14" i="9"/>
  <c r="O16" i="9"/>
  <c r="I16" i="9"/>
  <c r="P18" i="9"/>
  <c r="J6" i="9"/>
  <c r="U8" i="9"/>
  <c r="M10" i="9"/>
  <c r="T22" i="9"/>
  <c r="V15" i="9"/>
  <c r="Y21" i="9"/>
  <c r="F17" i="9"/>
  <c r="M19" i="9"/>
  <c r="I41" i="9"/>
  <c r="M37" i="9"/>
  <c r="Q40" i="9"/>
  <c r="S16" i="9"/>
  <c r="Y11" i="9"/>
  <c r="R13" i="9"/>
  <c r="K8" i="9"/>
  <c r="I22" i="9"/>
  <c r="R14" i="9"/>
  <c r="T41" i="9"/>
  <c r="G43" i="9"/>
  <c r="U41" i="9"/>
  <c r="N14" i="9"/>
  <c r="Z12" i="9"/>
  <c r="X21" i="9"/>
  <c r="AA6" i="9"/>
  <c r="O7" i="9"/>
  <c r="I20" i="9"/>
  <c r="M3" i="9"/>
  <c r="L6" i="9"/>
  <c r="F37" i="9"/>
  <c r="AB12" i="9"/>
  <c r="X4" i="9"/>
  <c r="I5" i="9"/>
  <c r="Z14" i="9"/>
  <c r="H19" i="9"/>
  <c r="V4" i="9"/>
  <c r="U20" i="9"/>
  <c r="V7" i="9"/>
  <c r="S44" i="9"/>
  <c r="W39" i="9"/>
  <c r="G40" i="9"/>
  <c r="X38" i="9"/>
  <c r="I35" i="9"/>
  <c r="AA36" i="9"/>
  <c r="W43" i="9"/>
  <c r="X42" i="9"/>
  <c r="AB37" i="9"/>
  <c r="K35" i="9"/>
  <c r="W37" i="9"/>
  <c r="L43" i="9"/>
  <c r="P39" i="9"/>
  <c r="O41" i="9"/>
  <c r="T35" i="9"/>
  <c r="AC39" i="9"/>
  <c r="AA40" i="9"/>
  <c r="Q36" i="9"/>
  <c r="T43" i="9"/>
  <c r="I38" i="9"/>
  <c r="AB14" i="9"/>
  <c r="X3" i="9"/>
  <c r="T3" i="9"/>
  <c r="AB3" i="9"/>
  <c r="F18" i="9"/>
  <c r="P17" i="9"/>
  <c r="AB15" i="9"/>
  <c r="Y8" i="9"/>
  <c r="J15" i="9"/>
  <c r="F16" i="9"/>
  <c r="K18" i="9"/>
  <c r="M18" i="9"/>
  <c r="J13" i="9"/>
  <c r="S8" i="9"/>
  <c r="M21" i="9"/>
  <c r="Z7" i="9"/>
  <c r="AC14" i="9"/>
  <c r="T6" i="9"/>
  <c r="O21" i="9"/>
  <c r="Z5" i="9"/>
  <c r="X14" i="9"/>
  <c r="J18" i="9"/>
  <c r="P14" i="9"/>
  <c r="G3" i="9"/>
  <c r="K13" i="9"/>
  <c r="R12" i="9"/>
  <c r="I21" i="9"/>
  <c r="U6" i="9"/>
  <c r="N8" i="9"/>
  <c r="W20" i="9"/>
  <c r="I3" i="9"/>
  <c r="AA17" i="9"/>
  <c r="H11" i="9"/>
  <c r="Q13" i="9"/>
  <c r="W35" i="9"/>
  <c r="S37" i="9"/>
  <c r="AB40" i="9"/>
  <c r="W10" i="9"/>
  <c r="L5" i="9"/>
  <c r="AB6" i="9"/>
  <c r="K7" i="9"/>
  <c r="F11" i="9"/>
  <c r="AB9" i="9"/>
  <c r="Z10" i="9"/>
  <c r="Y39" i="9"/>
  <c r="I39" i="9"/>
  <c r="K39" i="9"/>
  <c r="M40" i="9"/>
  <c r="H12" i="9"/>
  <c r="G21" i="9"/>
  <c r="AA16" i="9"/>
  <c r="H16" i="9"/>
  <c r="L9" i="9"/>
  <c r="G18" i="9"/>
  <c r="T12" i="9"/>
  <c r="L21" i="9"/>
  <c r="M7" i="9"/>
  <c r="K10" i="9"/>
  <c r="K20" i="9"/>
  <c r="Z20" i="9"/>
  <c r="U10" i="9"/>
  <c r="Z15" i="9"/>
  <c r="H10" i="9"/>
  <c r="J38" i="9"/>
  <c r="X40" i="9"/>
  <c r="AC37" i="9"/>
  <c r="V44" i="9"/>
  <c r="H42" i="9"/>
  <c r="L38" i="9"/>
  <c r="I44" i="9"/>
  <c r="AC38" i="9"/>
  <c r="U38" i="9"/>
  <c r="AA39" i="9"/>
  <c r="G41" i="9"/>
  <c r="AC44" i="9"/>
  <c r="Q37" i="9"/>
  <c r="P35" i="9"/>
  <c r="M43" i="9"/>
  <c r="K40" i="9"/>
  <c r="U42" i="9"/>
  <c r="L42" i="9"/>
  <c r="P44" i="9"/>
  <c r="T14" i="9"/>
  <c r="AB11" i="9"/>
  <c r="S17" i="9"/>
  <c r="R20" i="9"/>
  <c r="Y13" i="9"/>
  <c r="Q11" i="9"/>
  <c r="AC19" i="9"/>
  <c r="U11" i="9"/>
  <c r="O4" i="9"/>
  <c r="AA4" i="9"/>
  <c r="AA13" i="9"/>
  <c r="Y6" i="9"/>
  <c r="G22" i="9"/>
  <c r="T19" i="9"/>
  <c r="P19" i="9"/>
  <c r="F21" i="9"/>
  <c r="Y9" i="9"/>
  <c r="AC13" i="9"/>
  <c r="Q17" i="9"/>
  <c r="T18" i="9"/>
  <c r="AB8" i="9"/>
  <c r="L14" i="9"/>
  <c r="AB21" i="9"/>
  <c r="I14" i="9"/>
  <c r="T5" i="9"/>
  <c r="S6" i="9"/>
  <c r="AC9" i="9"/>
  <c r="AB17" i="9"/>
  <c r="F19" i="9"/>
  <c r="AA7" i="9"/>
  <c r="R19" i="9"/>
  <c r="I17" i="9"/>
  <c r="N15" i="9"/>
  <c r="O19" i="9"/>
  <c r="J4" i="9"/>
  <c r="V38" i="9"/>
  <c r="G36" i="9"/>
  <c r="Z35" i="9"/>
  <c r="T15" i="9"/>
  <c r="X5" i="9"/>
  <c r="J20" i="9"/>
  <c r="L19" i="9"/>
  <c r="R11" i="9"/>
  <c r="O14" i="9"/>
  <c r="H22" i="9"/>
  <c r="W40" i="9"/>
  <c r="AC41" i="9"/>
  <c r="V36" i="9"/>
  <c r="Q16" i="9"/>
  <c r="U7" i="9"/>
  <c r="G12" i="9"/>
  <c r="J21" i="9"/>
  <c r="G15" i="9"/>
  <c r="R8" i="9"/>
  <c r="AB22" i="9"/>
  <c r="G13" i="9"/>
  <c r="T39" i="9"/>
  <c r="M6" i="9"/>
  <c r="V16" i="9"/>
  <c r="K22" i="9"/>
  <c r="T17" i="9"/>
  <c r="S19" i="9"/>
  <c r="J10" i="9"/>
  <c r="F22" i="9"/>
  <c r="AA22" i="9"/>
  <c r="N40" i="9"/>
  <c r="U35" i="9"/>
  <c r="O38" i="9"/>
  <c r="F38" i="9"/>
  <c r="I36" i="9"/>
  <c r="H39" i="9"/>
  <c r="W44" i="9"/>
  <c r="AB36" i="9"/>
  <c r="N42" i="9"/>
  <c r="AA35" i="9"/>
  <c r="S35" i="9"/>
  <c r="AC42" i="9"/>
  <c r="F42" i="9"/>
  <c r="Q42" i="9"/>
  <c r="V40" i="9"/>
  <c r="L37" i="9"/>
  <c r="W36" i="9"/>
  <c r="J39" i="9"/>
  <c r="Y37" i="9"/>
  <c r="Y12" i="9"/>
  <c r="AC16" i="9"/>
  <c r="J8" i="9"/>
  <c r="P15" i="9"/>
  <c r="N17" i="9"/>
  <c r="U22" i="9"/>
  <c r="O10" i="9"/>
  <c r="T11" i="9"/>
  <c r="O12" i="9"/>
  <c r="P7" i="9"/>
  <c r="W8" i="9"/>
  <c r="H17" i="9"/>
  <c r="Z4" i="9"/>
  <c r="R9" i="9"/>
  <c r="T16" i="9"/>
  <c r="T4" i="9"/>
  <c r="AC21" i="9"/>
  <c r="V8" i="9"/>
  <c r="AC20" i="9"/>
  <c r="K9" i="9"/>
  <c r="L7" i="9"/>
  <c r="I6" i="9"/>
  <c r="AB16" i="9"/>
  <c r="Y4" i="9"/>
  <c r="H7" i="9"/>
  <c r="M13" i="9"/>
  <c r="O18" i="9"/>
  <c r="O13" i="9"/>
  <c r="S11" i="9"/>
  <c r="L4" i="9"/>
  <c r="W13" i="9"/>
  <c r="AB13" i="9"/>
  <c r="N11" i="9"/>
  <c r="L3" i="9"/>
  <c r="T9" i="9"/>
  <c r="X18" i="9"/>
  <c r="W21" i="9"/>
  <c r="M12" i="9"/>
  <c r="R6" i="9"/>
  <c r="Z38" i="9"/>
  <c r="W38" i="9"/>
  <c r="U40" i="9"/>
  <c r="N41" i="9"/>
  <c r="U15" i="9"/>
  <c r="V11" i="9"/>
  <c r="S15" i="9"/>
  <c r="K5" i="9"/>
  <c r="N7" i="9"/>
  <c r="X9" i="9"/>
  <c r="J22" i="9"/>
  <c r="T7" i="9"/>
  <c r="G42" i="9"/>
  <c r="Z41" i="9"/>
  <c r="U44" i="9"/>
  <c r="R43" i="9"/>
  <c r="R36" i="9"/>
  <c r="Q19" i="9"/>
  <c r="G11" i="9"/>
  <c r="R44" i="9"/>
  <c r="U21" i="9"/>
  <c r="X35" i="9"/>
  <c r="AC36" i="9"/>
  <c r="U37" i="9"/>
  <c r="H35" i="9"/>
  <c r="AA37" i="9"/>
  <c r="I43" i="9"/>
  <c r="V19" i="9"/>
  <c r="S20" i="9"/>
  <c r="AC12" i="9"/>
  <c r="G6" i="9"/>
  <c r="X13" i="9"/>
  <c r="Q14" i="9"/>
  <c r="X22" i="9"/>
  <c r="I8" i="9"/>
  <c r="Q10" i="9"/>
  <c r="J5" i="9"/>
  <c r="G5" i="9"/>
  <c r="I4" i="9"/>
  <c r="X20" i="9"/>
  <c r="O3" i="9"/>
  <c r="AA3" i="9"/>
  <c r="AB10" i="9"/>
  <c r="Z22" i="9"/>
  <c r="J36" i="9"/>
  <c r="V42" i="9"/>
  <c r="G44" i="9"/>
  <c r="Z37" i="9"/>
  <c r="G37" i="9"/>
  <c r="F44" i="9"/>
  <c r="G16" i="9"/>
  <c r="U18" i="9"/>
  <c r="H21" i="9"/>
  <c r="T20" i="9"/>
  <c r="U17" i="9"/>
  <c r="J3" i="9"/>
  <c r="Z13" i="9"/>
  <c r="X15" i="9"/>
  <c r="U19" i="9"/>
  <c r="F12" i="9"/>
  <c r="X12" i="9"/>
  <c r="L44" i="9"/>
  <c r="W16" i="9"/>
  <c r="P8" i="9"/>
  <c r="S21" i="9"/>
  <c r="L36" i="9"/>
  <c r="K16" i="9"/>
  <c r="V39" i="9"/>
  <c r="N39" i="9"/>
  <c r="O36" i="9"/>
  <c r="W41" i="9"/>
  <c r="M38" i="9"/>
  <c r="I40" i="9"/>
  <c r="M22" i="9"/>
  <c r="M17" i="9"/>
  <c r="Q15" i="9"/>
  <c r="AA20" i="9"/>
  <c r="N9" i="9"/>
  <c r="Z6" i="9"/>
  <c r="G4" i="9"/>
  <c r="L10" i="9"/>
  <c r="N37" i="9"/>
  <c r="AA5" i="9"/>
  <c r="T44" i="9"/>
  <c r="G9" i="9"/>
  <c r="P37" i="9"/>
  <c r="X8" i="9"/>
  <c r="H5" i="9"/>
  <c r="F43" i="9"/>
  <c r="AB42" i="9"/>
  <c r="S40" i="9"/>
  <c r="X36" i="9"/>
  <c r="T40" i="9"/>
  <c r="P41" i="9"/>
  <c r="V17" i="9"/>
  <c r="K19" i="9"/>
  <c r="Z16" i="9"/>
  <c r="Z18" i="9"/>
  <c r="W19" i="9"/>
  <c r="M4" i="9"/>
  <c r="P12" i="9"/>
  <c r="K15" i="9"/>
  <c r="O11" i="9"/>
  <c r="S4" i="9"/>
  <c r="V20" i="9"/>
  <c r="H40" i="9"/>
  <c r="Q41" i="9"/>
  <c r="L20" i="9"/>
  <c r="AB43" i="9"/>
  <c r="J14" i="9"/>
  <c r="K43" i="9"/>
  <c r="Y16" i="9"/>
  <c r="U4" i="9"/>
  <c r="Y42" i="9"/>
  <c r="V37" i="9"/>
  <c r="M35" i="9"/>
  <c r="Q44" i="9"/>
  <c r="I37" i="9"/>
  <c r="AA42" i="9"/>
  <c r="X10" i="9"/>
  <c r="G14" i="9"/>
  <c r="J7" i="9"/>
  <c r="J9" i="9"/>
  <c r="V14" i="9"/>
  <c r="M9" i="9"/>
  <c r="S5" i="9"/>
  <c r="L8" i="9"/>
  <c r="V13" i="9"/>
  <c r="S9" i="9"/>
  <c r="P11" i="9"/>
  <c r="G39" i="9"/>
  <c r="AB18" i="9"/>
  <c r="AB20" i="9"/>
  <c r="R22" i="9"/>
  <c r="M41" i="9"/>
  <c r="Z3" i="9"/>
  <c r="AB4" i="9"/>
  <c r="W42" i="9"/>
  <c r="Y35" i="9"/>
  <c r="J41" i="9"/>
  <c r="V35" i="9"/>
  <c r="AB39" i="9"/>
  <c r="K36" i="9"/>
  <c r="AC5" i="9"/>
  <c r="V3" i="9"/>
  <c r="AC10" i="9"/>
  <c r="I9" i="9"/>
  <c r="R17" i="9"/>
  <c r="T8" i="9"/>
  <c r="W5" i="9"/>
  <c r="S22" i="9"/>
  <c r="W6" i="9"/>
  <c r="G20" i="9"/>
  <c r="P43" i="9"/>
  <c r="R5" i="9"/>
  <c r="P22" i="9"/>
  <c r="H4" i="9"/>
  <c r="P4" i="9"/>
  <c r="K14" i="9"/>
  <c r="Y17" i="9"/>
  <c r="R42" i="9"/>
  <c r="H3" i="9"/>
  <c r="V12" i="9"/>
  <c r="G38" i="9"/>
  <c r="J37" i="9"/>
  <c r="X37" i="9"/>
  <c r="F40" i="9"/>
  <c r="F39" i="9"/>
  <c r="M39" i="9"/>
  <c r="N12" i="9"/>
  <c r="M20" i="9"/>
  <c r="AC7" i="9"/>
  <c r="Y18" i="9"/>
  <c r="O9" i="9"/>
  <c r="AB7" i="9"/>
  <c r="G17" i="9"/>
  <c r="V6" i="9"/>
  <c r="F5" i="9"/>
  <c r="Y5" i="9"/>
  <c r="Z11" i="9"/>
  <c r="S7" i="9"/>
  <c r="R4" i="9"/>
  <c r="X41" i="9"/>
  <c r="P38" i="9"/>
  <c r="Q5" i="9"/>
  <c r="Z8" i="9"/>
  <c r="J17" i="9"/>
  <c r="T13" i="9"/>
  <c r="H37" i="9"/>
  <c r="Y36" i="9"/>
  <c r="AC40" i="9"/>
  <c r="S38" i="9"/>
  <c r="O43" i="9"/>
  <c r="U43" i="9"/>
  <c r="T37" i="9"/>
  <c r="L11" i="9"/>
  <c r="AA9" i="9"/>
  <c r="S12" i="9"/>
  <c r="I10" i="9"/>
  <c r="Q4" i="9"/>
  <c r="K6" i="9"/>
  <c r="U9" i="9"/>
  <c r="R21" i="9"/>
  <c r="AC17" i="9"/>
  <c r="Z40" i="9"/>
  <c r="H43" i="9"/>
  <c r="AC22" i="9"/>
  <c r="AB38" i="9"/>
  <c r="J12" i="9"/>
  <c r="R35" i="9"/>
  <c r="O15" i="9"/>
  <c r="X11" i="9"/>
  <c r="T36" i="9"/>
  <c r="L35" i="9"/>
  <c r="K44" i="9"/>
  <c r="O39" i="9"/>
  <c r="I42" i="9"/>
  <c r="N35" i="9"/>
  <c r="V21" i="9"/>
  <c r="H14" i="9"/>
  <c r="H20" i="9"/>
  <c r="V22" i="9"/>
  <c r="F10" i="9"/>
  <c r="L22" i="9"/>
  <c r="W15" i="9"/>
  <c r="X6" i="9"/>
  <c r="U14" i="9"/>
  <c r="N4" i="9"/>
  <c r="V10" i="9"/>
  <c r="H15" i="9"/>
  <c r="N18" i="9"/>
  <c r="S42" i="9"/>
  <c r="M15" i="9"/>
  <c r="AX27" i="9" l="1"/>
  <c r="AG27" i="9"/>
  <c r="AS27" i="9"/>
  <c r="AD27" i="9"/>
  <c r="BB27" i="9"/>
  <c r="AN27" i="9"/>
  <c r="AH27" i="9"/>
  <c r="AY27" i="9"/>
  <c r="AL27" i="9"/>
  <c r="AP27" i="9"/>
  <c r="AK27" i="9"/>
  <c r="AT27" i="9"/>
  <c r="AJ27" i="9"/>
  <c r="AM27" i="9"/>
  <c r="AQ27" i="9"/>
  <c r="AW27" i="9"/>
  <c r="AI27" i="9"/>
  <c r="AE27" i="9"/>
  <c r="AO27" i="9"/>
  <c r="AV27" i="9"/>
  <c r="AU27" i="9"/>
  <c r="BA27" i="9"/>
  <c r="AZ27" i="9"/>
  <c r="AR27" i="9"/>
  <c r="AF27" i="9"/>
  <c r="AU26" i="9"/>
  <c r="AD26" i="9"/>
  <c r="AX26" i="9"/>
  <c r="AR26" i="9"/>
  <c r="AK26" i="9"/>
  <c r="AL26" i="9"/>
  <c r="AO26" i="9"/>
  <c r="AW26" i="9"/>
  <c r="BA26" i="9"/>
  <c r="BB26" i="9"/>
  <c r="AE26" i="9"/>
  <c r="AG26" i="9"/>
  <c r="AT26" i="9"/>
  <c r="AN26" i="9"/>
  <c r="AF26" i="9"/>
  <c r="AZ26" i="9"/>
  <c r="AY26" i="9"/>
  <c r="AS26" i="9"/>
  <c r="AH26" i="9"/>
  <c r="AQ26" i="9"/>
  <c r="AJ26" i="9"/>
  <c r="AV26" i="9"/>
  <c r="AM26" i="9"/>
  <c r="AP26" i="9"/>
  <c r="AI26" i="9"/>
  <c r="AM25" i="9"/>
  <c r="AR25" i="9"/>
  <c r="BA25" i="9"/>
  <c r="AS25" i="9"/>
  <c r="AD25" i="9"/>
  <c r="AL25" i="9"/>
  <c r="AQ25" i="9"/>
  <c r="AN25" i="9"/>
  <c r="AG25" i="9"/>
  <c r="AI25" i="9"/>
  <c r="AK25" i="9"/>
  <c r="AH25" i="9"/>
  <c r="AY25" i="9"/>
  <c r="AP25" i="9"/>
  <c r="AV25" i="9"/>
  <c r="AO25" i="9"/>
  <c r="AU25" i="9"/>
  <c r="AJ25" i="9"/>
  <c r="BB25" i="9"/>
  <c r="AZ25" i="9"/>
  <c r="AT25" i="9"/>
  <c r="AE25" i="9"/>
  <c r="AF25" i="9"/>
  <c r="AX25" i="9"/>
  <c r="AW25" i="9"/>
  <c r="BB46" i="9"/>
  <c r="AK46" i="9"/>
  <c r="AD46" i="9"/>
  <c r="AM46" i="9"/>
  <c r="AL46" i="9"/>
  <c r="AN46" i="9"/>
  <c r="AF46" i="9"/>
  <c r="AE46" i="9"/>
  <c r="AI46" i="9"/>
  <c r="AJ46" i="9"/>
  <c r="AO46" i="9"/>
  <c r="AH46" i="9"/>
  <c r="AG46" i="9"/>
  <c r="AT46" i="9"/>
  <c r="BA46" i="9"/>
  <c r="AX46" i="9"/>
  <c r="AQ46" i="9"/>
  <c r="AZ46" i="9"/>
  <c r="AU46" i="9"/>
  <c r="AR46" i="9"/>
  <c r="AV46" i="9"/>
  <c r="AS46" i="9"/>
  <c r="AY46" i="9"/>
  <c r="AW46" i="9"/>
  <c r="AP46" i="9"/>
  <c r="AP45" i="9"/>
  <c r="AX45" i="9"/>
  <c r="AI45" i="9"/>
  <c r="AY45" i="9"/>
  <c r="AM45" i="9"/>
  <c r="AV45" i="9"/>
  <c r="AK45" i="9"/>
  <c r="AT45" i="9"/>
  <c r="AJ45" i="9"/>
  <c r="AS45" i="9"/>
  <c r="AL45" i="9"/>
  <c r="AR45" i="9"/>
  <c r="AD45" i="9"/>
  <c r="AW45" i="9"/>
  <c r="AE45" i="9"/>
  <c r="AZ45" i="9"/>
  <c r="AG45" i="9"/>
  <c r="AH45" i="9"/>
  <c r="AQ45" i="9"/>
  <c r="AO45" i="9"/>
  <c r="AU45" i="9"/>
  <c r="BB45" i="9"/>
  <c r="AN45" i="9"/>
  <c r="BA45" i="9"/>
  <c r="AF45" i="9"/>
  <c r="BA24" i="9"/>
  <c r="AM24" i="9"/>
  <c r="AQ24" i="9"/>
  <c r="AJ24" i="9"/>
  <c r="AY24" i="9"/>
  <c r="AK24" i="9"/>
  <c r="AZ24" i="9"/>
  <c r="AN24" i="9"/>
  <c r="AG24" i="9"/>
  <c r="AL24" i="9"/>
  <c r="AD24" i="9"/>
  <c r="AW24" i="9"/>
  <c r="AU24" i="9"/>
  <c r="AX24" i="9"/>
  <c r="AP24" i="9"/>
  <c r="AT24" i="9"/>
  <c r="AV24" i="9"/>
  <c r="AF24" i="9"/>
  <c r="AE24" i="9"/>
  <c r="AR24" i="9"/>
  <c r="AI24" i="9"/>
  <c r="AO24" i="9"/>
  <c r="AS24" i="9"/>
  <c r="BB24" i="9"/>
  <c r="AH24" i="9"/>
  <c r="AI23" i="9"/>
  <c r="AV23" i="9"/>
  <c r="AT23" i="9"/>
  <c r="AZ23" i="9"/>
  <c r="AH23" i="9"/>
  <c r="AF23" i="9"/>
  <c r="AK23" i="9"/>
  <c r="AE23" i="9"/>
  <c r="BB23" i="9"/>
  <c r="AP23" i="9"/>
  <c r="AY23" i="9"/>
  <c r="BA23" i="9"/>
  <c r="AL23" i="9"/>
  <c r="AN23" i="9"/>
  <c r="AO23" i="9"/>
  <c r="AD23" i="9"/>
  <c r="AW23" i="9"/>
  <c r="AS23" i="9"/>
  <c r="AU23" i="9"/>
  <c r="AG23" i="9"/>
  <c r="AR23" i="9"/>
  <c r="AM23" i="9"/>
  <c r="AQ23" i="9"/>
  <c r="AX23" i="9"/>
  <c r="AJ23" i="9"/>
  <c r="AE10" i="9"/>
  <c r="AH10" i="9"/>
  <c r="AN10" i="9"/>
  <c r="AX10" i="9"/>
  <c r="AK10" i="9"/>
  <c r="AT10" i="9"/>
  <c r="BA10" i="9"/>
  <c r="AQ10" i="9"/>
  <c r="AJ10" i="9"/>
  <c r="AM10" i="9"/>
  <c r="AP10" i="9"/>
  <c r="AL10" i="9"/>
  <c r="AZ10" i="9"/>
  <c r="AO10" i="9"/>
  <c r="AR10" i="9"/>
  <c r="AV10" i="9"/>
  <c r="AF10" i="9"/>
  <c r="BB10" i="9"/>
  <c r="AG10" i="9"/>
  <c r="AY10" i="9"/>
  <c r="AD10" i="9"/>
  <c r="AW10" i="9"/>
  <c r="AS10" i="9"/>
  <c r="AI10" i="9"/>
  <c r="AU10" i="9"/>
  <c r="AP43" i="9"/>
  <c r="AX43" i="9"/>
  <c r="AS43" i="9"/>
  <c r="AH43" i="9"/>
  <c r="AR43" i="9"/>
  <c r="AF43" i="9"/>
  <c r="AY43" i="9"/>
  <c r="BA43" i="9"/>
  <c r="AO43" i="9"/>
  <c r="AK43" i="9"/>
  <c r="BB43" i="9"/>
  <c r="AL43" i="9"/>
  <c r="AT43" i="9"/>
  <c r="AE43" i="9"/>
  <c r="AV43" i="9"/>
  <c r="AD43" i="9"/>
  <c r="AQ43" i="9"/>
  <c r="AN43" i="9"/>
  <c r="AZ43" i="9"/>
  <c r="AI43" i="9"/>
  <c r="AU43" i="9"/>
  <c r="AW43" i="9"/>
  <c r="AJ43" i="9"/>
  <c r="AM43" i="9"/>
  <c r="AG43" i="9"/>
  <c r="AR7" i="9"/>
  <c r="AP7" i="9"/>
  <c r="AZ7" i="9"/>
  <c r="AQ7" i="9"/>
  <c r="AV7" i="9"/>
  <c r="AM7" i="9"/>
  <c r="AL7" i="9"/>
  <c r="AT7" i="9"/>
  <c r="AN7" i="9"/>
  <c r="BA7" i="9"/>
  <c r="AJ7" i="9"/>
  <c r="AS7" i="9"/>
  <c r="AX7" i="9"/>
  <c r="AY7" i="9"/>
  <c r="AO7" i="9"/>
  <c r="AE7" i="9"/>
  <c r="AW7" i="9"/>
  <c r="BB7" i="9"/>
  <c r="AK7" i="9"/>
  <c r="AI7" i="9"/>
  <c r="AU7" i="9"/>
  <c r="AD7" i="9"/>
  <c r="AH7" i="9"/>
  <c r="AG7" i="9"/>
  <c r="AF7" i="9"/>
  <c r="AW11" i="9"/>
  <c r="AT11" i="9"/>
  <c r="AF11" i="9"/>
  <c r="AI11" i="9"/>
  <c r="AR11" i="9"/>
  <c r="AQ11" i="9"/>
  <c r="AO11" i="9"/>
  <c r="AH11" i="9"/>
  <c r="AN11" i="9"/>
  <c r="AJ11" i="9"/>
  <c r="AX11" i="9"/>
  <c r="AD11" i="9"/>
  <c r="AG11" i="9"/>
  <c r="AE11" i="9"/>
  <c r="AZ11" i="9"/>
  <c r="AP11" i="9"/>
  <c r="AS11" i="9"/>
  <c r="AL11" i="9"/>
  <c r="AK11" i="9"/>
  <c r="AY11" i="9"/>
  <c r="AV11" i="9"/>
  <c r="BB11" i="9"/>
  <c r="AU11" i="9"/>
  <c r="BA11" i="9"/>
  <c r="AM11" i="9"/>
  <c r="AF42" i="9"/>
  <c r="BA42" i="9"/>
  <c r="AJ42" i="9"/>
  <c r="AX42" i="9"/>
  <c r="AG42" i="9"/>
  <c r="AQ42" i="9"/>
  <c r="AL42" i="9"/>
  <c r="AV42" i="9"/>
  <c r="AS42" i="9"/>
  <c r="AO42" i="9"/>
  <c r="AK42" i="9"/>
  <c r="AT42" i="9"/>
  <c r="AH42" i="9"/>
  <c r="BB42" i="9"/>
  <c r="AM42" i="9"/>
  <c r="AU42" i="9"/>
  <c r="AE42" i="9"/>
  <c r="AZ42" i="9"/>
  <c r="AY42" i="9"/>
  <c r="AN42" i="9"/>
  <c r="AP42" i="9"/>
  <c r="AR42" i="9"/>
  <c r="AD42" i="9"/>
  <c r="AW42" i="9"/>
  <c r="AI42" i="9"/>
  <c r="AY18" i="9"/>
  <c r="AF18" i="9"/>
  <c r="AO18" i="9"/>
  <c r="AR18" i="9"/>
  <c r="AV18" i="9"/>
  <c r="AK18" i="9"/>
  <c r="AX18" i="9"/>
  <c r="AM18" i="9"/>
  <c r="AI18" i="9"/>
  <c r="BB18" i="9"/>
  <c r="AL18" i="9"/>
  <c r="AT18" i="9"/>
  <c r="AD18" i="9"/>
  <c r="AW18" i="9"/>
  <c r="AH18" i="9"/>
  <c r="AS18" i="9"/>
  <c r="AJ18" i="9"/>
  <c r="AG18" i="9"/>
  <c r="BA18" i="9"/>
  <c r="AU18" i="9"/>
  <c r="AP18" i="9"/>
  <c r="AN18" i="9"/>
  <c r="AZ18" i="9"/>
  <c r="AE18" i="9"/>
  <c r="AQ18" i="9"/>
  <c r="AW9" i="9"/>
  <c r="AD9" i="9"/>
  <c r="AX9" i="9"/>
  <c r="AM9" i="9"/>
  <c r="AU9" i="9"/>
  <c r="AP9" i="9"/>
  <c r="AG9" i="9"/>
  <c r="AZ9" i="9"/>
  <c r="AQ9" i="9"/>
  <c r="AF9" i="9"/>
  <c r="AV9" i="9"/>
  <c r="AN9" i="9"/>
  <c r="AK9" i="9"/>
  <c r="BB9" i="9"/>
  <c r="BA9" i="9"/>
  <c r="AJ9" i="9"/>
  <c r="AT9" i="9"/>
  <c r="AY9" i="9"/>
  <c r="AO9" i="9"/>
  <c r="AI9" i="9"/>
  <c r="AR9" i="9"/>
  <c r="AE9" i="9"/>
  <c r="AH9" i="9"/>
  <c r="AL9" i="9"/>
  <c r="AS9" i="9"/>
  <c r="AH17" i="9"/>
  <c r="AK17" i="9"/>
  <c r="AP17" i="9"/>
  <c r="AU17" i="9"/>
  <c r="AL17" i="9"/>
  <c r="AE17" i="9"/>
  <c r="AO17" i="9"/>
  <c r="AV17" i="9"/>
  <c r="AD17" i="9"/>
  <c r="AG17" i="9"/>
  <c r="AN17" i="9"/>
  <c r="BB17" i="9"/>
  <c r="AM17" i="9"/>
  <c r="AW17" i="9"/>
  <c r="AJ17" i="9"/>
  <c r="AR17" i="9"/>
  <c r="AS17" i="9"/>
  <c r="AY17" i="9"/>
  <c r="AT17" i="9"/>
  <c r="AX17" i="9"/>
  <c r="AZ17" i="9"/>
  <c r="BA17" i="9"/>
  <c r="AI17" i="9"/>
  <c r="AQ17" i="9"/>
  <c r="AF17" i="9"/>
  <c r="AV37" i="9"/>
  <c r="AY37" i="9"/>
  <c r="AH37" i="9"/>
  <c r="AG37" i="9"/>
  <c r="BB37" i="9"/>
  <c r="AI37" i="9"/>
  <c r="AP37" i="9"/>
  <c r="BA37" i="9"/>
  <c r="AM37" i="9"/>
  <c r="AX37" i="9"/>
  <c r="AD37" i="9"/>
  <c r="AQ37" i="9"/>
  <c r="AS37" i="9"/>
  <c r="AK37" i="9"/>
  <c r="AF37" i="9"/>
  <c r="AZ37" i="9"/>
  <c r="AE37" i="9"/>
  <c r="AT37" i="9"/>
  <c r="AN37" i="9"/>
  <c r="AU37" i="9"/>
  <c r="AL37" i="9"/>
  <c r="AW37" i="9"/>
  <c r="AJ37" i="9"/>
  <c r="AR37" i="9"/>
  <c r="AO37" i="9"/>
  <c r="AZ44" i="9"/>
  <c r="AM44" i="9"/>
  <c r="AI44" i="9"/>
  <c r="AT44" i="9"/>
  <c r="AG44" i="9"/>
  <c r="AQ44" i="9"/>
  <c r="AO44" i="9"/>
  <c r="AX44" i="9"/>
  <c r="AK44" i="9"/>
  <c r="AV44" i="9"/>
  <c r="AJ44" i="9"/>
  <c r="AU44" i="9"/>
  <c r="BA44" i="9"/>
  <c r="AL44" i="9"/>
  <c r="AR44" i="9"/>
  <c r="AD44" i="9"/>
  <c r="AY44" i="9"/>
  <c r="AS44" i="9"/>
  <c r="AN44" i="9"/>
  <c r="AW44" i="9"/>
  <c r="BB44" i="9"/>
  <c r="AF44" i="9"/>
  <c r="AE44" i="9"/>
  <c r="AP44" i="9"/>
  <c r="AH44" i="9"/>
  <c r="AY19" i="9"/>
  <c r="AD19" i="9"/>
  <c r="AZ19" i="9"/>
  <c r="AQ19" i="9"/>
  <c r="AM19" i="9"/>
  <c r="AS19" i="9"/>
  <c r="AJ19" i="9"/>
  <c r="AW19" i="9"/>
  <c r="AR19" i="9"/>
  <c r="AE19" i="9"/>
  <c r="AU19" i="9"/>
  <c r="BB19" i="9"/>
  <c r="AK19" i="9"/>
  <c r="AO19" i="9"/>
  <c r="AX19" i="9"/>
  <c r="AT19" i="9"/>
  <c r="AV19" i="9"/>
  <c r="AF19" i="9"/>
  <c r="AN19" i="9"/>
  <c r="BA19" i="9"/>
  <c r="AH19" i="9"/>
  <c r="AG19" i="9"/>
  <c r="AP19" i="9"/>
  <c r="AI19" i="9"/>
  <c r="AL19" i="9"/>
  <c r="AR3" i="9"/>
  <c r="BA3" i="9"/>
  <c r="AU3" i="9"/>
  <c r="AV3" i="9"/>
  <c r="AL3" i="9"/>
  <c r="AO3" i="9"/>
  <c r="AE3" i="9"/>
  <c r="AS3" i="9"/>
  <c r="AN3" i="9"/>
  <c r="AM3" i="9"/>
  <c r="AQ3" i="9"/>
  <c r="AW3" i="9"/>
  <c r="AK3" i="9"/>
  <c r="AI3" i="9"/>
  <c r="BB3" i="9"/>
  <c r="AJ3" i="9"/>
  <c r="AF3" i="9"/>
  <c r="AT3" i="9"/>
  <c r="AH3" i="9"/>
  <c r="AP3" i="9"/>
  <c r="AD3" i="9"/>
  <c r="AX3" i="9"/>
  <c r="AY3" i="9"/>
  <c r="AG3" i="9"/>
  <c r="AZ3" i="9"/>
  <c r="AW15" i="9"/>
  <c r="AY15" i="9"/>
  <c r="AQ15" i="9"/>
  <c r="AE15" i="9"/>
  <c r="AR15" i="9"/>
  <c r="AH15" i="9"/>
  <c r="AS15" i="9"/>
  <c r="AO15" i="9"/>
  <c r="AN15" i="9"/>
  <c r="AD15" i="9"/>
  <c r="AP15" i="9"/>
  <c r="AK15" i="9"/>
  <c r="AI15" i="9"/>
  <c r="BA15" i="9"/>
  <c r="AL15" i="9"/>
  <c r="AJ15" i="9"/>
  <c r="BB15" i="9"/>
  <c r="AU15" i="9"/>
  <c r="AZ15" i="9"/>
  <c r="AG15" i="9"/>
  <c r="AV15" i="9"/>
  <c r="AX15" i="9"/>
  <c r="AT15" i="9"/>
  <c r="AM15" i="9"/>
  <c r="AF15" i="9"/>
  <c r="AR22" i="9"/>
  <c r="AO22" i="9"/>
  <c r="AF22" i="9"/>
  <c r="AJ22" i="9"/>
  <c r="AN22" i="9"/>
  <c r="AU22" i="9"/>
  <c r="AZ22" i="9"/>
  <c r="AV22" i="9"/>
  <c r="AK22" i="9"/>
  <c r="AX22" i="9"/>
  <c r="AT22" i="9"/>
  <c r="AD22" i="9"/>
  <c r="BA22" i="9"/>
  <c r="AL22" i="9"/>
  <c r="AP22" i="9"/>
  <c r="AS22" i="9"/>
  <c r="AH22" i="9"/>
  <c r="AI22" i="9"/>
  <c r="AM22" i="9"/>
  <c r="BB22" i="9"/>
  <c r="AY22" i="9"/>
  <c r="AE22" i="9"/>
  <c r="AQ22" i="9"/>
  <c r="AW22" i="9"/>
  <c r="AG22" i="9"/>
  <c r="AK21" i="9"/>
  <c r="AX21" i="9"/>
  <c r="AD21" i="9"/>
  <c r="AN21" i="9"/>
  <c r="AW21" i="9"/>
  <c r="AE21" i="9"/>
  <c r="AI21" i="9"/>
  <c r="AY21" i="9"/>
  <c r="AF21" i="9"/>
  <c r="AT21" i="9"/>
  <c r="AO21" i="9"/>
  <c r="AQ21" i="9"/>
  <c r="AH21" i="9"/>
  <c r="BB21" i="9"/>
  <c r="AZ21" i="9"/>
  <c r="AV21" i="9"/>
  <c r="AM21" i="9"/>
  <c r="AU21" i="9"/>
  <c r="AR21" i="9"/>
  <c r="BA21" i="9"/>
  <c r="AG21" i="9"/>
  <c r="AS21" i="9"/>
  <c r="AL21" i="9"/>
  <c r="AP21" i="9"/>
  <c r="AJ21" i="9"/>
  <c r="AT41" i="9"/>
  <c r="AJ41" i="9"/>
  <c r="AG41" i="9"/>
  <c r="AY41" i="9"/>
  <c r="AU41" i="9"/>
  <c r="AD41" i="9"/>
  <c r="AR41" i="9"/>
  <c r="AX41" i="9"/>
  <c r="AE41" i="9"/>
  <c r="AN41" i="9"/>
  <c r="AS41" i="9"/>
  <c r="AW41" i="9"/>
  <c r="AV41" i="9"/>
  <c r="AL41" i="9"/>
  <c r="AQ41" i="9"/>
  <c r="AF41" i="9"/>
  <c r="AP41" i="9"/>
  <c r="AI41" i="9"/>
  <c r="BB41" i="9"/>
  <c r="AM41" i="9"/>
  <c r="AO41" i="9"/>
  <c r="AZ41" i="9"/>
  <c r="AK41" i="9"/>
  <c r="BA41" i="9"/>
  <c r="AH41" i="9"/>
  <c r="AH13" i="9"/>
  <c r="AU13" i="9"/>
  <c r="AL13" i="9"/>
  <c r="AG13" i="9"/>
  <c r="AZ13" i="9"/>
  <c r="AM13" i="9"/>
  <c r="AV13" i="9"/>
  <c r="AE13" i="9"/>
  <c r="AS13" i="9"/>
  <c r="AY13" i="9"/>
  <c r="AD13" i="9"/>
  <c r="BA13" i="9"/>
  <c r="AK13" i="9"/>
  <c r="AN13" i="9"/>
  <c r="AP13" i="9"/>
  <c r="AI13" i="9"/>
  <c r="AW13" i="9"/>
  <c r="AT13" i="9"/>
  <c r="BB13" i="9"/>
  <c r="AJ13" i="9"/>
  <c r="AX13" i="9"/>
  <c r="AF13" i="9"/>
  <c r="AR13" i="9"/>
  <c r="AQ13" i="9"/>
  <c r="AO13" i="9"/>
  <c r="AS38" i="9"/>
  <c r="BB38" i="9"/>
  <c r="AD38" i="9"/>
  <c r="AU38" i="9"/>
  <c r="BA38" i="9"/>
  <c r="AJ38" i="9"/>
  <c r="AZ38" i="9"/>
  <c r="AM38" i="9"/>
  <c r="AQ38" i="9"/>
  <c r="AO38" i="9"/>
  <c r="AG38" i="9"/>
  <c r="AX38" i="9"/>
  <c r="AP38" i="9"/>
  <c r="AN38" i="9"/>
  <c r="AI38" i="9"/>
  <c r="AF38" i="9"/>
  <c r="AT38" i="9"/>
  <c r="AK38" i="9"/>
  <c r="AV38" i="9"/>
  <c r="AL38" i="9"/>
  <c r="AW38" i="9"/>
  <c r="AR38" i="9"/>
  <c r="AE38" i="9"/>
  <c r="AY38" i="9"/>
  <c r="AH38" i="9"/>
  <c r="AM39" i="9"/>
  <c r="AT39" i="9"/>
  <c r="AO39" i="9"/>
  <c r="AK39" i="9"/>
  <c r="BA39" i="9"/>
  <c r="AQ39" i="9"/>
  <c r="AE39" i="9"/>
  <c r="AR39" i="9"/>
  <c r="AG39" i="9"/>
  <c r="AJ39" i="9"/>
  <c r="AX39" i="9"/>
  <c r="AI39" i="9"/>
  <c r="AW39" i="9"/>
  <c r="AY39" i="9"/>
  <c r="AN39" i="9"/>
  <c r="AS39" i="9"/>
  <c r="AL39" i="9"/>
  <c r="AU39" i="9"/>
  <c r="AD39" i="9"/>
  <c r="BB39" i="9"/>
  <c r="AZ39" i="9"/>
  <c r="AF39" i="9"/>
  <c r="AV39" i="9"/>
  <c r="AP39" i="9"/>
  <c r="AH39" i="9"/>
  <c r="AM12" i="9"/>
  <c r="AP12" i="9"/>
  <c r="AF12" i="9"/>
  <c r="AJ12" i="9"/>
  <c r="AY12" i="9"/>
  <c r="AT12" i="9"/>
  <c r="AG12" i="9"/>
  <c r="AV12" i="9"/>
  <c r="AS12" i="9"/>
  <c r="BB12" i="9"/>
  <c r="AI12" i="9"/>
  <c r="AQ12" i="9"/>
  <c r="AL12" i="9"/>
  <c r="AN12" i="9"/>
  <c r="AO12" i="9"/>
  <c r="AR12" i="9"/>
  <c r="AE12" i="9"/>
  <c r="AW12" i="9"/>
  <c r="AU12" i="9"/>
  <c r="AD12" i="9"/>
  <c r="AZ12" i="9"/>
  <c r="AK12" i="9"/>
  <c r="BA12" i="9"/>
  <c r="AX12" i="9"/>
  <c r="AH12" i="9"/>
  <c r="AM14" i="9"/>
  <c r="AF14" i="9"/>
  <c r="AT14" i="9"/>
  <c r="AI14" i="9"/>
  <c r="AZ14" i="9"/>
  <c r="BB14" i="9"/>
  <c r="AK14" i="9"/>
  <c r="AW14" i="9"/>
  <c r="AE14" i="9"/>
  <c r="BA14" i="9"/>
  <c r="AL14" i="9"/>
  <c r="AN14" i="9"/>
  <c r="AR14" i="9"/>
  <c r="AX14" i="9"/>
  <c r="AJ14" i="9"/>
  <c r="AD14" i="9"/>
  <c r="AU14" i="9"/>
  <c r="AY14" i="9"/>
  <c r="AV14" i="9"/>
  <c r="AO14" i="9"/>
  <c r="AG14" i="9"/>
  <c r="AP14" i="9"/>
  <c r="AS14" i="9"/>
  <c r="AH14" i="9"/>
  <c r="AQ14" i="9"/>
  <c r="AJ40" i="9"/>
  <c r="AP40" i="9"/>
  <c r="AN40" i="9"/>
  <c r="AK40" i="9"/>
  <c r="AY40" i="9"/>
  <c r="AM40" i="9"/>
  <c r="AX40" i="9"/>
  <c r="AE40" i="9"/>
  <c r="AS40" i="9"/>
  <c r="AL40" i="9"/>
  <c r="AW40" i="9"/>
  <c r="AG40" i="9"/>
  <c r="AH40" i="9"/>
  <c r="AV40" i="9"/>
  <c r="BA40" i="9"/>
  <c r="AR40" i="9"/>
  <c r="AO40" i="9"/>
  <c r="AT40" i="9"/>
  <c r="AI40" i="9"/>
  <c r="BB40" i="9"/>
  <c r="AU40" i="9"/>
  <c r="AD40" i="9"/>
  <c r="AQ40" i="9"/>
  <c r="AZ40" i="9"/>
  <c r="AF40" i="9"/>
  <c r="BA20" i="9"/>
  <c r="AM20" i="9"/>
  <c r="AE20" i="9"/>
  <c r="AS20" i="9"/>
  <c r="AY20" i="9"/>
  <c r="AK20" i="9"/>
  <c r="AF20" i="9"/>
  <c r="AG20" i="9"/>
  <c r="AP20" i="9"/>
  <c r="AD20" i="9"/>
  <c r="BB20" i="9"/>
  <c r="AZ20" i="9"/>
  <c r="AW20" i="9"/>
  <c r="AH20" i="9"/>
  <c r="AQ20" i="9"/>
  <c r="AU20" i="9"/>
  <c r="AL20" i="9"/>
  <c r="AO20" i="9"/>
  <c r="AX20" i="9"/>
  <c r="AN20" i="9"/>
  <c r="AT20" i="9"/>
  <c r="AJ20" i="9"/>
  <c r="AR20" i="9"/>
  <c r="AV20" i="9"/>
  <c r="AI20" i="9"/>
  <c r="AV4" i="9"/>
  <c r="AT4" i="9"/>
  <c r="AK4" i="9"/>
  <c r="AI4" i="9"/>
  <c r="AU4" i="9"/>
  <c r="AR4" i="9"/>
  <c r="AX4" i="9"/>
  <c r="BB4" i="9"/>
  <c r="AZ4" i="9"/>
  <c r="AY4" i="9"/>
  <c r="AN4" i="9"/>
  <c r="AS4" i="9"/>
  <c r="AD4" i="9"/>
  <c r="AW4" i="9"/>
  <c r="AP4" i="9"/>
  <c r="AO4" i="9"/>
  <c r="AE4" i="9"/>
  <c r="AF4" i="9"/>
  <c r="AG4" i="9"/>
  <c r="AQ4" i="9"/>
  <c r="AJ4" i="9"/>
  <c r="AH4" i="9"/>
  <c r="AM4" i="9"/>
  <c r="BA4" i="9"/>
  <c r="AL4" i="9"/>
  <c r="AW8" i="9"/>
  <c r="AK8" i="9"/>
  <c r="AF8" i="9"/>
  <c r="AV8" i="9"/>
  <c r="AI8" i="9"/>
  <c r="AS8" i="9"/>
  <c r="AY8" i="9"/>
  <c r="AN8" i="9"/>
  <c r="AZ8" i="9"/>
  <c r="AR8" i="9"/>
  <c r="AQ8" i="9"/>
  <c r="AG8" i="9"/>
  <c r="AL8" i="9"/>
  <c r="BB8" i="9"/>
  <c r="AU8" i="9"/>
  <c r="AH8" i="9"/>
  <c r="BA8" i="9"/>
  <c r="AX8" i="9"/>
  <c r="AO8" i="9"/>
  <c r="AT8" i="9"/>
  <c r="AD8" i="9"/>
  <c r="AP8" i="9"/>
  <c r="AE8" i="9"/>
  <c r="AJ8" i="9"/>
  <c r="AM8" i="9"/>
  <c r="AW5" i="9"/>
  <c r="BA5" i="9"/>
  <c r="AS5" i="9"/>
  <c r="AT5" i="9"/>
  <c r="AR5" i="9"/>
  <c r="AG5" i="9"/>
  <c r="AM5" i="9"/>
  <c r="AQ5" i="9"/>
  <c r="AO5" i="9"/>
  <c r="AV5" i="9"/>
  <c r="AN5" i="9"/>
  <c r="AD5" i="9"/>
  <c r="AF5" i="9"/>
  <c r="AJ5" i="9"/>
  <c r="AL5" i="9"/>
  <c r="AY5" i="9"/>
  <c r="AI5" i="9"/>
  <c r="AH5" i="9"/>
  <c r="AZ5" i="9"/>
  <c r="AP5" i="9"/>
  <c r="BB5" i="9"/>
  <c r="AX5" i="9"/>
  <c r="AK5" i="9"/>
  <c r="AU5" i="9"/>
  <c r="AE5" i="9"/>
  <c r="AE16" i="9"/>
  <c r="AO16" i="9"/>
  <c r="AW16" i="9"/>
  <c r="AM16" i="9"/>
  <c r="AX16" i="9"/>
  <c r="BA16" i="9"/>
  <c r="AS16" i="9"/>
  <c r="AJ16" i="9"/>
  <c r="AV16" i="9"/>
  <c r="AY16" i="9"/>
  <c r="AR16" i="9"/>
  <c r="BB16" i="9"/>
  <c r="AU16" i="9"/>
  <c r="AG16" i="9"/>
  <c r="AT16" i="9"/>
  <c r="AQ16" i="9"/>
  <c r="AP16" i="9"/>
  <c r="AZ16" i="9"/>
  <c r="AF16" i="9"/>
  <c r="AN16" i="9"/>
  <c r="AK16" i="9"/>
  <c r="AD16" i="9"/>
  <c r="AL16" i="9"/>
  <c r="AI16" i="9"/>
  <c r="AH16" i="9"/>
  <c r="AP6" i="9"/>
  <c r="AE6" i="9"/>
  <c r="AW6" i="9"/>
  <c r="AY6" i="9"/>
  <c r="AL6" i="9"/>
  <c r="AT6" i="9"/>
  <c r="AD6" i="9"/>
  <c r="AX6" i="9"/>
  <c r="AN6" i="9"/>
  <c r="AO6" i="9"/>
  <c r="AH6" i="9"/>
  <c r="AI6" i="9"/>
  <c r="AU6" i="9"/>
  <c r="AQ6" i="9"/>
  <c r="AG6" i="9"/>
  <c r="AV6" i="9"/>
  <c r="BB6" i="9"/>
  <c r="AS6" i="9"/>
  <c r="AF6" i="9"/>
  <c r="AJ6" i="9"/>
  <c r="AZ6" i="9"/>
  <c r="AR6" i="9"/>
  <c r="AM6" i="9"/>
  <c r="BA6" i="9"/>
  <c r="AK6" i="9"/>
  <c r="BA35" i="9"/>
  <c r="AY35" i="9"/>
  <c r="AJ35" i="9"/>
  <c r="AZ35" i="9"/>
  <c r="AU35" i="9"/>
  <c r="AF35" i="9"/>
  <c r="AT35" i="9"/>
  <c r="AE35" i="9"/>
  <c r="AP35" i="9"/>
  <c r="AN35" i="9"/>
  <c r="AW35" i="9"/>
  <c r="AL35" i="9"/>
  <c r="AK35" i="9"/>
  <c r="AQ35" i="9"/>
  <c r="AV35" i="9"/>
  <c r="AG35" i="9"/>
  <c r="AS35" i="9"/>
  <c r="AX35" i="9"/>
  <c r="AR35" i="9"/>
  <c r="AM35" i="9"/>
  <c r="AI35" i="9"/>
  <c r="BB35" i="9"/>
  <c r="AD35" i="9"/>
  <c r="AO35" i="9"/>
  <c r="AH35" i="9"/>
  <c r="AL36" i="9"/>
  <c r="AX36" i="9"/>
  <c r="BB36" i="9"/>
  <c r="AK36" i="9"/>
  <c r="AQ36" i="9"/>
  <c r="AF36" i="9"/>
  <c r="AH36" i="9"/>
  <c r="AW36" i="9"/>
  <c r="AV36" i="9"/>
  <c r="AU36" i="9"/>
  <c r="AN36" i="9"/>
  <c r="AS36" i="9"/>
  <c r="AD36" i="9"/>
  <c r="AZ36" i="9"/>
  <c r="AP36" i="9"/>
  <c r="AO36" i="9"/>
  <c r="BA36" i="9"/>
  <c r="AG36" i="9"/>
  <c r="AJ36" i="9"/>
  <c r="AM36" i="9"/>
  <c r="AY36" i="9"/>
  <c r="AE36" i="9"/>
  <c r="AR36" i="9"/>
  <c r="AT36" i="9"/>
  <c r="AI36" i="9"/>
  <c r="A25" i="9" l="1"/>
  <c r="A27" i="9"/>
  <c r="A26" i="9"/>
  <c r="A46" i="9"/>
  <c r="A45" i="9"/>
  <c r="A24" i="9"/>
  <c r="A23" i="9"/>
  <c r="A7" i="9"/>
  <c r="A14" i="9"/>
  <c r="A15" i="9"/>
  <c r="A19" i="9"/>
  <c r="A6" i="9"/>
  <c r="A8" i="9"/>
  <c r="A41" i="9"/>
  <c r="A10" i="9"/>
  <c r="A20" i="9"/>
  <c r="A38" i="9"/>
  <c r="A3" i="9"/>
  <c r="A9" i="9"/>
  <c r="A40" i="9"/>
  <c r="A37" i="9"/>
  <c r="A4" i="9"/>
  <c r="A36" i="9"/>
  <c r="A18" i="9"/>
  <c r="A21" i="9"/>
  <c r="A43" i="9"/>
  <c r="A16" i="9"/>
  <c r="A17" i="9"/>
  <c r="A35" i="9"/>
  <c r="A12" i="9"/>
  <c r="A13" i="9"/>
  <c r="A42" i="9"/>
  <c r="A11" i="9"/>
  <c r="A5" i="9"/>
  <c r="A39" i="9"/>
  <c r="A22" i="9"/>
  <c r="A44" i="9"/>
  <c r="E12" i="1" l="1"/>
  <c r="C17" i="1"/>
  <c r="G22" i="1"/>
  <c r="D23" i="1"/>
  <c r="C29" i="1"/>
  <c r="G35" i="1"/>
  <c r="D16" i="1"/>
  <c r="D19" i="1"/>
  <c r="G17" i="1"/>
  <c r="G16" i="1"/>
  <c r="D25" i="1"/>
  <c r="G19" i="1"/>
  <c r="D21" i="1"/>
  <c r="C24" i="1"/>
  <c r="D26" i="1"/>
  <c r="D14" i="1"/>
  <c r="G23" i="1"/>
  <c r="C18" i="1"/>
  <c r="C19" i="1"/>
  <c r="C9" i="1"/>
  <c r="G11" i="1"/>
  <c r="C22" i="1"/>
  <c r="E28" i="1"/>
  <c r="C15" i="1"/>
  <c r="E33" i="1"/>
  <c r="D22" i="1"/>
  <c r="E31" i="1"/>
  <c r="E16" i="1"/>
  <c r="E10" i="1"/>
  <c r="C20" i="1"/>
  <c r="D17" i="1"/>
  <c r="D13" i="1"/>
  <c r="D12" i="1"/>
  <c r="G27" i="1"/>
  <c r="G33" i="1"/>
  <c r="C26" i="1"/>
  <c r="D31" i="1"/>
  <c r="C35" i="1"/>
  <c r="G14" i="1"/>
  <c r="D9" i="1"/>
  <c r="G15" i="1"/>
  <c r="E14" i="1"/>
  <c r="C25" i="1"/>
  <c r="E32" i="1"/>
  <c r="D11" i="1"/>
  <c r="E21" i="1"/>
  <c r="C28" i="1"/>
  <c r="D20" i="1"/>
  <c r="E15" i="1"/>
  <c r="E29" i="1"/>
  <c r="D34" i="1"/>
  <c r="E8" i="1"/>
  <c r="D30" i="1"/>
  <c r="C34" i="1"/>
  <c r="C32" i="1"/>
  <c r="C14" i="1"/>
  <c r="G9" i="1"/>
  <c r="E34" i="1"/>
  <c r="E17" i="1"/>
  <c r="G25" i="1"/>
  <c r="E24" i="1"/>
  <c r="G21" i="1"/>
  <c r="G18" i="1"/>
  <c r="G32" i="1"/>
  <c r="D10" i="1"/>
  <c r="E22" i="1"/>
  <c r="E23" i="1"/>
  <c r="D29" i="1"/>
  <c r="D18" i="1"/>
  <c r="G12" i="1"/>
  <c r="D28" i="1"/>
  <c r="E20" i="1"/>
  <c r="G31" i="1"/>
  <c r="E19" i="1"/>
  <c r="E30" i="1"/>
  <c r="D15" i="1"/>
  <c r="G34" i="1"/>
  <c r="C33" i="1"/>
  <c r="C31" i="1"/>
  <c r="G20" i="1"/>
  <c r="G28" i="1"/>
  <c r="D24" i="1"/>
  <c r="G10" i="1"/>
  <c r="E35" i="1"/>
  <c r="C13" i="1"/>
  <c r="G13" i="1"/>
  <c r="D8" i="1"/>
  <c r="G26" i="1"/>
  <c r="D27" i="1"/>
  <c r="G29" i="1"/>
  <c r="E11" i="1"/>
  <c r="C10" i="1"/>
  <c r="C11" i="1"/>
  <c r="E25" i="1"/>
  <c r="D33" i="1"/>
  <c r="E26" i="1"/>
  <c r="C16" i="1"/>
  <c r="C23" i="1"/>
  <c r="C12" i="1"/>
  <c r="E13" i="1"/>
  <c r="D32" i="1"/>
  <c r="C30" i="1"/>
  <c r="C21" i="1"/>
  <c r="G24" i="1"/>
  <c r="G30" i="1"/>
  <c r="E18" i="1"/>
  <c r="C8" i="1"/>
  <c r="C27" i="1"/>
  <c r="D35" i="1"/>
  <c r="E9" i="1"/>
  <c r="G8" i="1"/>
  <c r="E27" i="1"/>
  <c r="G50" i="1"/>
  <c r="G49" i="1"/>
  <c r="D51" i="1"/>
  <c r="D43" i="1"/>
  <c r="D46" i="1"/>
  <c r="G51" i="1"/>
  <c r="E44" i="1"/>
  <c r="E43" i="1"/>
  <c r="G41" i="1"/>
  <c r="C49" i="1"/>
  <c r="D44" i="1"/>
  <c r="G48" i="1"/>
  <c r="G44" i="1"/>
  <c r="C41" i="1"/>
  <c r="D47" i="1"/>
  <c r="C45" i="1"/>
  <c r="G46" i="1"/>
  <c r="C47" i="1"/>
  <c r="C42" i="1"/>
  <c r="E42" i="1"/>
  <c r="C44" i="1"/>
  <c r="G47" i="1"/>
  <c r="D39" i="1"/>
  <c r="E50" i="1"/>
  <c r="D49" i="1"/>
  <c r="D41" i="1"/>
  <c r="D48" i="1"/>
  <c r="C50" i="1"/>
  <c r="C40" i="1"/>
  <c r="C51" i="1"/>
  <c r="E39" i="1"/>
  <c r="G40" i="1"/>
  <c r="C46" i="1"/>
  <c r="D45" i="1"/>
  <c r="C43" i="1"/>
  <c r="C48" i="1"/>
  <c r="E51" i="1"/>
  <c r="G45" i="1"/>
  <c r="D40" i="1"/>
  <c r="E48" i="1"/>
  <c r="G43" i="1"/>
  <c r="G42" i="1"/>
  <c r="C39" i="1"/>
  <c r="E46" i="1"/>
  <c r="D42" i="1"/>
  <c r="E40" i="1"/>
  <c r="E45" i="1"/>
  <c r="G39" i="1"/>
  <c r="E47" i="1"/>
  <c r="E41" i="1"/>
  <c r="E49" i="1"/>
  <c r="D50" i="1"/>
  <c r="AB42" i="1" l="1"/>
  <c r="X42" i="1"/>
  <c r="AA42" i="1"/>
  <c r="Q42" i="1"/>
  <c r="Z42" i="1"/>
  <c r="Y42" i="1"/>
  <c r="W42" i="1"/>
  <c r="V42" i="1"/>
  <c r="AG42" i="1"/>
  <c r="U42" i="1"/>
  <c r="T42" i="1"/>
  <c r="R42" i="1"/>
  <c r="AF42" i="1"/>
  <c r="AE42" i="1"/>
  <c r="AD42" i="1"/>
  <c r="S42" i="1"/>
  <c r="AC42" i="1"/>
  <c r="AC39" i="1"/>
  <c r="AB39" i="1"/>
  <c r="Y39" i="1"/>
  <c r="AA39" i="1"/>
  <c r="X39" i="1"/>
  <c r="Z39" i="1"/>
  <c r="AD39" i="1"/>
  <c r="W39" i="1"/>
  <c r="V39" i="1"/>
  <c r="U39" i="1"/>
  <c r="AF39" i="1"/>
  <c r="AG39" i="1"/>
  <c r="T39" i="1"/>
  <c r="R39" i="1"/>
  <c r="AE39" i="1"/>
  <c r="S39" i="1"/>
  <c r="Q39" i="1"/>
  <c r="U47" i="1"/>
  <c r="AF47" i="1"/>
  <c r="T47" i="1"/>
  <c r="AE47" i="1"/>
  <c r="S47" i="1"/>
  <c r="AD47" i="1"/>
  <c r="R47" i="1"/>
  <c r="AB47" i="1"/>
  <c r="AC47" i="1"/>
  <c r="AA47" i="1"/>
  <c r="Z47" i="1"/>
  <c r="Q47" i="1"/>
  <c r="Y47" i="1"/>
  <c r="X47" i="1"/>
  <c r="W47" i="1"/>
  <c r="V47" i="1"/>
  <c r="AG47" i="1"/>
  <c r="Q40" i="1"/>
  <c r="Y40" i="1"/>
  <c r="T40" i="1"/>
  <c r="X40" i="1"/>
  <c r="AF40" i="1"/>
  <c r="W40" i="1"/>
  <c r="V40" i="1"/>
  <c r="U40" i="1"/>
  <c r="AG40" i="1"/>
  <c r="Z40" i="1"/>
  <c r="AE40" i="1"/>
  <c r="S40" i="1"/>
  <c r="AD40" i="1"/>
  <c r="R40" i="1"/>
  <c r="AC40" i="1"/>
  <c r="AB40" i="1"/>
  <c r="AA40" i="1"/>
  <c r="AG50" i="1"/>
  <c r="U50" i="1"/>
  <c r="AF50" i="1"/>
  <c r="T50" i="1"/>
  <c r="AE50" i="1"/>
  <c r="S50" i="1"/>
  <c r="AD50" i="1"/>
  <c r="R50" i="1"/>
  <c r="AC50" i="1"/>
  <c r="AB50" i="1"/>
  <c r="AA50" i="1"/>
  <c r="Z50" i="1"/>
  <c r="Q50" i="1"/>
  <c r="Y50" i="1"/>
  <c r="X50" i="1"/>
  <c r="W50" i="1"/>
  <c r="V50" i="1"/>
  <c r="AC45" i="1"/>
  <c r="AB45" i="1"/>
  <c r="Q45" i="1"/>
  <c r="AA45" i="1"/>
  <c r="Z45" i="1"/>
  <c r="X45" i="1"/>
  <c r="Y45" i="1"/>
  <c r="W45" i="1"/>
  <c r="V45" i="1"/>
  <c r="AG45" i="1"/>
  <c r="U45" i="1"/>
  <c r="AF45" i="1"/>
  <c r="T45" i="1"/>
  <c r="AE45" i="1"/>
  <c r="S45" i="1"/>
  <c r="AD45" i="1"/>
  <c r="R45" i="1"/>
  <c r="AG41" i="1"/>
  <c r="U41" i="1"/>
  <c r="Q41" i="1"/>
  <c r="AF41" i="1"/>
  <c r="AD41" i="1"/>
  <c r="T41" i="1"/>
  <c r="R41" i="1"/>
  <c r="AC41" i="1"/>
  <c r="AE41" i="1"/>
  <c r="S41" i="1"/>
  <c r="V41" i="1"/>
  <c r="AB41" i="1"/>
  <c r="AA41" i="1"/>
  <c r="Z41" i="1"/>
  <c r="Y41" i="1"/>
  <c r="X41" i="1"/>
  <c r="W41" i="1"/>
  <c r="AC48" i="1"/>
  <c r="AB48" i="1"/>
  <c r="AA48" i="1"/>
  <c r="X48" i="1"/>
  <c r="Z48" i="1"/>
  <c r="Y48" i="1"/>
  <c r="W48" i="1"/>
  <c r="V48" i="1"/>
  <c r="AG48" i="1"/>
  <c r="U48" i="1"/>
  <c r="Q48" i="1"/>
  <c r="T48" i="1"/>
  <c r="AF48" i="1"/>
  <c r="AE48" i="1"/>
  <c r="S48" i="1"/>
  <c r="AD48" i="1"/>
  <c r="R48" i="1"/>
  <c r="Y49" i="1"/>
  <c r="X49" i="1"/>
  <c r="AF49" i="1"/>
  <c r="W49" i="1"/>
  <c r="V49" i="1"/>
  <c r="AG49" i="1"/>
  <c r="T49" i="1"/>
  <c r="U49" i="1"/>
  <c r="AE49" i="1"/>
  <c r="S49" i="1"/>
  <c r="AD49" i="1"/>
  <c r="R49" i="1"/>
  <c r="Q49" i="1"/>
  <c r="AC49" i="1"/>
  <c r="AB49" i="1"/>
  <c r="AA49" i="1"/>
  <c r="Z49" i="1"/>
  <c r="X43" i="1"/>
  <c r="W43" i="1"/>
  <c r="AF43" i="1"/>
  <c r="V43" i="1"/>
  <c r="Q43" i="1"/>
  <c r="AG43" i="1"/>
  <c r="T43" i="1"/>
  <c r="U43" i="1"/>
  <c r="AE43" i="1"/>
  <c r="S43" i="1"/>
  <c r="AD43" i="1"/>
  <c r="R43" i="1"/>
  <c r="Y43" i="1"/>
  <c r="AC43" i="1"/>
  <c r="AB43" i="1"/>
  <c r="AA43" i="1"/>
  <c r="Z43" i="1"/>
  <c r="X46" i="1"/>
  <c r="W46" i="1"/>
  <c r="T46" i="1"/>
  <c r="AF46" i="1"/>
  <c r="V46" i="1"/>
  <c r="AG46" i="1"/>
  <c r="U46" i="1"/>
  <c r="Q46" i="1"/>
  <c r="AE46" i="1"/>
  <c r="S46" i="1"/>
  <c r="AD46" i="1"/>
  <c r="R46" i="1"/>
  <c r="AC46" i="1"/>
  <c r="AB46" i="1"/>
  <c r="AA46" i="1"/>
  <c r="Z46" i="1"/>
  <c r="Y46" i="1"/>
  <c r="U44" i="1"/>
  <c r="AF44" i="1"/>
  <c r="T44" i="1"/>
  <c r="AE44" i="1"/>
  <c r="AC44" i="1"/>
  <c r="S44" i="1"/>
  <c r="Q44" i="1"/>
  <c r="AG44" i="1"/>
  <c r="AD44" i="1"/>
  <c r="R44" i="1"/>
  <c r="AB44" i="1"/>
  <c r="AA44" i="1"/>
  <c r="Z44" i="1"/>
  <c r="Y44" i="1"/>
  <c r="X44" i="1"/>
  <c r="W44" i="1"/>
  <c r="V44" i="1"/>
  <c r="B33" i="17"/>
  <c r="B38" i="17"/>
  <c r="B16" i="17"/>
  <c r="X22" i="1"/>
  <c r="AD22" i="1"/>
  <c r="Y22" i="1"/>
  <c r="P22" i="1"/>
  <c r="Z22" i="1"/>
  <c r="AA22" i="1"/>
  <c r="AB22" i="1"/>
  <c r="R22" i="1"/>
  <c r="Q22" i="1"/>
  <c r="AC22" i="1"/>
  <c r="S22" i="1"/>
  <c r="AE22" i="1"/>
  <c r="T22" i="1"/>
  <c r="AF22" i="1"/>
  <c r="U22" i="1"/>
  <c r="AG22" i="1"/>
  <c r="V22" i="1"/>
  <c r="W22" i="1"/>
  <c r="AB26" i="1"/>
  <c r="Q26" i="1"/>
  <c r="AC26" i="1"/>
  <c r="R26" i="1"/>
  <c r="AD26" i="1"/>
  <c r="S26" i="1"/>
  <c r="AE26" i="1"/>
  <c r="T26" i="1"/>
  <c r="AF26" i="1"/>
  <c r="V26" i="1"/>
  <c r="U26" i="1"/>
  <c r="AG26" i="1"/>
  <c r="W26" i="1"/>
  <c r="P26" i="1"/>
  <c r="X26" i="1"/>
  <c r="Y26" i="1"/>
  <c r="Z26" i="1"/>
  <c r="AA26" i="1"/>
  <c r="B5" i="17"/>
  <c r="S11" i="1"/>
  <c r="AE11" i="1"/>
  <c r="T11" i="1"/>
  <c r="AF11" i="1"/>
  <c r="U11" i="1"/>
  <c r="AG11" i="1"/>
  <c r="V11" i="1"/>
  <c r="W11" i="1"/>
  <c r="P11" i="1"/>
  <c r="X11" i="1"/>
  <c r="Z11" i="1"/>
  <c r="AA11" i="1"/>
  <c r="AB11" i="1"/>
  <c r="Q11" i="1"/>
  <c r="AC11" i="1"/>
  <c r="Y11" i="1"/>
  <c r="R11" i="1"/>
  <c r="AD11" i="1"/>
  <c r="B22" i="17"/>
  <c r="R28" i="1"/>
  <c r="AD28" i="1"/>
  <c r="S28" i="1"/>
  <c r="AE28" i="1"/>
  <c r="T28" i="1"/>
  <c r="AF28" i="1"/>
  <c r="U28" i="1"/>
  <c r="AG28" i="1"/>
  <c r="V28" i="1"/>
  <c r="W28" i="1"/>
  <c r="X28" i="1"/>
  <c r="Y28" i="1"/>
  <c r="Z28" i="1"/>
  <c r="Q28" i="1"/>
  <c r="AA28" i="1"/>
  <c r="P28" i="1"/>
  <c r="AB28" i="1"/>
  <c r="AC28" i="1"/>
  <c r="B4" i="17"/>
  <c r="X10" i="1"/>
  <c r="R10" i="1"/>
  <c r="Y10" i="1"/>
  <c r="Z10" i="1"/>
  <c r="AA10" i="1"/>
  <c r="P10" i="1"/>
  <c r="AB10" i="1"/>
  <c r="Q10" i="1"/>
  <c r="AC10" i="1"/>
  <c r="S10" i="1"/>
  <c r="AE10" i="1"/>
  <c r="AD10" i="1"/>
  <c r="T10" i="1"/>
  <c r="AF10" i="1"/>
  <c r="U10" i="1"/>
  <c r="AG10" i="1"/>
  <c r="V10" i="1"/>
  <c r="W10" i="1"/>
  <c r="B8" i="17"/>
  <c r="AB14" i="1"/>
  <c r="Q14" i="1"/>
  <c r="AC14" i="1"/>
  <c r="R14" i="1"/>
  <c r="AD14" i="1"/>
  <c r="S14" i="1"/>
  <c r="AE14" i="1"/>
  <c r="V14" i="1"/>
  <c r="T14" i="1"/>
  <c r="AF14" i="1"/>
  <c r="U14" i="1"/>
  <c r="AG14" i="1"/>
  <c r="W14" i="1"/>
  <c r="P14" i="1"/>
  <c r="X14" i="1"/>
  <c r="Y14" i="1"/>
  <c r="Z14" i="1"/>
  <c r="AA14" i="1"/>
  <c r="B3" i="17"/>
  <c r="Q9" i="1"/>
  <c r="AC9" i="1"/>
  <c r="R9" i="1"/>
  <c r="AD9" i="1"/>
  <c r="S9" i="1"/>
  <c r="AE9" i="1"/>
  <c r="P9" i="1"/>
  <c r="T9" i="1"/>
  <c r="AF9" i="1"/>
  <c r="U9" i="1"/>
  <c r="AG9" i="1"/>
  <c r="V9" i="1"/>
  <c r="X9" i="1"/>
  <c r="Y9" i="1"/>
  <c r="Z9" i="1"/>
  <c r="W9" i="1"/>
  <c r="AA9" i="1"/>
  <c r="AB9" i="1"/>
  <c r="I50" i="1"/>
  <c r="B15" i="17"/>
  <c r="Q21" i="1"/>
  <c r="AC21" i="1"/>
  <c r="P21" i="1"/>
  <c r="R21" i="1"/>
  <c r="AD21" i="1"/>
  <c r="S21" i="1"/>
  <c r="AE21" i="1"/>
  <c r="T21" i="1"/>
  <c r="AF21" i="1"/>
  <c r="U21" i="1"/>
  <c r="AG21" i="1"/>
  <c r="V21" i="1"/>
  <c r="X21" i="1"/>
  <c r="Y21" i="1"/>
  <c r="Z21" i="1"/>
  <c r="AA21" i="1"/>
  <c r="AB21" i="1"/>
  <c r="W21" i="1"/>
  <c r="I31" i="1"/>
  <c r="AA31" i="1"/>
  <c r="P31" i="1"/>
  <c r="AB31" i="1"/>
  <c r="Q31" i="1"/>
  <c r="AC31" i="1"/>
  <c r="R31" i="1"/>
  <c r="AD31" i="1"/>
  <c r="S31" i="1"/>
  <c r="AE31" i="1"/>
  <c r="T31" i="1"/>
  <c r="AF31" i="1"/>
  <c r="V31" i="1"/>
  <c r="W31" i="1"/>
  <c r="AG31" i="1"/>
  <c r="X31" i="1"/>
  <c r="U31" i="1"/>
  <c r="Y31" i="1"/>
  <c r="Z31" i="1"/>
  <c r="B19" i="17"/>
  <c r="U25" i="1"/>
  <c r="AG25" i="1"/>
  <c r="V25" i="1"/>
  <c r="W25" i="1"/>
  <c r="X25" i="1"/>
  <c r="AA25" i="1"/>
  <c r="Y25" i="1"/>
  <c r="P25" i="1"/>
  <c r="Z25" i="1"/>
  <c r="AB25" i="1"/>
  <c r="Q25" i="1"/>
  <c r="AC25" i="1"/>
  <c r="R25" i="1"/>
  <c r="AD25" i="1"/>
  <c r="S25" i="1"/>
  <c r="AE25" i="1"/>
  <c r="T25" i="1"/>
  <c r="AF25" i="1"/>
  <c r="B13" i="17"/>
  <c r="AA19" i="1"/>
  <c r="P19" i="1"/>
  <c r="AB19" i="1"/>
  <c r="U19" i="1"/>
  <c r="Q19" i="1"/>
  <c r="AC19" i="1"/>
  <c r="R19" i="1"/>
  <c r="AD19" i="1"/>
  <c r="S19" i="1"/>
  <c r="AE19" i="1"/>
  <c r="T19" i="1"/>
  <c r="AF19" i="1"/>
  <c r="V19" i="1"/>
  <c r="W19" i="1"/>
  <c r="X19" i="1"/>
  <c r="AG19" i="1"/>
  <c r="Y19" i="1"/>
  <c r="Z19" i="1"/>
  <c r="B36" i="17"/>
  <c r="B32" i="17"/>
  <c r="I30" i="1"/>
  <c r="T30" i="1"/>
  <c r="AF30" i="1"/>
  <c r="AG30" i="1"/>
  <c r="U30" i="1"/>
  <c r="Z30" i="1"/>
  <c r="V30" i="1"/>
  <c r="W30" i="1"/>
  <c r="X30" i="1"/>
  <c r="Y30" i="1"/>
  <c r="AA30" i="1"/>
  <c r="AB30" i="1"/>
  <c r="Q30" i="1"/>
  <c r="AC30" i="1"/>
  <c r="AE30" i="1"/>
  <c r="R30" i="1"/>
  <c r="AD30" i="1"/>
  <c r="S30" i="1"/>
  <c r="P30" i="1"/>
  <c r="B14" i="17"/>
  <c r="V20" i="1"/>
  <c r="W20" i="1"/>
  <c r="P20" i="1"/>
  <c r="X20" i="1"/>
  <c r="Y20" i="1"/>
  <c r="Z20" i="1"/>
  <c r="AA20" i="1"/>
  <c r="Q20" i="1"/>
  <c r="AC20" i="1"/>
  <c r="R20" i="1"/>
  <c r="AD20" i="1"/>
  <c r="S20" i="1"/>
  <c r="AE20" i="1"/>
  <c r="T20" i="1"/>
  <c r="AF20" i="1"/>
  <c r="AB20" i="1"/>
  <c r="U20" i="1"/>
  <c r="AG20" i="1"/>
  <c r="B12" i="17"/>
  <c r="T18" i="1"/>
  <c r="AF18" i="1"/>
  <c r="U18" i="1"/>
  <c r="AG18" i="1"/>
  <c r="V18" i="1"/>
  <c r="W18" i="1"/>
  <c r="X18" i="1"/>
  <c r="Y18" i="1"/>
  <c r="AA18" i="1"/>
  <c r="P18" i="1"/>
  <c r="AB18" i="1"/>
  <c r="Z18" i="1"/>
  <c r="Q18" i="1"/>
  <c r="AC18" i="1"/>
  <c r="R18" i="1"/>
  <c r="AD18" i="1"/>
  <c r="S18" i="1"/>
  <c r="AE18" i="1"/>
  <c r="B23" i="17"/>
  <c r="Y29" i="1"/>
  <c r="Z29" i="1"/>
  <c r="AA29" i="1"/>
  <c r="AB29" i="1"/>
  <c r="Q29" i="1"/>
  <c r="AC29" i="1"/>
  <c r="R29" i="1"/>
  <c r="AD29" i="1"/>
  <c r="T29" i="1"/>
  <c r="AF29" i="1"/>
  <c r="AG29" i="1"/>
  <c r="X29" i="1"/>
  <c r="AE29" i="1"/>
  <c r="U29" i="1"/>
  <c r="V29" i="1"/>
  <c r="W29" i="1"/>
  <c r="P29" i="1"/>
  <c r="S29" i="1"/>
  <c r="B31" i="17"/>
  <c r="B39" i="17"/>
  <c r="W15" i="1"/>
  <c r="AC15" i="1"/>
  <c r="X15" i="1"/>
  <c r="Y15" i="1"/>
  <c r="Z15" i="1"/>
  <c r="AA15" i="1"/>
  <c r="AB15" i="1"/>
  <c r="R15" i="1"/>
  <c r="AD15" i="1"/>
  <c r="S15" i="1"/>
  <c r="AE15" i="1"/>
  <c r="P15" i="1"/>
  <c r="T15" i="1"/>
  <c r="AF15" i="1"/>
  <c r="U15" i="1"/>
  <c r="AG15" i="1"/>
  <c r="Q15" i="1"/>
  <c r="V15" i="1"/>
  <c r="B34" i="17"/>
  <c r="B6" i="17"/>
  <c r="Z12" i="1"/>
  <c r="AA12" i="1"/>
  <c r="AB12" i="1"/>
  <c r="T12" i="1"/>
  <c r="Q12" i="1"/>
  <c r="AC12" i="1"/>
  <c r="R12" i="1"/>
  <c r="AD12" i="1"/>
  <c r="AF12" i="1"/>
  <c r="S12" i="1"/>
  <c r="AE12" i="1"/>
  <c r="P12" i="1"/>
  <c r="U12" i="1"/>
  <c r="AG12" i="1"/>
  <c r="V12" i="1"/>
  <c r="W12" i="1"/>
  <c r="X12" i="1"/>
  <c r="Y12" i="1"/>
  <c r="W27" i="1"/>
  <c r="AC27" i="1"/>
  <c r="X27" i="1"/>
  <c r="Y27" i="1"/>
  <c r="Z27" i="1"/>
  <c r="AA27" i="1"/>
  <c r="AB27" i="1"/>
  <c r="R27" i="1"/>
  <c r="AD27" i="1"/>
  <c r="P27" i="1"/>
  <c r="S27" i="1"/>
  <c r="AE27" i="1"/>
  <c r="T27" i="1"/>
  <c r="AF27" i="1"/>
  <c r="U27" i="1"/>
  <c r="AG27" i="1"/>
  <c r="V27" i="1"/>
  <c r="Q27" i="1"/>
  <c r="B2" i="17"/>
  <c r="V8" i="1"/>
  <c r="T8" i="1"/>
  <c r="P8" i="1"/>
  <c r="O8" i="1"/>
  <c r="AF8" i="1"/>
  <c r="AD8" i="1"/>
  <c r="W8" i="1"/>
  <c r="AB8" i="1"/>
  <c r="AA8" i="1"/>
  <c r="I49" i="1"/>
  <c r="B17" i="17"/>
  <c r="S23" i="1"/>
  <c r="AE23" i="1"/>
  <c r="T23" i="1"/>
  <c r="AF23" i="1"/>
  <c r="U23" i="1"/>
  <c r="AG23" i="1"/>
  <c r="Y23" i="1"/>
  <c r="V23" i="1"/>
  <c r="W23" i="1"/>
  <c r="P23" i="1"/>
  <c r="X23" i="1"/>
  <c r="Z23" i="1"/>
  <c r="AA23" i="1"/>
  <c r="AB23" i="1"/>
  <c r="Q23" i="1"/>
  <c r="AC23" i="1"/>
  <c r="R23" i="1"/>
  <c r="AD23" i="1"/>
  <c r="B18" i="17"/>
  <c r="Z24" i="1"/>
  <c r="AA24" i="1"/>
  <c r="AB24" i="1"/>
  <c r="Q24" i="1"/>
  <c r="AC24" i="1"/>
  <c r="R24" i="1"/>
  <c r="AD24" i="1"/>
  <c r="S24" i="1"/>
  <c r="AE24" i="1"/>
  <c r="P24" i="1"/>
  <c r="U24" i="1"/>
  <c r="AG24" i="1"/>
  <c r="T24" i="1"/>
  <c r="V24" i="1"/>
  <c r="W24" i="1"/>
  <c r="X24" i="1"/>
  <c r="AF24" i="1"/>
  <c r="Y24" i="1"/>
  <c r="B11" i="17"/>
  <c r="Y17" i="1"/>
  <c r="Z17" i="1"/>
  <c r="AA17" i="1"/>
  <c r="AB17" i="1"/>
  <c r="Q17" i="1"/>
  <c r="AC17" i="1"/>
  <c r="S17" i="1"/>
  <c r="R17" i="1"/>
  <c r="AD17" i="1"/>
  <c r="T17" i="1"/>
  <c r="AF17" i="1"/>
  <c r="AE17" i="1"/>
  <c r="U17" i="1"/>
  <c r="AG17" i="1"/>
  <c r="V17" i="1"/>
  <c r="W17" i="1"/>
  <c r="P17" i="1"/>
  <c r="X17" i="1"/>
  <c r="B37" i="17"/>
  <c r="B35" i="17"/>
  <c r="B10" i="17"/>
  <c r="R16" i="1"/>
  <c r="AD16" i="1"/>
  <c r="S16" i="1"/>
  <c r="AE16" i="1"/>
  <c r="T16" i="1"/>
  <c r="AF16" i="1"/>
  <c r="U16" i="1"/>
  <c r="AG16" i="1"/>
  <c r="V16" i="1"/>
  <c r="W16" i="1"/>
  <c r="X16" i="1"/>
  <c r="Y16" i="1"/>
  <c r="Z16" i="1"/>
  <c r="AA16" i="1"/>
  <c r="P16" i="1"/>
  <c r="AB16" i="1"/>
  <c r="Q16" i="1"/>
  <c r="AC16" i="1"/>
  <c r="B7" i="17"/>
  <c r="U13" i="1"/>
  <c r="AG13" i="1"/>
  <c r="P13" i="1"/>
  <c r="V13" i="1"/>
  <c r="W13" i="1"/>
  <c r="X13" i="1"/>
  <c r="Y13" i="1"/>
  <c r="Z13" i="1"/>
  <c r="AB13" i="1"/>
  <c r="Q13" i="1"/>
  <c r="AC13" i="1"/>
  <c r="R13" i="1"/>
  <c r="AD13" i="1"/>
  <c r="S13" i="1"/>
  <c r="AE13" i="1"/>
  <c r="T13" i="1"/>
  <c r="AF13" i="1"/>
  <c r="AA13" i="1"/>
  <c r="H27" i="1"/>
  <c r="B21" i="17"/>
  <c r="H26" i="1"/>
  <c r="B20" i="17"/>
  <c r="H15" i="1"/>
  <c r="B9" i="17"/>
  <c r="I39" i="1"/>
  <c r="B30" i="17"/>
  <c r="H51" i="1"/>
  <c r="B42" i="17"/>
  <c r="H50" i="1"/>
  <c r="B41" i="17"/>
  <c r="H31" i="1"/>
  <c r="B25" i="17"/>
  <c r="H30" i="1"/>
  <c r="B24" i="17"/>
  <c r="H49" i="1"/>
  <c r="B40" i="17"/>
  <c r="I42" i="1"/>
  <c r="H42" i="1"/>
  <c r="I28" i="1"/>
  <c r="H28" i="1"/>
  <c r="I47" i="1"/>
  <c r="H47" i="1"/>
  <c r="H22" i="1"/>
  <c r="H11" i="1"/>
  <c r="I40" i="1"/>
  <c r="H40" i="1"/>
  <c r="I45" i="1"/>
  <c r="H45" i="1"/>
  <c r="H10" i="1"/>
  <c r="H14" i="1"/>
  <c r="H9" i="1"/>
  <c r="H21" i="1"/>
  <c r="H25" i="1"/>
  <c r="H19" i="1"/>
  <c r="I41" i="1"/>
  <c r="H41" i="1"/>
  <c r="H20" i="1"/>
  <c r="H18" i="1"/>
  <c r="I29" i="1"/>
  <c r="H29" i="1"/>
  <c r="I48" i="1"/>
  <c r="H48" i="1"/>
  <c r="H12" i="1"/>
  <c r="H23" i="1"/>
  <c r="H24" i="1"/>
  <c r="H17" i="1"/>
  <c r="I43" i="1"/>
  <c r="H43" i="1"/>
  <c r="I46" i="1"/>
  <c r="H46" i="1"/>
  <c r="I44" i="1"/>
  <c r="H44" i="1"/>
  <c r="H16" i="1"/>
  <c r="H13" i="1"/>
  <c r="K26" i="1"/>
  <c r="O26" i="1"/>
  <c r="O42" i="1"/>
  <c r="K42" i="1"/>
  <c r="K8" i="1"/>
  <c r="K28" i="1"/>
  <c r="O28" i="1"/>
  <c r="K39" i="1"/>
  <c r="O39" i="1"/>
  <c r="V51" i="1"/>
  <c r="AD51" i="1"/>
  <c r="K51" i="1"/>
  <c r="AB51" i="1"/>
  <c r="AF51" i="1"/>
  <c r="O51" i="1"/>
  <c r="O47" i="1"/>
  <c r="K47" i="1"/>
  <c r="K22" i="1"/>
  <c r="O22" i="1"/>
  <c r="K11" i="1"/>
  <c r="O11" i="1"/>
  <c r="K15" i="1"/>
  <c r="O15" i="1"/>
  <c r="K40" i="1"/>
  <c r="O40" i="1"/>
  <c r="K50" i="1"/>
  <c r="O50" i="1"/>
  <c r="O45" i="1"/>
  <c r="K45" i="1"/>
  <c r="K10" i="1"/>
  <c r="O10" i="1"/>
  <c r="K14" i="1"/>
  <c r="O14" i="1"/>
  <c r="K9" i="1"/>
  <c r="O9" i="1"/>
  <c r="K27" i="1"/>
  <c r="O27" i="1"/>
  <c r="K21" i="1"/>
  <c r="O21" i="1"/>
  <c r="K31" i="1"/>
  <c r="O31" i="1"/>
  <c r="K25" i="1"/>
  <c r="O25" i="1"/>
  <c r="K19" i="1"/>
  <c r="O19" i="1"/>
  <c r="O41" i="1"/>
  <c r="K41" i="1"/>
  <c r="K30" i="1"/>
  <c r="O30" i="1"/>
  <c r="K20" i="1"/>
  <c r="O20" i="1"/>
  <c r="K18" i="1"/>
  <c r="O18" i="1"/>
  <c r="K29" i="1"/>
  <c r="O29" i="1"/>
  <c r="O48" i="1"/>
  <c r="K48" i="1"/>
  <c r="O43" i="1"/>
  <c r="K43" i="1"/>
  <c r="K12" i="1"/>
  <c r="O12" i="1"/>
  <c r="K49" i="1"/>
  <c r="O49" i="1"/>
  <c r="K23" i="1"/>
  <c r="O23" i="1"/>
  <c r="K24" i="1"/>
  <c r="O24" i="1"/>
  <c r="K17" i="1"/>
  <c r="O17" i="1"/>
  <c r="O46" i="1"/>
  <c r="K46" i="1"/>
  <c r="O44" i="1"/>
  <c r="K44" i="1"/>
  <c r="K16" i="1"/>
  <c r="O16" i="1"/>
  <c r="K13" i="1"/>
  <c r="O13" i="1"/>
  <c r="M39" i="1"/>
  <c r="F39" i="1"/>
  <c r="L39" i="1"/>
  <c r="J39" i="1"/>
  <c r="C30" i="17" s="1"/>
  <c r="P39" i="1"/>
  <c r="N39" i="1"/>
  <c r="J42" i="1"/>
  <c r="C33" i="17" s="1"/>
  <c r="F42" i="1"/>
  <c r="N42" i="1"/>
  <c r="L42" i="1"/>
  <c r="P42" i="1"/>
  <c r="M42" i="1"/>
  <c r="L8" i="1"/>
  <c r="X8" i="1"/>
  <c r="N8" i="1"/>
  <c r="M8" i="1"/>
  <c r="S8" i="1"/>
  <c r="I8" i="1"/>
  <c r="F8" i="1"/>
  <c r="Z8" i="1"/>
  <c r="Q8" i="1"/>
  <c r="AG8" i="1"/>
  <c r="J8" i="1"/>
  <c r="C2" i="17" s="1"/>
  <c r="U8" i="1"/>
  <c r="AE8" i="1"/>
  <c r="R8" i="1"/>
  <c r="Y8" i="1"/>
  <c r="AC8" i="1"/>
  <c r="M28" i="1"/>
  <c r="J28" i="1"/>
  <c r="C22" i="17" s="1"/>
  <c r="L28" i="1"/>
  <c r="F28" i="1"/>
  <c r="N28" i="1"/>
  <c r="Z51" i="1"/>
  <c r="S51" i="1"/>
  <c r="F51" i="1"/>
  <c r="P51" i="1"/>
  <c r="X51" i="1"/>
  <c r="AG51" i="1"/>
  <c r="AE51" i="1"/>
  <c r="U51" i="1"/>
  <c r="W51" i="1"/>
  <c r="N51" i="1"/>
  <c r="Q51" i="1"/>
  <c r="AC51" i="1"/>
  <c r="AA51" i="1"/>
  <c r="T51" i="1"/>
  <c r="J51" i="1"/>
  <c r="C42" i="17" s="1"/>
  <c r="L51" i="1"/>
  <c r="R51" i="1"/>
  <c r="M51" i="1"/>
  <c r="Y51" i="1"/>
  <c r="F47" i="1"/>
  <c r="L47" i="1"/>
  <c r="J47" i="1"/>
  <c r="C38" i="17" s="1"/>
  <c r="N47" i="1"/>
  <c r="M47" i="1"/>
  <c r="P47" i="1"/>
  <c r="N22" i="1"/>
  <c r="J22" i="1"/>
  <c r="C16" i="17" s="1"/>
  <c r="I22" i="1"/>
  <c r="M22" i="1"/>
  <c r="L22" i="1"/>
  <c r="F22" i="1"/>
  <c r="N40" i="1"/>
  <c r="F40" i="1"/>
  <c r="J40" i="1"/>
  <c r="C31" i="17" s="1"/>
  <c r="M40" i="1"/>
  <c r="L40" i="1"/>
  <c r="P40" i="1"/>
  <c r="L11" i="1"/>
  <c r="M11" i="1"/>
  <c r="J11" i="1"/>
  <c r="C5" i="17" s="1"/>
  <c r="N11" i="1"/>
  <c r="F11" i="1"/>
  <c r="I11" i="1"/>
  <c r="I10" i="1"/>
  <c r="L10" i="1"/>
  <c r="J10" i="1"/>
  <c r="C4" i="17" s="1"/>
  <c r="N10" i="1"/>
  <c r="M10" i="1"/>
  <c r="F10" i="1"/>
  <c r="I14" i="1"/>
  <c r="F14" i="1"/>
  <c r="N14" i="1"/>
  <c r="M14" i="1"/>
  <c r="J14" i="1"/>
  <c r="C8" i="17" s="1"/>
  <c r="L14" i="1"/>
  <c r="L9" i="1"/>
  <c r="I9" i="1"/>
  <c r="J9" i="1"/>
  <c r="C3" i="17" s="1"/>
  <c r="M9" i="1"/>
  <c r="N9" i="1"/>
  <c r="F9" i="1"/>
  <c r="N15" i="1"/>
  <c r="I15" i="1"/>
  <c r="M15" i="1"/>
  <c r="F15" i="1"/>
  <c r="J15" i="1"/>
  <c r="C9" i="17" s="1"/>
  <c r="L15" i="1"/>
  <c r="M21" i="1"/>
  <c r="F21" i="1"/>
  <c r="L21" i="1"/>
  <c r="I21" i="1"/>
  <c r="J21" i="1"/>
  <c r="C15" i="17" s="1"/>
  <c r="N21" i="1"/>
  <c r="L31" i="1"/>
  <c r="F31" i="1"/>
  <c r="M31" i="1"/>
  <c r="J31" i="1"/>
  <c r="C25" i="17" s="1"/>
  <c r="N31" i="1"/>
  <c r="P32" i="1"/>
  <c r="K32" i="1"/>
  <c r="S32" i="1"/>
  <c r="N32" i="1"/>
  <c r="W32" i="1"/>
  <c r="Y32" i="1"/>
  <c r="Q32" i="1"/>
  <c r="O32" i="1"/>
  <c r="F32" i="1"/>
  <c r="AC32" i="1"/>
  <c r="R32" i="1"/>
  <c r="Z32" i="1"/>
  <c r="T32" i="1"/>
  <c r="U32" i="1"/>
  <c r="AA32" i="1"/>
  <c r="J32" i="1"/>
  <c r="L32" i="1"/>
  <c r="M32" i="1"/>
  <c r="X32" i="1"/>
  <c r="AD32" i="1"/>
  <c r="V32" i="1"/>
  <c r="AB32" i="1"/>
  <c r="J25" i="1"/>
  <c r="C19" i="17" s="1"/>
  <c r="M25" i="1"/>
  <c r="I25" i="1"/>
  <c r="N25" i="1"/>
  <c r="F25" i="1"/>
  <c r="L25" i="1"/>
  <c r="I19" i="1"/>
  <c r="F19" i="1"/>
  <c r="J19" i="1"/>
  <c r="C13" i="17" s="1"/>
  <c r="L19" i="1"/>
  <c r="M19" i="1"/>
  <c r="N19" i="1"/>
  <c r="M41" i="1"/>
  <c r="J41" i="1"/>
  <c r="C32" i="17" s="1"/>
  <c r="L41" i="1"/>
  <c r="F41" i="1"/>
  <c r="N41" i="1"/>
  <c r="P41" i="1"/>
  <c r="L30" i="1"/>
  <c r="J30" i="1"/>
  <c r="C24" i="17" s="1"/>
  <c r="M30" i="1"/>
  <c r="N30" i="1"/>
  <c r="F30" i="1"/>
  <c r="AD33" i="1"/>
  <c r="Q33" i="1"/>
  <c r="N33" i="1"/>
  <c r="Z33" i="1"/>
  <c r="F33" i="1"/>
  <c r="K33" i="1"/>
  <c r="U33" i="1"/>
  <c r="J33" i="1"/>
  <c r="AA33" i="1"/>
  <c r="L33" i="1"/>
  <c r="R33" i="1"/>
  <c r="P33" i="1"/>
  <c r="W33" i="1"/>
  <c r="X33" i="1"/>
  <c r="AC33" i="1"/>
  <c r="AB33" i="1"/>
  <c r="M33" i="1"/>
  <c r="V33" i="1"/>
  <c r="T33" i="1"/>
  <c r="O33" i="1"/>
  <c r="S33" i="1"/>
  <c r="Y33" i="1"/>
  <c r="S34" i="1"/>
  <c r="AC34" i="1"/>
  <c r="U34" i="1"/>
  <c r="AA34" i="1"/>
  <c r="Q34" i="1"/>
  <c r="F34" i="1"/>
  <c r="Z34" i="1"/>
  <c r="AD34" i="1"/>
  <c r="V34" i="1"/>
  <c r="P34" i="1"/>
  <c r="K34" i="1"/>
  <c r="R34" i="1"/>
  <c r="AB34" i="1"/>
  <c r="T34" i="1"/>
  <c r="X34" i="1"/>
  <c r="N34" i="1"/>
  <c r="M34" i="1"/>
  <c r="W34" i="1"/>
  <c r="J34" i="1"/>
  <c r="O34" i="1"/>
  <c r="Y34" i="1"/>
  <c r="L34" i="1"/>
  <c r="I20" i="1"/>
  <c r="M20" i="1"/>
  <c r="N20" i="1"/>
  <c r="F20" i="1"/>
  <c r="J20" i="1"/>
  <c r="C14" i="17" s="1"/>
  <c r="L20" i="1"/>
  <c r="I18" i="1"/>
  <c r="J18" i="1"/>
  <c r="C12" i="17" s="1"/>
  <c r="F18" i="1"/>
  <c r="M18" i="1"/>
  <c r="L18" i="1"/>
  <c r="N18" i="1"/>
  <c r="P50" i="1"/>
  <c r="M50" i="1"/>
  <c r="L50" i="1"/>
  <c r="N50" i="1"/>
  <c r="F50" i="1"/>
  <c r="J50" i="1"/>
  <c r="C41" i="17" s="1"/>
  <c r="N29" i="1"/>
  <c r="L29" i="1"/>
  <c r="M29" i="1"/>
  <c r="J29" i="1"/>
  <c r="C23" i="17" s="1"/>
  <c r="F29" i="1"/>
  <c r="I26" i="1"/>
  <c r="J26" i="1"/>
  <c r="C20" i="17" s="1"/>
  <c r="N26" i="1"/>
  <c r="L26" i="1"/>
  <c r="F26" i="1"/>
  <c r="M26" i="1"/>
  <c r="J45" i="1"/>
  <c r="C36" i="17" s="1"/>
  <c r="L45" i="1"/>
  <c r="F45" i="1"/>
  <c r="N45" i="1"/>
  <c r="M45" i="1"/>
  <c r="P45" i="1"/>
  <c r="P48" i="1"/>
  <c r="J48" i="1"/>
  <c r="C39" i="17" s="1"/>
  <c r="M48" i="1"/>
  <c r="N48" i="1"/>
  <c r="F48" i="1"/>
  <c r="L48" i="1"/>
  <c r="I12" i="1"/>
  <c r="J12" i="1"/>
  <c r="C6" i="17" s="1"/>
  <c r="L12" i="1"/>
  <c r="N12" i="1"/>
  <c r="M12" i="1"/>
  <c r="F12" i="1"/>
  <c r="N43" i="1"/>
  <c r="F43" i="1"/>
  <c r="P43" i="1"/>
  <c r="J43" i="1"/>
  <c r="C34" i="17" s="1"/>
  <c r="M43" i="1"/>
  <c r="L43" i="1"/>
  <c r="J49" i="1"/>
  <c r="C40" i="17" s="1"/>
  <c r="L49" i="1"/>
  <c r="P49" i="1"/>
  <c r="N49" i="1"/>
  <c r="F49" i="1"/>
  <c r="M49" i="1"/>
  <c r="M23" i="1"/>
  <c r="I23" i="1"/>
  <c r="L23" i="1"/>
  <c r="F23" i="1"/>
  <c r="N23" i="1"/>
  <c r="J23" i="1"/>
  <c r="C17" i="17" s="1"/>
  <c r="M35" i="1"/>
  <c r="S35" i="1"/>
  <c r="L35" i="1"/>
  <c r="Y35" i="1"/>
  <c r="O35" i="1"/>
  <c r="T35" i="1"/>
  <c r="P35" i="1"/>
  <c r="J35" i="1"/>
  <c r="N35" i="1"/>
  <c r="U35" i="1"/>
  <c r="X35" i="1"/>
  <c r="AB35" i="1"/>
  <c r="R35" i="1"/>
  <c r="K35" i="1"/>
  <c r="Z35" i="1"/>
  <c r="Q35" i="1"/>
  <c r="AC35" i="1"/>
  <c r="AA35" i="1"/>
  <c r="AD35" i="1"/>
  <c r="F35" i="1"/>
  <c r="V35" i="1"/>
  <c r="W35" i="1"/>
  <c r="F24" i="1"/>
  <c r="N24" i="1"/>
  <c r="I24" i="1"/>
  <c r="J24" i="1"/>
  <c r="C18" i="17" s="1"/>
  <c r="L24" i="1"/>
  <c r="M24" i="1"/>
  <c r="I17" i="1"/>
  <c r="N17" i="1"/>
  <c r="J17" i="1"/>
  <c r="C11" i="17" s="1"/>
  <c r="F17" i="1"/>
  <c r="M17" i="1"/>
  <c r="L17" i="1"/>
  <c r="L27" i="1"/>
  <c r="J27" i="1"/>
  <c r="C21" i="17" s="1"/>
  <c r="N27" i="1"/>
  <c r="M27" i="1"/>
  <c r="I27" i="1"/>
  <c r="F27" i="1"/>
  <c r="L46" i="1"/>
  <c r="F46" i="1"/>
  <c r="J46" i="1"/>
  <c r="C37" i="17" s="1"/>
  <c r="P46" i="1"/>
  <c r="M46" i="1"/>
  <c r="N46" i="1"/>
  <c r="M44" i="1"/>
  <c r="J44" i="1"/>
  <c r="C35" i="17" s="1"/>
  <c r="P44" i="1"/>
  <c r="N44" i="1"/>
  <c r="L44" i="1"/>
  <c r="F44" i="1"/>
  <c r="F16" i="1"/>
  <c r="J16" i="1"/>
  <c r="C10" i="17" s="1"/>
  <c r="N16" i="1"/>
  <c r="M16" i="1"/>
  <c r="I16" i="1"/>
  <c r="L16" i="1"/>
  <c r="L13" i="1"/>
  <c r="N13" i="1"/>
  <c r="I13" i="1"/>
  <c r="M13" i="1"/>
  <c r="F13" i="1"/>
  <c r="J13" i="1"/>
  <c r="C7" i="17" s="1"/>
  <c r="D6" i="17" l="1"/>
  <c r="E6" i="17" s="1"/>
  <c r="F6" i="17" s="1"/>
  <c r="G6" i="17" s="1"/>
  <c r="H6" i="17" s="1"/>
  <c r="I6" i="17" s="1"/>
  <c r="J6" i="17" s="1"/>
  <c r="K6" i="17" s="1"/>
  <c r="L6" i="17" s="1"/>
  <c r="M6" i="17" s="1"/>
  <c r="N6" i="17" s="1"/>
  <c r="O6" i="17" s="1"/>
  <c r="P6" i="17" s="1"/>
  <c r="Q6" i="17" s="1"/>
  <c r="R6" i="17" s="1"/>
  <c r="S6" i="17" s="1"/>
  <c r="T6" i="17" s="1"/>
  <c r="U6" i="17" s="1"/>
  <c r="V6" i="17" s="1"/>
  <c r="W6" i="17" s="1"/>
  <c r="X6" i="17" s="1"/>
  <c r="Y6" i="17" s="1"/>
  <c r="Z6" i="17" s="1"/>
  <c r="D23" i="17"/>
  <c r="E23" i="17" s="1"/>
  <c r="F23" i="17" s="1"/>
  <c r="G23" i="17" s="1"/>
  <c r="H23" i="17" s="1"/>
  <c r="I23" i="17" s="1"/>
  <c r="J23" i="17" s="1"/>
  <c r="K23" i="17" s="1"/>
  <c r="L23" i="17" s="1"/>
  <c r="M23" i="17" s="1"/>
  <c r="N23" i="17" s="1"/>
  <c r="O23" i="17" s="1"/>
  <c r="P23" i="17" s="1"/>
  <c r="Q23" i="17" s="1"/>
  <c r="R23" i="17" s="1"/>
  <c r="S23" i="17" s="1"/>
  <c r="T23" i="17" s="1"/>
  <c r="U23" i="17" s="1"/>
  <c r="V23" i="17" s="1"/>
  <c r="W23" i="17" s="1"/>
  <c r="X23" i="17" s="1"/>
  <c r="Y23" i="17" s="1"/>
  <c r="Z23" i="17" s="1"/>
  <c r="D18" i="17"/>
  <c r="E18" i="17" s="1"/>
  <c r="F18" i="17" s="1"/>
  <c r="G18" i="17" s="1"/>
  <c r="H18" i="17" s="1"/>
  <c r="I18" i="17" s="1"/>
  <c r="J18" i="17" s="1"/>
  <c r="K18" i="17" s="1"/>
  <c r="L18" i="17" s="1"/>
  <c r="M18" i="17" s="1"/>
  <c r="N18" i="17" s="1"/>
  <c r="O18" i="17" s="1"/>
  <c r="P18" i="17" s="1"/>
  <c r="Q18" i="17" s="1"/>
  <c r="R18" i="17" s="1"/>
  <c r="S18" i="17" s="1"/>
  <c r="T18" i="17" s="1"/>
  <c r="U18" i="17" s="1"/>
  <c r="V18" i="17" s="1"/>
  <c r="W18" i="17" s="1"/>
  <c r="X18" i="17" s="1"/>
  <c r="Y18" i="17" s="1"/>
  <c r="Z18" i="17" s="1"/>
  <c r="D9" i="17"/>
  <c r="E9" i="17" s="1"/>
  <c r="F9" i="17" s="1"/>
  <c r="G9" i="17" s="1"/>
  <c r="H9" i="17" s="1"/>
  <c r="I9" i="17" s="1"/>
  <c r="J9" i="17" s="1"/>
  <c r="K9" i="17" s="1"/>
  <c r="L9" i="17" s="1"/>
  <c r="M9" i="17" s="1"/>
  <c r="N9" i="17" s="1"/>
  <c r="O9" i="17" s="1"/>
  <c r="P9" i="17" s="1"/>
  <c r="Q9" i="17" s="1"/>
  <c r="R9" i="17" s="1"/>
  <c r="S9" i="17" s="1"/>
  <c r="T9" i="17" s="1"/>
  <c r="U9" i="17" s="1"/>
  <c r="V9" i="17" s="1"/>
  <c r="W9" i="17" s="1"/>
  <c r="X9" i="17" s="1"/>
  <c r="Y9" i="17" s="1"/>
  <c r="Z9" i="17" s="1"/>
  <c r="D14" i="17"/>
  <c r="E14" i="17" s="1"/>
  <c r="F14" i="17" s="1"/>
  <c r="G14" i="17" s="1"/>
  <c r="H14" i="17" s="1"/>
  <c r="I14" i="17" s="1"/>
  <c r="J14" i="17" s="1"/>
  <c r="K14" i="17" s="1"/>
  <c r="L14" i="17" s="1"/>
  <c r="M14" i="17" s="1"/>
  <c r="N14" i="17" s="1"/>
  <c r="O14" i="17" s="1"/>
  <c r="P14" i="17" s="1"/>
  <c r="Q14" i="17" s="1"/>
  <c r="R14" i="17" s="1"/>
  <c r="S14" i="17" s="1"/>
  <c r="T14" i="17" s="1"/>
  <c r="U14" i="17" s="1"/>
  <c r="V14" i="17" s="1"/>
  <c r="W14" i="17" s="1"/>
  <c r="X14" i="17" s="1"/>
  <c r="Y14" i="17" s="1"/>
  <c r="Z14" i="17" s="1"/>
  <c r="D7" i="17"/>
  <c r="E7" i="17" s="1"/>
  <c r="F7" i="17" s="1"/>
  <c r="G7" i="17" s="1"/>
  <c r="H7" i="17" s="1"/>
  <c r="I7" i="17" s="1"/>
  <c r="J7" i="17" s="1"/>
  <c r="K7" i="17" s="1"/>
  <c r="L7" i="17" s="1"/>
  <c r="M7" i="17" s="1"/>
  <c r="N7" i="17" s="1"/>
  <c r="O7" i="17" s="1"/>
  <c r="P7" i="17" s="1"/>
  <c r="Q7" i="17" s="1"/>
  <c r="R7" i="17" s="1"/>
  <c r="S7" i="17" s="1"/>
  <c r="T7" i="17" s="1"/>
  <c r="U7" i="17" s="1"/>
  <c r="V7" i="17" s="1"/>
  <c r="W7" i="17" s="1"/>
  <c r="X7" i="17" s="1"/>
  <c r="Y7" i="17" s="1"/>
  <c r="Z7" i="17" s="1"/>
  <c r="D10" i="17"/>
  <c r="E10" i="17" s="1"/>
  <c r="F10" i="17" s="1"/>
  <c r="G10" i="17" s="1"/>
  <c r="H10" i="17" s="1"/>
  <c r="I10" i="17" s="1"/>
  <c r="J10" i="17" s="1"/>
  <c r="K10" i="17" s="1"/>
  <c r="L10" i="17" s="1"/>
  <c r="M10" i="17" s="1"/>
  <c r="N10" i="17" s="1"/>
  <c r="O10" i="17" s="1"/>
  <c r="P10" i="17" s="1"/>
  <c r="Q10" i="17" s="1"/>
  <c r="R10" i="17" s="1"/>
  <c r="S10" i="17" s="1"/>
  <c r="T10" i="17" s="1"/>
  <c r="U10" i="17" s="1"/>
  <c r="V10" i="17" s="1"/>
  <c r="W10" i="17" s="1"/>
  <c r="X10" i="17" s="1"/>
  <c r="Y10" i="17" s="1"/>
  <c r="Z10" i="17" s="1"/>
  <c r="I32" i="1"/>
  <c r="D3" i="17"/>
  <c r="E3" i="17" s="1"/>
  <c r="F3" i="17" s="1"/>
  <c r="G3" i="17" s="1"/>
  <c r="H3" i="17" s="1"/>
  <c r="I3" i="17" s="1"/>
  <c r="J3" i="17" s="1"/>
  <c r="K3" i="17" s="1"/>
  <c r="L3" i="17" s="1"/>
  <c r="M3" i="17" s="1"/>
  <c r="N3" i="17" s="1"/>
  <c r="O3" i="17" s="1"/>
  <c r="P3" i="17" s="1"/>
  <c r="Q3" i="17" s="1"/>
  <c r="R3" i="17" s="1"/>
  <c r="S3" i="17" s="1"/>
  <c r="T3" i="17" s="1"/>
  <c r="U3" i="17" s="1"/>
  <c r="V3" i="17" s="1"/>
  <c r="W3" i="17" s="1"/>
  <c r="X3" i="17" s="1"/>
  <c r="Y3" i="17" s="1"/>
  <c r="Z3" i="17" s="1"/>
  <c r="D16" i="17"/>
  <c r="E16" i="17" s="1"/>
  <c r="F16" i="17" s="1"/>
  <c r="G16" i="17" s="1"/>
  <c r="H16" i="17" s="1"/>
  <c r="I16" i="17" s="1"/>
  <c r="J16" i="17" s="1"/>
  <c r="K16" i="17" s="1"/>
  <c r="L16" i="17" s="1"/>
  <c r="M16" i="17" s="1"/>
  <c r="N16" i="17" s="1"/>
  <c r="O16" i="17" s="1"/>
  <c r="P16" i="17" s="1"/>
  <c r="Q16" i="17" s="1"/>
  <c r="R16" i="17" s="1"/>
  <c r="S16" i="17" s="1"/>
  <c r="T16" i="17" s="1"/>
  <c r="U16" i="17" s="1"/>
  <c r="V16" i="17" s="1"/>
  <c r="W16" i="17" s="1"/>
  <c r="X16" i="17" s="1"/>
  <c r="Y16" i="17" s="1"/>
  <c r="Z16" i="17" s="1"/>
  <c r="D22" i="17"/>
  <c r="E22" i="17" s="1"/>
  <c r="F22" i="17" s="1"/>
  <c r="G22" i="17" s="1"/>
  <c r="H22" i="17" s="1"/>
  <c r="I22" i="17" s="1"/>
  <c r="J22" i="17" s="1"/>
  <c r="K22" i="17" s="1"/>
  <c r="L22" i="17" s="1"/>
  <c r="M22" i="17" s="1"/>
  <c r="N22" i="17" s="1"/>
  <c r="O22" i="17" s="1"/>
  <c r="P22" i="17" s="1"/>
  <c r="Q22" i="17" s="1"/>
  <c r="R22" i="17" s="1"/>
  <c r="S22" i="17" s="1"/>
  <c r="T22" i="17" s="1"/>
  <c r="U22" i="17" s="1"/>
  <c r="V22" i="17" s="1"/>
  <c r="W22" i="17" s="1"/>
  <c r="X22" i="17" s="1"/>
  <c r="Y22" i="17" s="1"/>
  <c r="Z22" i="17" s="1"/>
  <c r="D4" i="17"/>
  <c r="E4" i="17" s="1"/>
  <c r="F4" i="17" s="1"/>
  <c r="G4" i="17" s="1"/>
  <c r="H4" i="17" s="1"/>
  <c r="I4" i="17" s="1"/>
  <c r="J4" i="17" s="1"/>
  <c r="K4" i="17" s="1"/>
  <c r="L4" i="17" s="1"/>
  <c r="M4" i="17" s="1"/>
  <c r="N4" i="17" s="1"/>
  <c r="O4" i="17" s="1"/>
  <c r="P4" i="17" s="1"/>
  <c r="Q4" i="17" s="1"/>
  <c r="R4" i="17" s="1"/>
  <c r="S4" i="17" s="1"/>
  <c r="T4" i="17" s="1"/>
  <c r="U4" i="17" s="1"/>
  <c r="V4" i="17" s="1"/>
  <c r="W4" i="17" s="1"/>
  <c r="X4" i="17" s="1"/>
  <c r="Y4" i="17" s="1"/>
  <c r="Z4" i="17" s="1"/>
  <c r="D15" i="17"/>
  <c r="E15" i="17" s="1"/>
  <c r="F15" i="17" s="1"/>
  <c r="G15" i="17" s="1"/>
  <c r="H15" i="17" s="1"/>
  <c r="I15" i="17" s="1"/>
  <c r="J15" i="17" s="1"/>
  <c r="K15" i="17" s="1"/>
  <c r="L15" i="17" s="1"/>
  <c r="M15" i="17" s="1"/>
  <c r="N15" i="17" s="1"/>
  <c r="O15" i="17" s="1"/>
  <c r="P15" i="17" s="1"/>
  <c r="Q15" i="17" s="1"/>
  <c r="R15" i="17" s="1"/>
  <c r="S15" i="17" s="1"/>
  <c r="T15" i="17" s="1"/>
  <c r="U15" i="17" s="1"/>
  <c r="V15" i="17" s="1"/>
  <c r="W15" i="17" s="1"/>
  <c r="X15" i="17" s="1"/>
  <c r="Y15" i="17" s="1"/>
  <c r="Z15" i="17" s="1"/>
  <c r="D19" i="17"/>
  <c r="E19" i="17" s="1"/>
  <c r="F19" i="17" s="1"/>
  <c r="G19" i="17" s="1"/>
  <c r="H19" i="17" s="1"/>
  <c r="I19" i="17" s="1"/>
  <c r="J19" i="17" s="1"/>
  <c r="K19" i="17" s="1"/>
  <c r="L19" i="17" s="1"/>
  <c r="M19" i="17" s="1"/>
  <c r="N19" i="17" s="1"/>
  <c r="O19" i="17" s="1"/>
  <c r="P19" i="17" s="1"/>
  <c r="Q19" i="17" s="1"/>
  <c r="R19" i="17" s="1"/>
  <c r="S19" i="17" s="1"/>
  <c r="T19" i="17" s="1"/>
  <c r="U19" i="17" s="1"/>
  <c r="V19" i="17" s="1"/>
  <c r="W19" i="17" s="1"/>
  <c r="X19" i="17" s="1"/>
  <c r="Y19" i="17" s="1"/>
  <c r="Z19" i="17" s="1"/>
  <c r="D2" i="17"/>
  <c r="E2" i="17" s="1"/>
  <c r="F2" i="17" s="1"/>
  <c r="D17" i="17"/>
  <c r="E17" i="17" s="1"/>
  <c r="F17" i="17" s="1"/>
  <c r="G17" i="17" s="1"/>
  <c r="H17" i="17" s="1"/>
  <c r="I17" i="17" s="1"/>
  <c r="J17" i="17" s="1"/>
  <c r="K17" i="17" s="1"/>
  <c r="L17" i="17" s="1"/>
  <c r="M17" i="17" s="1"/>
  <c r="N17" i="17" s="1"/>
  <c r="O17" i="17" s="1"/>
  <c r="P17" i="17" s="1"/>
  <c r="Q17" i="17" s="1"/>
  <c r="R17" i="17" s="1"/>
  <c r="S17" i="17" s="1"/>
  <c r="T17" i="17" s="1"/>
  <c r="U17" i="17" s="1"/>
  <c r="V17" i="17" s="1"/>
  <c r="W17" i="17" s="1"/>
  <c r="X17" i="17" s="1"/>
  <c r="Y17" i="17" s="1"/>
  <c r="Z17" i="17" s="1"/>
  <c r="D21" i="17"/>
  <c r="E21" i="17" s="1"/>
  <c r="F21" i="17" s="1"/>
  <c r="G21" i="17" s="1"/>
  <c r="H21" i="17" s="1"/>
  <c r="I21" i="17" s="1"/>
  <c r="J21" i="17" s="1"/>
  <c r="K21" i="17" s="1"/>
  <c r="L21" i="17" s="1"/>
  <c r="M21" i="17" s="1"/>
  <c r="N21" i="17" s="1"/>
  <c r="O21" i="17" s="1"/>
  <c r="P21" i="17" s="1"/>
  <c r="Q21" i="17" s="1"/>
  <c r="R21" i="17" s="1"/>
  <c r="S21" i="17" s="1"/>
  <c r="T21" i="17" s="1"/>
  <c r="U21" i="17" s="1"/>
  <c r="V21" i="17" s="1"/>
  <c r="W21" i="17" s="1"/>
  <c r="X21" i="17" s="1"/>
  <c r="Y21" i="17" s="1"/>
  <c r="Z21" i="17" s="1"/>
  <c r="D20" i="17"/>
  <c r="E20" i="17" s="1"/>
  <c r="F20" i="17" s="1"/>
  <c r="G20" i="17" s="1"/>
  <c r="H20" i="17" s="1"/>
  <c r="I20" i="17" s="1"/>
  <c r="J20" i="17" s="1"/>
  <c r="K20" i="17" s="1"/>
  <c r="L20" i="17" s="1"/>
  <c r="M20" i="17" s="1"/>
  <c r="N20" i="17" s="1"/>
  <c r="O20" i="17" s="1"/>
  <c r="P20" i="17" s="1"/>
  <c r="Q20" i="17" s="1"/>
  <c r="R20" i="17" s="1"/>
  <c r="S20" i="17" s="1"/>
  <c r="T20" i="17" s="1"/>
  <c r="U20" i="17" s="1"/>
  <c r="V20" i="17" s="1"/>
  <c r="W20" i="17" s="1"/>
  <c r="X20" i="17" s="1"/>
  <c r="Y20" i="17" s="1"/>
  <c r="Z20" i="17" s="1"/>
  <c r="D12" i="17"/>
  <c r="E12" i="17" s="1"/>
  <c r="F12" i="17" s="1"/>
  <c r="G12" i="17" s="1"/>
  <c r="H12" i="17" s="1"/>
  <c r="I12" i="17" s="1"/>
  <c r="J12" i="17" s="1"/>
  <c r="K12" i="17" s="1"/>
  <c r="L12" i="17" s="1"/>
  <c r="M12" i="17" s="1"/>
  <c r="N12" i="17" s="1"/>
  <c r="O12" i="17" s="1"/>
  <c r="P12" i="17" s="1"/>
  <c r="Q12" i="17" s="1"/>
  <c r="R12" i="17" s="1"/>
  <c r="S12" i="17" s="1"/>
  <c r="T12" i="17" s="1"/>
  <c r="U12" i="17" s="1"/>
  <c r="V12" i="17" s="1"/>
  <c r="W12" i="17" s="1"/>
  <c r="X12" i="17" s="1"/>
  <c r="Y12" i="17" s="1"/>
  <c r="Z12" i="17" s="1"/>
  <c r="D24" i="17"/>
  <c r="E24" i="17" s="1"/>
  <c r="F24" i="17" s="1"/>
  <c r="G24" i="17" s="1"/>
  <c r="H24" i="17" s="1"/>
  <c r="I24" i="17" s="1"/>
  <c r="J24" i="17" s="1"/>
  <c r="K24" i="17" s="1"/>
  <c r="L24" i="17" s="1"/>
  <c r="M24" i="17" s="1"/>
  <c r="N24" i="17" s="1"/>
  <c r="O24" i="17" s="1"/>
  <c r="P24" i="17" s="1"/>
  <c r="Q24" i="17" s="1"/>
  <c r="R24" i="17" s="1"/>
  <c r="S24" i="17" s="1"/>
  <c r="T24" i="17" s="1"/>
  <c r="U24" i="17" s="1"/>
  <c r="V24" i="17" s="1"/>
  <c r="W24" i="17" s="1"/>
  <c r="X24" i="17" s="1"/>
  <c r="Y24" i="17" s="1"/>
  <c r="Z24" i="17" s="1"/>
  <c r="D8" i="17"/>
  <c r="E8" i="17" s="1"/>
  <c r="F8" i="17" s="1"/>
  <c r="G8" i="17" s="1"/>
  <c r="H8" i="17" s="1"/>
  <c r="I8" i="17" s="1"/>
  <c r="J8" i="17" s="1"/>
  <c r="K8" i="17" s="1"/>
  <c r="L8" i="17" s="1"/>
  <c r="M8" i="17" s="1"/>
  <c r="N8" i="17" s="1"/>
  <c r="O8" i="17" s="1"/>
  <c r="P8" i="17" s="1"/>
  <c r="Q8" i="17" s="1"/>
  <c r="R8" i="17" s="1"/>
  <c r="S8" i="17" s="1"/>
  <c r="T8" i="17" s="1"/>
  <c r="U8" i="17" s="1"/>
  <c r="V8" i="17" s="1"/>
  <c r="W8" i="17" s="1"/>
  <c r="X8" i="17" s="1"/>
  <c r="Y8" i="17" s="1"/>
  <c r="Z8" i="17" s="1"/>
  <c r="D5" i="17"/>
  <c r="E5" i="17" s="1"/>
  <c r="F5" i="17" s="1"/>
  <c r="G5" i="17" s="1"/>
  <c r="H5" i="17" s="1"/>
  <c r="I5" i="17" s="1"/>
  <c r="J5" i="17" s="1"/>
  <c r="K5" i="17" s="1"/>
  <c r="L5" i="17" s="1"/>
  <c r="M5" i="17" s="1"/>
  <c r="N5" i="17" s="1"/>
  <c r="O5" i="17" s="1"/>
  <c r="P5" i="17" s="1"/>
  <c r="Q5" i="17" s="1"/>
  <c r="R5" i="17" s="1"/>
  <c r="S5" i="17" s="1"/>
  <c r="T5" i="17" s="1"/>
  <c r="U5" i="17" s="1"/>
  <c r="V5" i="17" s="1"/>
  <c r="W5" i="17" s="1"/>
  <c r="X5" i="17" s="1"/>
  <c r="Y5" i="17" s="1"/>
  <c r="Z5" i="17" s="1"/>
  <c r="D11" i="17"/>
  <c r="E11" i="17" s="1"/>
  <c r="F11" i="17" s="1"/>
  <c r="G11" i="17" s="1"/>
  <c r="H11" i="17" s="1"/>
  <c r="I11" i="17" s="1"/>
  <c r="J11" i="17" s="1"/>
  <c r="K11" i="17" s="1"/>
  <c r="L11" i="17" s="1"/>
  <c r="M11" i="17" s="1"/>
  <c r="N11" i="17" s="1"/>
  <c r="O11" i="17" s="1"/>
  <c r="P11" i="17" s="1"/>
  <c r="Q11" i="17" s="1"/>
  <c r="R11" i="17" s="1"/>
  <c r="S11" i="17" s="1"/>
  <c r="T11" i="17" s="1"/>
  <c r="U11" i="17" s="1"/>
  <c r="V11" i="17" s="1"/>
  <c r="W11" i="17" s="1"/>
  <c r="X11" i="17" s="1"/>
  <c r="Y11" i="17" s="1"/>
  <c r="Z11" i="17" s="1"/>
  <c r="D13" i="17"/>
  <c r="E13" i="17" s="1"/>
  <c r="F13" i="17" s="1"/>
  <c r="G13" i="17" s="1"/>
  <c r="H13" i="17" s="1"/>
  <c r="I13" i="17" s="1"/>
  <c r="J13" i="17" s="1"/>
  <c r="K13" i="17" s="1"/>
  <c r="L13" i="17" s="1"/>
  <c r="M13" i="17" s="1"/>
  <c r="N13" i="17" s="1"/>
  <c r="O13" i="17" s="1"/>
  <c r="P13" i="17" s="1"/>
  <c r="Q13" i="17" s="1"/>
  <c r="R13" i="17" s="1"/>
  <c r="S13" i="17" s="1"/>
  <c r="T13" i="17" s="1"/>
  <c r="U13" i="17" s="1"/>
  <c r="V13" i="17" s="1"/>
  <c r="W13" i="17" s="1"/>
  <c r="X13" i="17" s="1"/>
  <c r="Y13" i="17" s="1"/>
  <c r="Z13" i="17" s="1"/>
  <c r="D25" i="17"/>
  <c r="E25" i="17" s="1"/>
  <c r="F25" i="17" s="1"/>
  <c r="G25" i="17" s="1"/>
  <c r="H25" i="17" s="1"/>
  <c r="I25" i="17" s="1"/>
  <c r="J25" i="17" s="1"/>
  <c r="K25" i="17" s="1"/>
  <c r="L25" i="17" s="1"/>
  <c r="M25" i="17" s="1"/>
  <c r="N25" i="17" s="1"/>
  <c r="O25" i="17" s="1"/>
  <c r="P25" i="17" s="1"/>
  <c r="Q25" i="17" s="1"/>
  <c r="R25" i="17" s="1"/>
  <c r="S25" i="17" s="1"/>
  <c r="T25" i="17" s="1"/>
  <c r="U25" i="17" s="1"/>
  <c r="V25" i="17" s="1"/>
  <c r="W25" i="17" s="1"/>
  <c r="X25" i="17" s="1"/>
  <c r="Y25" i="17" s="1"/>
  <c r="Z25" i="17" s="1"/>
  <c r="D31" i="17"/>
  <c r="D30" i="17"/>
  <c r="D37" i="17"/>
  <c r="D34" i="17"/>
  <c r="D40" i="17"/>
  <c r="D32" i="17"/>
  <c r="D42" i="17"/>
  <c r="D33" i="17"/>
  <c r="D41" i="17"/>
  <c r="D35" i="17"/>
  <c r="D39" i="17"/>
  <c r="D36" i="17"/>
  <c r="D38" i="17"/>
  <c r="G2" i="17" l="1"/>
  <c r="H2" i="17" l="1"/>
  <c r="I2" i="17" l="1"/>
  <c r="J2" i="17" l="1"/>
  <c r="K2" i="17" l="1"/>
  <c r="L2" i="17" l="1"/>
  <c r="M2" i="17" l="1"/>
  <c r="N2" i="17" l="1"/>
  <c r="O2" i="17" l="1"/>
  <c r="P2" i="17" l="1"/>
  <c r="Q2" i="17" l="1"/>
  <c r="R2" i="17" l="1"/>
  <c r="S2" i="17" l="1"/>
  <c r="T2" i="17" l="1"/>
  <c r="U2" i="17" l="1"/>
  <c r="V2" i="17" l="1"/>
  <c r="W2" i="17" l="1"/>
  <c r="X2" i="17" l="1"/>
  <c r="Y2" i="17" l="1"/>
  <c r="Z2" i="17" l="1"/>
  <c r="Z26" i="17" s="1"/>
  <c r="C26" i="17" s="1"/>
  <c r="D26" i="17" s="1"/>
  <c r="E26" i="17" s="1"/>
  <c r="F26" i="17" s="1"/>
  <c r="G26" i="17" s="1"/>
  <c r="H26" i="17" s="1"/>
  <c r="I26" i="17" s="1"/>
  <c r="J26" i="17" s="1"/>
  <c r="K26" i="17" s="1"/>
  <c r="L26" i="17" s="1"/>
  <c r="M26" i="17" s="1"/>
  <c r="N26" i="17" s="1"/>
  <c r="O26" i="17" s="1"/>
  <c r="P26" i="17" s="1"/>
  <c r="Q26" i="17" s="1"/>
  <c r="R26" i="17" s="1"/>
  <c r="S26" i="17" s="1"/>
  <c r="T26" i="17" s="1"/>
  <c r="U26" i="17" s="1"/>
  <c r="V26" i="17" s="1"/>
  <c r="W26" i="17" s="1"/>
  <c r="X26" i="17" s="1"/>
  <c r="Y26" i="17" s="1"/>
  <c r="E35" i="17"/>
  <c r="F35" i="17" s="1"/>
  <c r="G35" i="17" s="1"/>
  <c r="H35" i="17" s="1"/>
  <c r="I35" i="17" s="1"/>
  <c r="J35" i="17" s="1"/>
  <c r="K35" i="17" s="1"/>
  <c r="L35" i="17" s="1"/>
  <c r="M35" i="17" s="1"/>
  <c r="N35" i="17" s="1"/>
  <c r="O35" i="17" s="1"/>
  <c r="P35" i="17" s="1"/>
  <c r="Q35" i="17" s="1"/>
  <c r="R35" i="17" s="1"/>
  <c r="S35" i="17" s="1"/>
  <c r="T35" i="17" s="1"/>
  <c r="U35" i="17" s="1"/>
  <c r="V35" i="17" s="1"/>
  <c r="W35" i="17" s="1"/>
  <c r="X35" i="17" s="1"/>
  <c r="Y35" i="17" s="1"/>
  <c r="Z35" i="17" s="1"/>
  <c r="E33" i="17"/>
  <c r="F33" i="17" s="1"/>
  <c r="G33" i="17" s="1"/>
  <c r="H33" i="17" s="1"/>
  <c r="I33" i="17" s="1"/>
  <c r="J33" i="17" s="1"/>
  <c r="K33" i="17" s="1"/>
  <c r="L33" i="17" s="1"/>
  <c r="M33" i="17" s="1"/>
  <c r="N33" i="17" s="1"/>
  <c r="O33" i="17" s="1"/>
  <c r="P33" i="17" s="1"/>
  <c r="Q33" i="17" s="1"/>
  <c r="R33" i="17" s="1"/>
  <c r="S33" i="17" s="1"/>
  <c r="T33" i="17" s="1"/>
  <c r="U33" i="17" s="1"/>
  <c r="V33" i="17" s="1"/>
  <c r="W33" i="17" s="1"/>
  <c r="X33" i="17" s="1"/>
  <c r="Y33" i="17" s="1"/>
  <c r="Z33" i="17" s="1"/>
  <c r="E42" i="17"/>
  <c r="F42" i="17" s="1"/>
  <c r="G42" i="17" s="1"/>
  <c r="H42" i="17" s="1"/>
  <c r="I42" i="17" s="1"/>
  <c r="J42" i="17" s="1"/>
  <c r="K42" i="17" s="1"/>
  <c r="L42" i="17" s="1"/>
  <c r="M42" i="17" s="1"/>
  <c r="N42" i="17" s="1"/>
  <c r="O42" i="17" s="1"/>
  <c r="P42" i="17" s="1"/>
  <c r="Q42" i="17" s="1"/>
  <c r="R42" i="17" s="1"/>
  <c r="S42" i="17" s="1"/>
  <c r="T42" i="17" s="1"/>
  <c r="U42" i="17" s="1"/>
  <c r="V42" i="17" s="1"/>
  <c r="W42" i="17" s="1"/>
  <c r="X42" i="17" s="1"/>
  <c r="Y42" i="17" s="1"/>
  <c r="Z42" i="17" s="1"/>
  <c r="E40" i="17"/>
  <c r="F40" i="17" s="1"/>
  <c r="G40" i="17" s="1"/>
  <c r="H40" i="17" s="1"/>
  <c r="I40" i="17" s="1"/>
  <c r="J40" i="17" s="1"/>
  <c r="K40" i="17" s="1"/>
  <c r="L40" i="17" s="1"/>
  <c r="M40" i="17" s="1"/>
  <c r="N40" i="17" s="1"/>
  <c r="O40" i="17" s="1"/>
  <c r="P40" i="17" s="1"/>
  <c r="Q40" i="17" s="1"/>
  <c r="R40" i="17" s="1"/>
  <c r="S40" i="17" s="1"/>
  <c r="T40" i="17" s="1"/>
  <c r="U40" i="17" s="1"/>
  <c r="V40" i="17" s="1"/>
  <c r="W40" i="17" s="1"/>
  <c r="X40" i="17" s="1"/>
  <c r="Y40" i="17" s="1"/>
  <c r="Z40" i="17" s="1"/>
  <c r="E36" i="17"/>
  <c r="F36" i="17" s="1"/>
  <c r="G36" i="17" s="1"/>
  <c r="H36" i="17" s="1"/>
  <c r="I36" i="17" s="1"/>
  <c r="J36" i="17" s="1"/>
  <c r="K36" i="17" s="1"/>
  <c r="L36" i="17" s="1"/>
  <c r="M36" i="17" s="1"/>
  <c r="N36" i="17" s="1"/>
  <c r="O36" i="17" s="1"/>
  <c r="P36" i="17" s="1"/>
  <c r="Q36" i="17" s="1"/>
  <c r="R36" i="17" s="1"/>
  <c r="S36" i="17" s="1"/>
  <c r="T36" i="17" s="1"/>
  <c r="U36" i="17" s="1"/>
  <c r="V36" i="17" s="1"/>
  <c r="W36" i="17" s="1"/>
  <c r="X36" i="17" s="1"/>
  <c r="Y36" i="17" s="1"/>
  <c r="Z36" i="17" s="1"/>
  <c r="E34" i="17"/>
  <c r="F34" i="17" s="1"/>
  <c r="G34" i="17" s="1"/>
  <c r="H34" i="17" s="1"/>
  <c r="I34" i="17" s="1"/>
  <c r="J34" i="17" s="1"/>
  <c r="K34" i="17" s="1"/>
  <c r="L34" i="17" s="1"/>
  <c r="M34" i="17" s="1"/>
  <c r="N34" i="17" s="1"/>
  <c r="O34" i="17" s="1"/>
  <c r="P34" i="17" s="1"/>
  <c r="Q34" i="17" s="1"/>
  <c r="R34" i="17" s="1"/>
  <c r="S34" i="17" s="1"/>
  <c r="T34" i="17" s="1"/>
  <c r="U34" i="17" s="1"/>
  <c r="V34" i="17" s="1"/>
  <c r="W34" i="17" s="1"/>
  <c r="X34" i="17" s="1"/>
  <c r="Y34" i="17" s="1"/>
  <c r="Z34" i="17" s="1"/>
  <c r="E39" i="17"/>
  <c r="F39" i="17" s="1"/>
  <c r="G39" i="17" s="1"/>
  <c r="H39" i="17" s="1"/>
  <c r="I39" i="17" s="1"/>
  <c r="J39" i="17" s="1"/>
  <c r="K39" i="17" s="1"/>
  <c r="L39" i="17" s="1"/>
  <c r="M39" i="17" s="1"/>
  <c r="N39" i="17" s="1"/>
  <c r="O39" i="17" s="1"/>
  <c r="P39" i="17" s="1"/>
  <c r="Q39" i="17" s="1"/>
  <c r="R39" i="17" s="1"/>
  <c r="S39" i="17" s="1"/>
  <c r="T39" i="17" s="1"/>
  <c r="U39" i="17" s="1"/>
  <c r="V39" i="17" s="1"/>
  <c r="W39" i="17" s="1"/>
  <c r="X39" i="17" s="1"/>
  <c r="Y39" i="17" s="1"/>
  <c r="Z39" i="17" s="1"/>
  <c r="E37" i="17"/>
  <c r="F37" i="17" s="1"/>
  <c r="G37" i="17" s="1"/>
  <c r="H37" i="17" s="1"/>
  <c r="I37" i="17" s="1"/>
  <c r="J37" i="17" s="1"/>
  <c r="K37" i="17" s="1"/>
  <c r="L37" i="17" s="1"/>
  <c r="M37" i="17" s="1"/>
  <c r="N37" i="17" s="1"/>
  <c r="O37" i="17" s="1"/>
  <c r="P37" i="17" s="1"/>
  <c r="Q37" i="17" s="1"/>
  <c r="R37" i="17" s="1"/>
  <c r="S37" i="17" s="1"/>
  <c r="T37" i="17" s="1"/>
  <c r="U37" i="17" s="1"/>
  <c r="V37" i="17" s="1"/>
  <c r="W37" i="17" s="1"/>
  <c r="X37" i="17" s="1"/>
  <c r="Y37" i="17" s="1"/>
  <c r="Z37" i="17" s="1"/>
  <c r="E41" i="17"/>
  <c r="F41" i="17" s="1"/>
  <c r="G41" i="17" s="1"/>
  <c r="H41" i="17" s="1"/>
  <c r="I41" i="17" s="1"/>
  <c r="J41" i="17" s="1"/>
  <c r="K41" i="17" s="1"/>
  <c r="L41" i="17" s="1"/>
  <c r="M41" i="17" s="1"/>
  <c r="N41" i="17" s="1"/>
  <c r="O41" i="17" s="1"/>
  <c r="P41" i="17" s="1"/>
  <c r="Q41" i="17" s="1"/>
  <c r="R41" i="17" s="1"/>
  <c r="S41" i="17" s="1"/>
  <c r="T41" i="17" s="1"/>
  <c r="U41" i="17" s="1"/>
  <c r="V41" i="17" s="1"/>
  <c r="W41" i="17" s="1"/>
  <c r="X41" i="17" s="1"/>
  <c r="Y41" i="17" s="1"/>
  <c r="Z41" i="17" s="1"/>
  <c r="E32" i="17"/>
  <c r="F32" i="17" s="1"/>
  <c r="G32" i="17" s="1"/>
  <c r="H32" i="17" s="1"/>
  <c r="I32" i="17" s="1"/>
  <c r="J32" i="17" s="1"/>
  <c r="K32" i="17" s="1"/>
  <c r="L32" i="17" s="1"/>
  <c r="M32" i="17" s="1"/>
  <c r="N32" i="17" s="1"/>
  <c r="O32" i="17" s="1"/>
  <c r="P32" i="17" s="1"/>
  <c r="Q32" i="17" s="1"/>
  <c r="R32" i="17" s="1"/>
  <c r="S32" i="17" s="1"/>
  <c r="T32" i="17" s="1"/>
  <c r="U32" i="17" s="1"/>
  <c r="V32" i="17" s="1"/>
  <c r="W32" i="17" s="1"/>
  <c r="X32" i="17" s="1"/>
  <c r="Y32" i="17" s="1"/>
  <c r="Z32" i="17" s="1"/>
  <c r="E38" i="17"/>
  <c r="F38" i="17" s="1"/>
  <c r="G38" i="17" s="1"/>
  <c r="H38" i="17" s="1"/>
  <c r="I38" i="17" s="1"/>
  <c r="J38" i="17" s="1"/>
  <c r="K38" i="17" s="1"/>
  <c r="L38" i="17" s="1"/>
  <c r="M38" i="17" s="1"/>
  <c r="N38" i="17" s="1"/>
  <c r="O38" i="17" s="1"/>
  <c r="P38" i="17" s="1"/>
  <c r="Q38" i="17" s="1"/>
  <c r="R38" i="17" s="1"/>
  <c r="S38" i="17" s="1"/>
  <c r="T38" i="17" s="1"/>
  <c r="U38" i="17" s="1"/>
  <c r="V38" i="17" s="1"/>
  <c r="W38" i="17" s="1"/>
  <c r="X38" i="17" s="1"/>
  <c r="Y38" i="17" s="1"/>
  <c r="Z38" i="17" s="1"/>
  <c r="E31" i="17"/>
  <c r="F31" i="17" s="1"/>
  <c r="G31" i="17" s="1"/>
  <c r="H31" i="17" s="1"/>
  <c r="I31" i="17" s="1"/>
  <c r="J31" i="17" s="1"/>
  <c r="K31" i="17" s="1"/>
  <c r="L31" i="17" s="1"/>
  <c r="M31" i="17" s="1"/>
  <c r="N31" i="17" s="1"/>
  <c r="O31" i="17" s="1"/>
  <c r="P31" i="17" s="1"/>
  <c r="Q31" i="17" s="1"/>
  <c r="R31" i="17" s="1"/>
  <c r="S31" i="17" s="1"/>
  <c r="T31" i="17" s="1"/>
  <c r="U31" i="17" s="1"/>
  <c r="V31" i="17" s="1"/>
  <c r="W31" i="17" s="1"/>
  <c r="X31" i="17" s="1"/>
  <c r="Y31" i="17" s="1"/>
  <c r="Z31" i="17" s="1"/>
  <c r="E30" i="17"/>
  <c r="F30" i="17" s="1"/>
  <c r="G30" i="17" s="1"/>
  <c r="H30" i="17" s="1"/>
  <c r="I30" i="17" s="1"/>
  <c r="J30" i="17" s="1"/>
  <c r="K30" i="17" s="1"/>
  <c r="L30" i="17" s="1"/>
  <c r="M30" i="17" s="1"/>
  <c r="N30" i="17" s="1"/>
  <c r="O30" i="17" s="1"/>
  <c r="P30" i="17" s="1"/>
  <c r="Q30" i="17" s="1"/>
  <c r="R30" i="17" s="1"/>
  <c r="S30" i="17" s="1"/>
  <c r="T30" i="17" s="1"/>
  <c r="U30" i="17" s="1"/>
  <c r="V30" i="17" s="1"/>
  <c r="W30" i="17" s="1"/>
  <c r="X30" i="17" s="1"/>
  <c r="Y30" i="17" s="1"/>
  <c r="Z30" i="17" s="1"/>
  <c r="Z43" i="17" s="1"/>
  <c r="C43" i="17" s="1"/>
  <c r="D43" i="17" l="1"/>
  <c r="E43" i="17" s="1"/>
  <c r="F43" i="17" s="1"/>
  <c r="G43" i="17" s="1"/>
  <c r="H43" i="17" s="1"/>
  <c r="I43" i="17" s="1"/>
  <c r="J43" i="17" s="1"/>
  <c r="K43" i="17" s="1"/>
  <c r="L43" i="17" s="1"/>
  <c r="M43" i="17" s="1"/>
  <c r="N43" i="17" s="1"/>
  <c r="O43" i="17" s="1"/>
  <c r="P43" i="17" s="1"/>
  <c r="Q43" i="17" s="1"/>
  <c r="R43" i="17" s="1"/>
  <c r="S43" i="17" s="1"/>
  <c r="T43" i="17" s="1"/>
  <c r="U43" i="17" s="1"/>
  <c r="V43" i="17" s="1"/>
  <c r="W43" i="17" s="1"/>
  <c r="X43" i="17" s="1"/>
  <c r="Y43" i="17" s="1"/>
</calcChain>
</file>

<file path=xl/sharedStrings.xml><?xml version="1.0" encoding="utf-8"?>
<sst xmlns="http://schemas.openxmlformats.org/spreadsheetml/2006/main" count="1505" uniqueCount="438">
  <si>
    <t>Ferrari</t>
  </si>
  <si>
    <t>Lewis Hamilton</t>
  </si>
  <si>
    <t>Renault</t>
  </si>
  <si>
    <t>Nico Rosberg</t>
  </si>
  <si>
    <t>Sebastian Vettel</t>
  </si>
  <si>
    <t>Driver</t>
  </si>
  <si>
    <t>Team</t>
  </si>
  <si>
    <t>Point</t>
  </si>
  <si>
    <t>Nationality</t>
  </si>
  <si>
    <t>Number</t>
  </si>
  <si>
    <t>#</t>
  </si>
  <si>
    <t>Red Bull</t>
  </si>
  <si>
    <t>Williams</t>
  </si>
  <si>
    <t>Jenson Button</t>
  </si>
  <si>
    <t>Posição</t>
  </si>
  <si>
    <t>Piloto</t>
  </si>
  <si>
    <t>País</t>
  </si>
  <si>
    <t>Equipe</t>
  </si>
  <si>
    <t>Pontos</t>
  </si>
  <si>
    <t>McLaren</t>
  </si>
  <si>
    <t>Inglaterra</t>
  </si>
  <si>
    <t>Alemanha</t>
  </si>
  <si>
    <t>Espanha</t>
  </si>
  <si>
    <t>Data</t>
  </si>
  <si>
    <t>Circuito</t>
  </si>
  <si>
    <t>Hungria</t>
  </si>
  <si>
    <t>Bélgica</t>
  </si>
  <si>
    <t>Pódio</t>
  </si>
  <si>
    <t>Calendário e Pódios</t>
  </si>
  <si>
    <t>Pilotos</t>
  </si>
  <si>
    <t>Fernando Alonso</t>
  </si>
  <si>
    <t> 2008 </t>
  </si>
  <si>
    <t> L. Hamilton (McLaren)</t>
  </si>
  <si>
    <t> Ferrari</t>
  </si>
  <si>
    <t> 2007 </t>
  </si>
  <si>
    <t> K. Raikkonen (Ferrari)</t>
  </si>
  <si>
    <t> 2006 </t>
  </si>
  <si>
    <t> F. Alonso (Renault)</t>
  </si>
  <si>
    <t> Renault</t>
  </si>
  <si>
    <t> 2005 </t>
  </si>
  <si>
    <t> 2004 </t>
  </si>
  <si>
    <t> M. Schumacher (Ferrari)</t>
  </si>
  <si>
    <t> 2003 </t>
  </si>
  <si>
    <t> 2002 </t>
  </si>
  <si>
    <t> 2001 </t>
  </si>
  <si>
    <t> 2000 </t>
  </si>
  <si>
    <t> 1999 </t>
  </si>
  <si>
    <t> M. Hakkinen (McLaren)</t>
  </si>
  <si>
    <t> 1998 </t>
  </si>
  <si>
    <t> McLaren Mercedes</t>
  </si>
  <si>
    <t> 1997 </t>
  </si>
  <si>
    <t> J. Villeneuve (Williams)</t>
  </si>
  <si>
    <t> Williams Renault</t>
  </si>
  <si>
    <t> 1996 </t>
  </si>
  <si>
    <t> D. Hill (Williams)</t>
  </si>
  <si>
    <t> 1995 </t>
  </si>
  <si>
    <t> M. Schumacher (Benetton)</t>
  </si>
  <si>
    <t> Benetton Renault</t>
  </si>
  <si>
    <t> 1994 </t>
  </si>
  <si>
    <t> 1993 </t>
  </si>
  <si>
    <t> A. Prost (Williams)</t>
  </si>
  <si>
    <t> 1992 </t>
  </si>
  <si>
    <t> N. Mansell (Williams)</t>
  </si>
  <si>
    <t> 1991 </t>
  </si>
  <si>
    <t> A. Senna (McLaren)</t>
  </si>
  <si>
    <t> McLaren Honda</t>
  </si>
  <si>
    <t> 1990 </t>
  </si>
  <si>
    <t> 1989 </t>
  </si>
  <si>
    <t> A. Prost (McLaren)</t>
  </si>
  <si>
    <t> 1988 </t>
  </si>
  <si>
    <t> 1987 </t>
  </si>
  <si>
    <t> N. Piquet (Williams)</t>
  </si>
  <si>
    <t> Williams Honda</t>
  </si>
  <si>
    <t> 1986 </t>
  </si>
  <si>
    <t> 1985 </t>
  </si>
  <si>
    <t> McLaren Porsche</t>
  </si>
  <si>
    <t> 1984 </t>
  </si>
  <si>
    <t> N. Lauda (McLaren)</t>
  </si>
  <si>
    <t> 1983 </t>
  </si>
  <si>
    <t> N. Piquet (Brabham)</t>
  </si>
  <si>
    <t> 1982 </t>
  </si>
  <si>
    <t> K. Rosberg (Williams)</t>
  </si>
  <si>
    <t> 1981 </t>
  </si>
  <si>
    <t> Williams Ford</t>
  </si>
  <si>
    <t> 1980 </t>
  </si>
  <si>
    <t> A. Jones (Williams)</t>
  </si>
  <si>
    <t> 1979 </t>
  </si>
  <si>
    <t> J. Scheckter (Ferrari)</t>
  </si>
  <si>
    <t> 1978 </t>
  </si>
  <si>
    <t> M. Andretti (Lotus)</t>
  </si>
  <si>
    <t> Lotus Ford</t>
  </si>
  <si>
    <t> 1977 </t>
  </si>
  <si>
    <t> N. Lauda (Ferrari)</t>
  </si>
  <si>
    <t> 1976 </t>
  </si>
  <si>
    <t> J. Hunt (McLaren)</t>
  </si>
  <si>
    <t> 1975 </t>
  </si>
  <si>
    <t> 1974 </t>
  </si>
  <si>
    <t> E. Fittipaldi (McLaren)</t>
  </si>
  <si>
    <t> McLaren Ford</t>
  </si>
  <si>
    <t> 1973 </t>
  </si>
  <si>
    <t> J. Stewart (Tyrrell)</t>
  </si>
  <si>
    <t> 1972 </t>
  </si>
  <si>
    <t> E. Fittipaldi (Lotus)</t>
  </si>
  <si>
    <t> 1971 </t>
  </si>
  <si>
    <t> Tyrrell Ford</t>
  </si>
  <si>
    <t> 1970 </t>
  </si>
  <si>
    <t> J. Rindt (Lotus)</t>
  </si>
  <si>
    <t> 1969 </t>
  </si>
  <si>
    <t> J. Stewart (Matra)</t>
  </si>
  <si>
    <t> Matra</t>
  </si>
  <si>
    <t> 1968 </t>
  </si>
  <si>
    <t> G. Hill (Lotus)</t>
  </si>
  <si>
    <t> 1967 </t>
  </si>
  <si>
    <t> D. Hulme (Brabham)</t>
  </si>
  <si>
    <t> Brabham Repco</t>
  </si>
  <si>
    <t> 1966 </t>
  </si>
  <si>
    <t> J. Brabham (Brabham)</t>
  </si>
  <si>
    <t> 1965 </t>
  </si>
  <si>
    <t> J. Clark (Lotus)</t>
  </si>
  <si>
    <t> Lotus Climax</t>
  </si>
  <si>
    <t> 1964 </t>
  </si>
  <si>
    <t> J. Surtees (Ferrari)</t>
  </si>
  <si>
    <t> 1963 </t>
  </si>
  <si>
    <t> 1962 </t>
  </si>
  <si>
    <t> G. Hill (BRM)</t>
  </si>
  <si>
    <t> BRM</t>
  </si>
  <si>
    <t> 1961 </t>
  </si>
  <si>
    <t> P. Hill (Ferrari)</t>
  </si>
  <si>
    <t> 1960 </t>
  </si>
  <si>
    <t> J. Brabham (Cooper)</t>
  </si>
  <si>
    <t> Cooper Climax</t>
  </si>
  <si>
    <t> 1959 </t>
  </si>
  <si>
    <t> 1958 </t>
  </si>
  <si>
    <t> M. Hawthorn (Ferrari)</t>
  </si>
  <si>
    <t> Vanwall</t>
  </si>
  <si>
    <t> 1957 </t>
  </si>
  <si>
    <t> J-M. Fangio (Maserati)</t>
  </si>
  <si>
    <t> 1956 </t>
  </si>
  <si>
    <t> J-M. Fangio (Lancia/Ferrari)</t>
  </si>
  <si>
    <t> 1955 </t>
  </si>
  <si>
    <t> J-M. Fangio (Mercedes)</t>
  </si>
  <si>
    <t> 1954 </t>
  </si>
  <si>
    <t> J-M. Fangio (Mercedes/Mas.)</t>
  </si>
  <si>
    <t> 1953 </t>
  </si>
  <si>
    <t> A. Ascari (Ferrari)</t>
  </si>
  <si>
    <t> 1952 </t>
  </si>
  <si>
    <t> 1951 </t>
  </si>
  <si>
    <t> J-M. Fangio (Alfa Roméo)</t>
  </si>
  <si>
    <t> 1950 </t>
  </si>
  <si>
    <t> N. Farina (Alfa Roméo)</t>
  </si>
  <si>
    <t>Ano</t>
  </si>
  <si>
    <t> 2009 </t>
  </si>
  <si>
    <t> Brawn GP</t>
  </si>
  <si>
    <t> 2010 </t>
  </si>
  <si>
    <t>Michael Schumacher</t>
  </si>
  <si>
    <t>Juan Manuel Fangio</t>
  </si>
  <si>
    <t>Ayrton Senna</t>
  </si>
  <si>
    <t>Alain Prost</t>
  </si>
  <si>
    <t>Nelson Piquet</t>
  </si>
  <si>
    <t>Emerson Fittipaldi</t>
  </si>
  <si>
    <t>Mika Hakkinen</t>
  </si>
  <si>
    <t>Kimi Raikkonen</t>
  </si>
  <si>
    <t>Jacques Villeneuve</t>
  </si>
  <si>
    <t>Damon Hill</t>
  </si>
  <si>
    <t>Nigel Mansell</t>
  </si>
  <si>
    <t>Niki Lauda</t>
  </si>
  <si>
    <t>Keke Rosberg</t>
  </si>
  <si>
    <t>Alan Jones</t>
  </si>
  <si>
    <t>Jody Scheckter</t>
  </si>
  <si>
    <t>James Hunt</t>
  </si>
  <si>
    <t>Jochen Rindt</t>
  </si>
  <si>
    <t>Grahan Hill</t>
  </si>
  <si>
    <t>Jack Brabham</t>
  </si>
  <si>
    <t>Jim Clark</t>
  </si>
  <si>
    <t>John Surtees</t>
  </si>
  <si>
    <t>Phil Hill</t>
  </si>
  <si>
    <t>Mike Hawthorn</t>
  </si>
  <si>
    <t>Alberto Ascari</t>
  </si>
  <si>
    <t>Nino Farina</t>
  </si>
  <si>
    <t>Títulos</t>
  </si>
  <si>
    <t>Brabham</t>
  </si>
  <si>
    <t>Cooper</t>
  </si>
  <si>
    <t>Benetton</t>
  </si>
  <si>
    <t>Tyrrel</t>
  </si>
  <si>
    <t>Matra</t>
  </si>
  <si>
    <t>BRM</t>
  </si>
  <si>
    <t>Brawn GP</t>
  </si>
  <si>
    <t>Construtor</t>
  </si>
  <si>
    <t>Itália</t>
  </si>
  <si>
    <t>Austrália</t>
  </si>
  <si>
    <t>Canadá</t>
  </si>
  <si>
    <t>Jackie Stewart</t>
  </si>
  <si>
    <t>Denny Hulme</t>
  </si>
  <si>
    <t>Mario Andretti</t>
  </si>
  <si>
    <t>Anos</t>
  </si>
  <si>
    <t>|1962|</t>
  </si>
  <si>
    <t>|1985|1986|1989|1993|</t>
  </si>
  <si>
    <t>|1959|1960|1966|</t>
  </si>
  <si>
    <t>|1975|1977|1984|</t>
  </si>
  <si>
    <t>|1981|1983|1987|</t>
  </si>
  <si>
    <t>|1988|1990|1991|</t>
  </si>
  <si>
    <t>|1952|1953|</t>
  </si>
  <si>
    <t>|1962|1968|</t>
  </si>
  <si>
    <t>|1963|1965|</t>
  </si>
  <si>
    <t>|1972|1974|</t>
  </si>
  <si>
    <t>|1998|1999|</t>
  </si>
  <si>
    <t>|2005|2006|</t>
  </si>
  <si>
    <t>|1950|</t>
  </si>
  <si>
    <t>|1958|</t>
  </si>
  <si>
    <t>|1961|</t>
  </si>
  <si>
    <t>|1964|</t>
  </si>
  <si>
    <t>|1967|</t>
  </si>
  <si>
    <t>|1970|</t>
  </si>
  <si>
    <t>|1976|</t>
  </si>
  <si>
    <t>|1978|</t>
  </si>
  <si>
    <t>|1979|</t>
  </si>
  <si>
    <t>|1980|</t>
  </si>
  <si>
    <t>|1982|</t>
  </si>
  <si>
    <t>|1992|</t>
  </si>
  <si>
    <t>|1996|</t>
  </si>
  <si>
    <t>|1997|</t>
  </si>
  <si>
    <t>|2007|</t>
  </si>
  <si>
    <t>|2009|</t>
  </si>
  <si>
    <t>Vanwall</t>
  </si>
  <si>
    <t>|1963|1965|1968|1970|1972|1973|1978|</t>
  </si>
  <si>
    <t>|1959|1960|</t>
  </si>
  <si>
    <t>|1966|1967|</t>
  </si>
  <si>
    <t>|1969|</t>
  </si>
  <si>
    <t>|1971|</t>
  </si>
  <si>
    <t>Vitórias</t>
  </si>
  <si>
    <t>Poles</t>
  </si>
  <si>
    <t>|1995|</t>
  </si>
  <si>
    <t>Pontos por Corrida</t>
  </si>
  <si>
    <t>Construtores</t>
  </si>
  <si>
    <t>Melhor volta</t>
  </si>
  <si>
    <t>Áustria</t>
  </si>
  <si>
    <t>Motor</t>
  </si>
  <si>
    <t>Mercedes</t>
  </si>
  <si>
    <t xml:space="preserve"> Red Bull Racing</t>
  </si>
  <si>
    <t xml:space="preserve"> J. Button (Brawn)</t>
  </si>
  <si>
    <t xml:space="preserve"> S. Vettel (Red Bull)</t>
  </si>
  <si>
    <t>|1969|1971|1973|</t>
  </si>
  <si>
    <t>Abu Dhabi</t>
  </si>
  <si>
    <t>Pole</t>
  </si>
  <si>
    <t>Pos</t>
  </si>
  <si>
    <t>CT</t>
  </si>
  <si>
    <t>Tot</t>
  </si>
  <si>
    <t>Chance de Título</t>
  </si>
  <si>
    <t>Total de Pontos</t>
  </si>
  <si>
    <t>Legenda:</t>
  </si>
  <si>
    <t>França</t>
  </si>
  <si>
    <t>Car.</t>
  </si>
  <si>
    <t>Nico Hulkenberg</t>
  </si>
  <si>
    <t>Vit</t>
  </si>
  <si>
    <t>Bahrein</t>
  </si>
  <si>
    <t>GP</t>
  </si>
  <si>
    <t>Circuit de Catalunya</t>
  </si>
  <si>
    <t>Hungaroring</t>
  </si>
  <si>
    <t>Yas Marina Circuit</t>
  </si>
  <si>
    <t>cont</t>
  </si>
  <si>
    <t>data</t>
  </si>
  <si>
    <t>Nome (cidade)</t>
  </si>
  <si>
    <t>Best Lap</t>
  </si>
  <si>
    <t>Team Lotus</t>
  </si>
  <si>
    <t>Rank</t>
  </si>
  <si>
    <t>p1</t>
  </si>
  <si>
    <t>p2</t>
  </si>
  <si>
    <t>p3</t>
  </si>
  <si>
    <t>p4</t>
  </si>
  <si>
    <t>p5</t>
  </si>
  <si>
    <t>p6</t>
  </si>
  <si>
    <t>p7</t>
  </si>
  <si>
    <t>p8</t>
  </si>
  <si>
    <t>posições de chegada</t>
  </si>
  <si>
    <t>desempate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</si>
  <si>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</si>
  <si>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</si>
  <si>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</si>
  <si>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</si>
  <si>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</si>
  <si>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</si>
  <si>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</si>
  <si>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</si>
  <si>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</si>
  <si>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</si>
  <si>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</si>
  <si>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</si>
  <si>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</si>
  <si>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</si>
  <si>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</si>
  <si>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</si>
  <si>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Restando</t>
  </si>
  <si>
    <t>pontos</t>
  </si>
  <si>
    <t>|2010|2011|2012|2013|</t>
  </si>
  <si>
    <t>Austria</t>
  </si>
  <si>
    <t>México</t>
  </si>
  <si>
    <t>Red Bull Ring</t>
  </si>
  <si>
    <t xml:space="preserve"> Mercedes</t>
  </si>
  <si>
    <t xml:space="preserve"> Lewis Hamilton (Mercedes)</t>
  </si>
  <si>
    <t>Max Verstappen</t>
  </si>
  <si>
    <t>Holanda</t>
  </si>
  <si>
    <t>USA</t>
  </si>
  <si>
    <t xml:space="preserve"> Nico Rosberg (Mercedes)</t>
  </si>
  <si>
    <t>|2016|</t>
  </si>
  <si>
    <t>Haas</t>
  </si>
  <si>
    <t>Lance Stroll</t>
  </si>
  <si>
    <t>Pierre Gasly</t>
  </si>
  <si>
    <t>Charles Leclerc</t>
  </si>
  <si>
    <t>Mônaco</t>
  </si>
  <si>
    <t>Alexander Albon</t>
  </si>
  <si>
    <t>Lando Norris</t>
  </si>
  <si>
    <t xml:space="preserve"> Até 1957 não existia campeonato de Equipes.</t>
  </si>
  <si>
    <t>Nome Oficial</t>
  </si>
  <si>
    <t>Esteban Ocon</t>
  </si>
  <si>
    <t>Brasil</t>
  </si>
  <si>
    <t xml:space="preserve"> Max Verstappen (Red Bull)</t>
  </si>
  <si>
    <t xml:space="preserve"> McLaren</t>
  </si>
  <si>
    <t>|2021|2022|2023|2024|</t>
  </si>
  <si>
    <t>|2014|2015|2016|2017|2018|2019|2020|2021|</t>
  </si>
  <si>
    <t>|2010|2011|2012|2013|2022|2023|</t>
  </si>
  <si>
    <t>Racing Bulls</t>
  </si>
  <si>
    <t>Alpine</t>
  </si>
  <si>
    <t>Aston Martin</t>
  </si>
  <si>
    <t>Oscar Piastri</t>
  </si>
  <si>
    <t>Kimi Antonelli</t>
  </si>
  <si>
    <t>Oliver Bearman</t>
  </si>
  <si>
    <t>Japão</t>
  </si>
  <si>
    <t>Tailandia</t>
  </si>
  <si>
    <t>Carlos Sainz</t>
  </si>
  <si>
    <t>Gabriel Bortoleto</t>
  </si>
  <si>
    <t>Australia</t>
  </si>
  <si>
    <t>China</t>
  </si>
  <si>
    <t>Arabia Saudita</t>
  </si>
  <si>
    <t>Azerbaijão</t>
  </si>
  <si>
    <t>Singapura</t>
  </si>
  <si>
    <t>Qatar</t>
  </si>
  <si>
    <t>Albert Park</t>
  </si>
  <si>
    <t>Shanghai International Circuit</t>
  </si>
  <si>
    <t>Suzuka</t>
  </si>
  <si>
    <t>Jeddah Corniche Circuit</t>
  </si>
  <si>
    <t>Miami International Autodrome</t>
  </si>
  <si>
    <t>Monaco</t>
  </si>
  <si>
    <t>Circuit Gilles Villeneuve</t>
  </si>
  <si>
    <t>Spa-Francorchamps</t>
  </si>
  <si>
    <t>Zandvoort</t>
  </si>
  <si>
    <t>Monza</t>
  </si>
  <si>
    <t>Baku City Circuit</t>
  </si>
  <si>
    <t>Singapore</t>
  </si>
  <si>
    <t>Circuit of the Americas</t>
  </si>
  <si>
    <t>Autodromo Hermanos Rodriguez</t>
  </si>
  <si>
    <t>Interlagos</t>
  </si>
  <si>
    <t>Las Vegas Strip Circuit</t>
  </si>
  <si>
    <t>Losail International Circuit</t>
  </si>
  <si>
    <t>George Russell</t>
  </si>
  <si>
    <t>-        SPRINT        -</t>
  </si>
  <si>
    <t>-        RACE        -</t>
  </si>
  <si>
    <t>Planilha produzida por Maurilyn Júnior. @maurilyn</t>
  </si>
  <si>
    <t>Dif</t>
  </si>
  <si>
    <t>Diferença para o 1º</t>
  </si>
  <si>
    <t>AUS</t>
  </si>
  <si>
    <t>CHI</t>
  </si>
  <si>
    <t>JAP</t>
  </si>
  <si>
    <t>BAH</t>
  </si>
  <si>
    <t>MIA</t>
  </si>
  <si>
    <t>MON</t>
  </si>
  <si>
    <t>ESP</t>
  </si>
  <si>
    <t>CAN</t>
  </si>
  <si>
    <t>ING</t>
  </si>
  <si>
    <t>BEL</t>
  </si>
  <si>
    <t>HUN</t>
  </si>
  <si>
    <t>HOL</t>
  </si>
  <si>
    <t>ITA</t>
  </si>
  <si>
    <t>AZE</t>
  </si>
  <si>
    <t>SIN</t>
  </si>
  <si>
    <t>MEX</t>
  </si>
  <si>
    <t>SÃO</t>
  </si>
  <si>
    <t>VEG</t>
  </si>
  <si>
    <t>QAT</t>
  </si>
  <si>
    <t>ABU</t>
  </si>
  <si>
    <t>AUT</t>
  </si>
  <si>
    <t>🏆 Título</t>
  </si>
  <si>
    <t>FORMULA 1 HEINEKEN CHINESE GRAND PRIX 2026</t>
  </si>
  <si>
    <t>FORMULA 1 CRYPTO.COM MIAMI GRAND PRIX 2026</t>
  </si>
  <si>
    <t>FORMULA 1 MOËT &amp; CHANDON BELGIAN GRAND PRIX 2026</t>
  </si>
  <si>
    <t>FORMULA 1 HEINEKEN DUTCH GRAND PRIX 2026</t>
  </si>
  <si>
    <t>Madrid</t>
  </si>
  <si>
    <t>FORMULA 1 QATAR AIRWAYS AZERBAIJAN GRAND PRIX 2026</t>
  </si>
  <si>
    <t>FORMULA 1 SINGAPORE AIRLINES SINGAPORE GRAND PRIX 2026</t>
  </si>
  <si>
    <t>FORMULA 1 MSC CRUISES UNITED STATES GRAND PRIX 2026</t>
  </si>
  <si>
    <t>FORMULA 1 MSC CRUISES GRANDE PRÊMIO DE SÃO PAULO 2026</t>
  </si>
  <si>
    <t>FORMULA 1 HEINEKEN LAS VEGAS GRAND PRIX 2026</t>
  </si>
  <si>
    <t>FORMULA 1 QATAR AIRWAYS QATAR GRAND PRIX 2026</t>
  </si>
  <si>
    <t>FORMULA 1 ETIHAD AIRWAYS ABU DHABI GRAND PRIX 2026</t>
  </si>
  <si>
    <t>2026 FIA Formula One World Championship</t>
  </si>
  <si>
    <t>Cadillac</t>
  </si>
  <si>
    <t>EUA</t>
  </si>
  <si>
    <t>Sergio Perez</t>
  </si>
  <si>
    <t>Valtteri Bottas</t>
  </si>
  <si>
    <t>Finlândia</t>
  </si>
  <si>
    <t>Audi</t>
  </si>
  <si>
    <t>|1951|1954|1955|1956|1957|</t>
  </si>
  <si>
    <t>|1994|1995|2000|2001|2002||2003|2004|</t>
  </si>
  <si>
    <t>|2008|2014|2015|2017|2018||2019|2020|</t>
  </si>
  <si>
    <t>|1980|1981|1986|1987|1992|1993|1994|1996|1997|</t>
  </si>
  <si>
    <t>|1974|1984|1985|1988|1989|1990|1991|1998|2024|2025|</t>
  </si>
  <si>
    <t>|1961|1964|1975|1976|1977|1979|1982|1983|1999|2000||2001|2002|2003|2004|2007|2008|</t>
  </si>
  <si>
    <t>Isack Hadjar</t>
  </si>
  <si>
    <t>Arvid Lindblad</t>
  </si>
  <si>
    <t>Liam Lawson</t>
  </si>
  <si>
    <t xml:space="preserve"> Lando Norris (McLaren)</t>
  </si>
  <si>
    <t>|2025|</t>
  </si>
  <si>
    <t>AUS  CHI  JAP  BAH  SAU  MIA  CAN  MON  ESP  AUS  ING  BEL  HUN  HOL  MAD  ITA  AZE  SIN  USA  MEX  SÃO  VEG  QAT  ABU</t>
  </si>
  <si>
    <t>Franco Colapinto</t>
  </si>
  <si>
    <t>Argentina</t>
  </si>
  <si>
    <t>FORMULA 1 QATAR AIRWAYS AUSTRALIAN GRAND PRIX 2026</t>
  </si>
  <si>
    <t>FORMULA 1 ARAMCO JAPANESE GRAND PRIX 2026</t>
  </si>
  <si>
    <t>FORMULA 1 LENOVO GRAND PRIX DU CANADA 2026</t>
  </si>
  <si>
    <t>FORMULA 1 LOUIS VUITTON GRAND PRIX DE MONACO 2026</t>
  </si>
  <si>
    <t>FORMULA 1 MSC CRUISES GRAN PREMIO DE BARCELONA-CATALUNYA 2026</t>
  </si>
  <si>
    <t>FORMULA 1 LENOVO AUSTRIAN GRAND PRIX 2026</t>
  </si>
  <si>
    <t>FORMULA 1 PIRELLI BRITISH GRAND PRIX 2026</t>
  </si>
  <si>
    <t>FORMULA 1 AWS HUNGARIAN GRAND PRIX 2026</t>
  </si>
  <si>
    <t>FORMULA 1 PIRELLI GRAN PREMIO D’ITALIA 2026</t>
  </si>
  <si>
    <t>FORMULA 1 TAG HEUER GRAN PREMIO DE ESPAÑA 2026</t>
  </si>
  <si>
    <t>FORMULA 1 GRAN PREMIO DE LA CIUDAD DE MÉXICO 2026</t>
  </si>
  <si>
    <t>Honda</t>
  </si>
  <si>
    <t>RB Ford</t>
  </si>
  <si>
    <t>DNF</t>
  </si>
  <si>
    <t>DNS</t>
  </si>
  <si>
    <t>SUSPENSA - FORMULA 1 STC SAUDI ARABIAN GRAND PRIX 2026 - SUSPENSA</t>
  </si>
  <si>
    <t>DSQ</t>
  </si>
  <si>
    <t>Silverstone</t>
  </si>
  <si>
    <t>Apoio:</t>
  </si>
  <si>
    <t>SAU</t>
  </si>
  <si>
    <t>MAD</t>
  </si>
  <si>
    <t>Yuki Tsunoda</t>
  </si>
  <si>
    <t>FORMULA 1 GULF AIR BAHRAIN GRAND PRIX IN MALAYSIA 2026</t>
  </si>
  <si>
    <t>Sepang International Circuit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</si>
</sst>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[$-409]mmmm\ d\,\ yyyy;@"/>
    <numFmt numFmtId="165" formatCode="[$-416]d\ \ mmmm\,\ yyyy;@"/>
    <numFmt numFmtId="166" formatCode="[$-416]d\-mmm;@"/>
  </numFmts>
  <fonts count="39" x14ac:knownFonts="1">
    <font>
      <sz val="10"/>
      <name val="Arial"/>
      <charset val="1"/>
    </font>
    <font>
      <sz val="8"/>
      <name val="Arial"/>
      <family val="2"/>
    </font>
    <font>
      <sz val="10"/>
      <name val="Verdana"/>
      <family val="2"/>
    </font>
    <font>
      <u/>
      <sz val="10"/>
      <color indexed="12"/>
      <name val="Arial"/>
      <family val="2"/>
    </font>
    <font>
      <b/>
      <sz val="10"/>
      <name val="Verdana"/>
      <family val="2"/>
    </font>
    <font>
      <b/>
      <sz val="10"/>
      <color indexed="9"/>
      <name val="Verdana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Verdana"/>
      <family val="2"/>
    </font>
    <font>
      <sz val="10"/>
      <color theme="0"/>
      <name val="Verdana"/>
      <family val="2"/>
    </font>
    <font>
      <sz val="9"/>
      <color theme="0"/>
      <name val="Verdana"/>
      <family val="2"/>
    </font>
    <font>
      <sz val="8"/>
      <color theme="0"/>
      <name val="Arial"/>
      <family val="2"/>
    </font>
    <font>
      <sz val="8"/>
      <color theme="0"/>
      <name val="Verdana"/>
      <family val="2"/>
    </font>
    <font>
      <b/>
      <sz val="8"/>
      <color theme="0"/>
      <name val="Verdana"/>
      <family val="2"/>
    </font>
    <font>
      <b/>
      <sz val="10"/>
      <color theme="0"/>
      <name val="Verdana"/>
      <family val="2"/>
    </font>
    <font>
      <sz val="10"/>
      <color theme="0" tint="-0.249977111117893"/>
      <name val="Verdana"/>
      <family val="2"/>
    </font>
    <font>
      <b/>
      <sz val="10"/>
      <color rgb="FFFFFF00"/>
      <name val="Verdana"/>
      <family val="2"/>
    </font>
    <font>
      <sz val="7.5"/>
      <color rgb="FFFFFF00"/>
      <name val="Verdana"/>
      <family val="2"/>
    </font>
    <font>
      <b/>
      <sz val="16"/>
      <name val="Verdana"/>
      <family val="2"/>
    </font>
    <font>
      <sz val="10"/>
      <color rgb="FFFFFF00"/>
      <name val="Verdana"/>
      <family val="2"/>
    </font>
    <font>
      <sz val="10"/>
      <color rgb="FFFFFF00"/>
      <name val="Wingdings"/>
      <charset val="2"/>
    </font>
    <font>
      <sz val="7.5"/>
      <color rgb="FFFFC000"/>
      <name val="Verdana"/>
      <family val="2"/>
    </font>
    <font>
      <sz val="10"/>
      <color rgb="FFFFC000"/>
      <name val="Verdana"/>
      <family val="2"/>
    </font>
    <font>
      <sz val="7"/>
      <name val="Verdana"/>
      <family val="2"/>
    </font>
    <font>
      <sz val="10"/>
      <name val="Arial"/>
      <family val="2"/>
    </font>
    <font>
      <b/>
      <sz val="11"/>
      <name val="Verdana"/>
      <family val="2"/>
    </font>
    <font>
      <sz val="10"/>
      <name val="Wingdings"/>
      <charset val="2"/>
    </font>
    <font>
      <b/>
      <sz val="10"/>
      <color theme="0"/>
      <name val="Arial"/>
      <charset val="1"/>
    </font>
    <font>
      <sz val="8"/>
      <color theme="0" tint="-4.9989318521683403E-2"/>
      <name val="Verdana"/>
      <family val="2"/>
    </font>
    <font>
      <b/>
      <u/>
      <sz val="8"/>
      <color theme="0" tint="-4.9989318521683403E-2"/>
      <name val="Verdana"/>
      <family val="2"/>
    </font>
    <font>
      <b/>
      <u/>
      <sz val="8"/>
      <color theme="8" tint="0.79998168889431442"/>
      <name val="Verdana"/>
      <family val="2"/>
    </font>
    <font>
      <sz val="8"/>
      <color theme="8" tint="0.79998168889431442"/>
      <name val="Verdana"/>
      <family val="2"/>
    </font>
    <font>
      <sz val="10"/>
      <color theme="1"/>
      <name val="Verdana"/>
      <family val="2"/>
    </font>
    <font>
      <sz val="9"/>
      <color rgb="FFFFC000"/>
      <name val="Verdana"/>
      <family val="2"/>
    </font>
    <font>
      <b/>
      <sz val="10"/>
      <color theme="8" tint="0.79998168889431442"/>
      <name val="Verdana"/>
      <family val="2"/>
    </font>
    <font>
      <sz val="10"/>
      <color theme="8" tint="0.79998168889431442"/>
      <name val="Verdana"/>
      <family val="2"/>
    </font>
    <font>
      <b/>
      <sz val="11"/>
      <color indexed="12"/>
      <name val="Arial"/>
      <family val="2"/>
    </font>
    <font>
      <b/>
      <sz val="10"/>
      <color theme="0"/>
      <name val="Arial"/>
      <family val="2"/>
      <charset val="1"/>
    </font>
    <font>
      <sz val="10"/>
      <name val="Arial"/>
      <family val="2"/>
      <charset val="1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/>
        <bgColor theme="6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/>
      <right/>
      <top/>
      <bottom style="medium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43" fontId="24" fillId="0" borderId="0" applyFont="0" applyFill="0" applyBorder="0" applyAlignment="0" applyProtection="0"/>
  </cellStyleXfs>
  <cellXfs count="180">
    <xf numFmtId="0" fontId="0" fillId="0" borderId="0" xfId="0"/>
    <xf numFmtId="0" fontId="2" fillId="0" borderId="0" xfId="0" applyFont="1" applyProtection="1">
      <protection hidden="1"/>
    </xf>
    <xf numFmtId="0" fontId="7" fillId="0" borderId="0" xfId="0" applyFont="1" applyProtection="1">
      <protection hidden="1"/>
    </xf>
    <xf numFmtId="165" fontId="0" fillId="0" borderId="0" xfId="0" applyNumberFormat="1"/>
    <xf numFmtId="0" fontId="7" fillId="0" borderId="0" xfId="0" applyFont="1"/>
    <xf numFmtId="165" fontId="7" fillId="0" borderId="0" xfId="0" applyNumberFormat="1" applyFont="1"/>
    <xf numFmtId="0" fontId="2" fillId="2" borderId="6" xfId="0" applyFont="1" applyFill="1" applyBorder="1" applyProtection="1">
      <protection hidden="1"/>
    </xf>
    <xf numFmtId="0" fontId="2" fillId="3" borderId="6" xfId="0" applyFont="1" applyFill="1" applyBorder="1" applyProtection="1">
      <protection hidden="1"/>
    </xf>
    <xf numFmtId="0" fontId="23" fillId="3" borderId="6" xfId="0" applyFont="1" applyFill="1" applyBorder="1" applyProtection="1">
      <protection hidden="1"/>
    </xf>
    <xf numFmtId="0" fontId="23" fillId="3" borderId="6" xfId="0" applyFont="1" applyFill="1" applyBorder="1" applyAlignment="1" applyProtection="1">
      <alignment horizontal="center"/>
      <protection hidden="1"/>
    </xf>
    <xf numFmtId="0" fontId="23" fillId="2" borderId="6" xfId="0" applyFont="1" applyFill="1" applyBorder="1" applyAlignment="1" applyProtection="1">
      <alignment horizontal="center"/>
      <protection hidden="1"/>
    </xf>
    <xf numFmtId="0" fontId="23" fillId="2" borderId="6" xfId="0" applyFont="1" applyFill="1" applyBorder="1" applyProtection="1">
      <protection hidden="1"/>
    </xf>
    <xf numFmtId="0" fontId="2" fillId="4" borderId="0" xfId="0" applyFont="1" applyFill="1" applyProtection="1">
      <protection hidden="1"/>
    </xf>
    <xf numFmtId="0" fontId="0" fillId="4" borderId="0" xfId="0" applyFill="1"/>
    <xf numFmtId="0" fontId="15" fillId="4" borderId="0" xfId="0" applyFont="1" applyFill="1" applyProtection="1">
      <protection hidden="1"/>
    </xf>
    <xf numFmtId="0" fontId="11" fillId="3" borderId="6" xfId="0" applyFont="1" applyFill="1" applyBorder="1" applyAlignment="1">
      <alignment horizontal="center" vertical="center" wrapText="1"/>
    </xf>
    <xf numFmtId="0" fontId="11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1" fillId="3" borderId="6" xfId="0" applyFont="1" applyFill="1" applyBorder="1" applyAlignment="1">
      <alignment horizontal="center" wrapText="1"/>
    </xf>
    <xf numFmtId="0" fontId="0" fillId="0" borderId="6" xfId="0" applyBorder="1"/>
    <xf numFmtId="0" fontId="4" fillId="4" borderId="0" xfId="0" applyFont="1" applyFill="1" applyProtection="1">
      <protection hidden="1"/>
    </xf>
    <xf numFmtId="0" fontId="27" fillId="5" borderId="14" xfId="0" applyFont="1" applyFill="1" applyBorder="1"/>
    <xf numFmtId="0" fontId="2" fillId="4" borderId="0" xfId="0" applyFont="1" applyFill="1" applyAlignment="1" applyProtection="1">
      <alignment horizontal="center"/>
      <protection hidden="1"/>
    </xf>
    <xf numFmtId="0" fontId="0" fillId="0" borderId="0" xfId="0" applyNumberFormat="1"/>
    <xf numFmtId="0" fontId="0" fillId="6" borderId="0" xfId="0" applyFill="1" applyAlignment="1">
      <alignment horizontal="center"/>
    </xf>
    <xf numFmtId="0" fontId="0" fillId="6" borderId="0" xfId="0" applyFill="1"/>
    <xf numFmtId="0" fontId="12" fillId="8" borderId="6" xfId="0" applyFont="1" applyFill="1" applyBorder="1" applyAlignment="1">
      <alignment horizontal="left" wrapText="1"/>
    </xf>
    <xf numFmtId="0" fontId="12" fillId="8" borderId="6" xfId="0" applyFont="1" applyFill="1" applyBorder="1" applyAlignment="1">
      <alignment horizontal="left" vertical="center" wrapText="1"/>
    </xf>
    <xf numFmtId="0" fontId="16" fillId="8" borderId="6" xfId="0" applyFont="1" applyFill="1" applyBorder="1" applyAlignment="1" applyProtection="1">
      <alignment horizontal="center" vertical="center"/>
      <protection hidden="1"/>
    </xf>
    <xf numFmtId="0" fontId="9" fillId="8" borderId="6" xfId="0" applyFont="1" applyFill="1" applyBorder="1" applyAlignment="1" applyProtection="1">
      <alignment horizontal="center" vertical="center"/>
      <protection hidden="1"/>
    </xf>
    <xf numFmtId="0" fontId="4" fillId="9" borderId="6" xfId="0" applyFont="1" applyFill="1" applyBorder="1" applyAlignment="1">
      <alignment horizontal="center"/>
    </xf>
    <xf numFmtId="0" fontId="28" fillId="7" borderId="6" xfId="0" applyFont="1" applyFill="1" applyBorder="1" applyAlignment="1">
      <alignment horizontal="left" vertical="center" wrapText="1" indent="1"/>
    </xf>
    <xf numFmtId="0" fontId="29" fillId="7" borderId="6" xfId="0" applyFont="1" applyFill="1" applyBorder="1" applyAlignment="1">
      <alignment horizontal="left" vertical="center" wrapText="1" indent="1"/>
    </xf>
    <xf numFmtId="0" fontId="28" fillId="7" borderId="6" xfId="0" applyFont="1" applyFill="1" applyBorder="1" applyAlignment="1">
      <alignment horizontal="left" wrapText="1" indent="1"/>
    </xf>
    <xf numFmtId="0" fontId="29" fillId="7" borderId="6" xfId="0" applyFont="1" applyFill="1" applyBorder="1" applyAlignment="1">
      <alignment horizontal="left" wrapText="1" indent="1"/>
    </xf>
    <xf numFmtId="0" fontId="30" fillId="7" borderId="6" xfId="0" applyFont="1" applyFill="1" applyBorder="1" applyAlignment="1">
      <alignment horizontal="left" vertical="center" wrapText="1" indent="1"/>
    </xf>
    <xf numFmtId="0" fontId="30" fillId="7" borderId="6" xfId="0" applyFont="1" applyFill="1" applyBorder="1" applyAlignment="1">
      <alignment horizontal="left" wrapText="1" indent="1"/>
    </xf>
    <xf numFmtId="0" fontId="31" fillId="7" borderId="6" xfId="0" applyFont="1" applyFill="1" applyBorder="1" applyAlignment="1">
      <alignment horizontal="left" wrapText="1" indent="1"/>
    </xf>
    <xf numFmtId="0" fontId="1" fillId="6" borderId="0" xfId="0" applyFont="1" applyFill="1" applyAlignment="1">
      <alignment vertical="center"/>
    </xf>
    <xf numFmtId="0" fontId="1" fillId="6" borderId="0" xfId="0" applyFont="1" applyFill="1" applyBorder="1" applyAlignment="1">
      <alignment vertical="center"/>
    </xf>
    <xf numFmtId="0" fontId="1" fillId="6" borderId="0" xfId="0" applyFont="1" applyFill="1" applyAlignment="1">
      <alignment horizontal="right" vertical="center"/>
    </xf>
    <xf numFmtId="0" fontId="8" fillId="6" borderId="0" xfId="0" applyFont="1" applyFill="1" applyAlignment="1">
      <alignment vertical="center"/>
    </xf>
    <xf numFmtId="0" fontId="8" fillId="6" borderId="0" xfId="0" applyFont="1" applyFill="1" applyAlignment="1">
      <alignment horizontal="right" vertical="center"/>
    </xf>
    <xf numFmtId="0" fontId="12" fillId="7" borderId="6" xfId="0" applyFont="1" applyFill="1" applyBorder="1" applyAlignment="1">
      <alignment horizontal="left" vertical="center" wrapText="1"/>
    </xf>
    <xf numFmtId="0" fontId="13" fillId="8" borderId="6" xfId="0" applyFont="1" applyFill="1" applyBorder="1" applyAlignment="1">
      <alignment horizontal="center" vertical="center" wrapText="1"/>
    </xf>
    <xf numFmtId="0" fontId="4" fillId="9" borderId="6" xfId="0" applyFont="1" applyFill="1" applyBorder="1" applyAlignment="1">
      <alignment horizontal="center" vertical="center"/>
    </xf>
    <xf numFmtId="0" fontId="2" fillId="6" borderId="0" xfId="0" applyFont="1" applyFill="1"/>
    <xf numFmtId="0" fontId="2" fillId="6" borderId="0" xfId="0" applyFont="1" applyFill="1" applyAlignment="1">
      <alignment horizontal="center"/>
    </xf>
    <xf numFmtId="0" fontId="2" fillId="6" borderId="0" xfId="0" applyFont="1" applyFill="1" applyAlignment="1">
      <alignment vertical="center"/>
    </xf>
    <xf numFmtId="0" fontId="2" fillId="6" borderId="0" xfId="0" applyFont="1" applyFill="1" applyAlignment="1">
      <alignment horizontal="center" vertical="center"/>
    </xf>
    <xf numFmtId="0" fontId="10" fillId="8" borderId="0" xfId="0" applyFont="1" applyFill="1" applyBorder="1" applyAlignment="1" applyProtection="1">
      <alignment horizontal="center"/>
      <protection locked="0"/>
    </xf>
    <xf numFmtId="0" fontId="10" fillId="8" borderId="7" xfId="0" applyFont="1" applyFill="1" applyBorder="1" applyAlignment="1" applyProtection="1">
      <alignment horizontal="center"/>
      <protection locked="0"/>
    </xf>
    <xf numFmtId="0" fontId="10" fillId="8" borderId="8" xfId="0" applyFont="1" applyFill="1" applyBorder="1" applyAlignment="1" applyProtection="1">
      <alignment horizontal="center"/>
      <protection locked="0"/>
    </xf>
    <xf numFmtId="0" fontId="10" fillId="8" borderId="9" xfId="0" applyFont="1" applyFill="1" applyBorder="1" applyAlignment="1" applyProtection="1">
      <alignment horizontal="center"/>
      <protection locked="0"/>
    </xf>
    <xf numFmtId="0" fontId="4" fillId="9" borderId="1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center" vertical="center"/>
    </xf>
    <xf numFmtId="0" fontId="4" fillId="9" borderId="3" xfId="0" applyFont="1" applyFill="1" applyBorder="1" applyAlignment="1">
      <alignment horizontal="center" vertical="center"/>
    </xf>
    <xf numFmtId="0" fontId="9" fillId="8" borderId="4" xfId="0" applyFont="1" applyFill="1" applyBorder="1" applyAlignment="1" applyProtection="1">
      <alignment horizontal="center"/>
      <protection hidden="1"/>
    </xf>
    <xf numFmtId="0" fontId="9" fillId="8" borderId="5" xfId="0" applyFont="1" applyFill="1" applyBorder="1" applyAlignment="1" applyProtection="1">
      <alignment horizontal="center"/>
      <protection hidden="1"/>
    </xf>
    <xf numFmtId="0" fontId="10" fillId="8" borderId="0" xfId="0" applyFont="1" applyFill="1" applyAlignment="1" applyProtection="1">
      <alignment horizontal="center"/>
      <protection locked="0"/>
    </xf>
    <xf numFmtId="0" fontId="32" fillId="10" borderId="0" xfId="0" applyFont="1" applyFill="1" applyAlignment="1" applyProtection="1">
      <alignment horizontal="center"/>
      <protection locked="0" hidden="1"/>
    </xf>
    <xf numFmtId="0" fontId="32" fillId="10" borderId="0" xfId="0" applyFont="1" applyFill="1" applyBorder="1" applyAlignment="1" applyProtection="1">
      <alignment horizontal="center"/>
      <protection locked="0" hidden="1"/>
    </xf>
    <xf numFmtId="0" fontId="32" fillId="10" borderId="8" xfId="0" applyFont="1" applyFill="1" applyBorder="1" applyAlignment="1" applyProtection="1">
      <alignment horizontal="center"/>
      <protection locked="0" hidden="1"/>
    </xf>
    <xf numFmtId="0" fontId="33" fillId="7" borderId="0" xfId="0" applyFont="1" applyFill="1" applyProtection="1">
      <protection locked="0"/>
    </xf>
    <xf numFmtId="0" fontId="33" fillId="7" borderId="0" xfId="0" applyFont="1" applyFill="1" applyBorder="1" applyProtection="1">
      <protection locked="0"/>
    </xf>
    <xf numFmtId="0" fontId="33" fillId="7" borderId="8" xfId="0" applyFont="1" applyFill="1" applyBorder="1" applyProtection="1">
      <protection locked="0"/>
    </xf>
    <xf numFmtId="0" fontId="9" fillId="6" borderId="0" xfId="0" applyFont="1" applyFill="1" applyBorder="1" applyAlignment="1" applyProtection="1">
      <alignment horizontal="center"/>
    </xf>
    <xf numFmtId="0" fontId="9" fillId="6" borderId="0" xfId="0" applyFont="1" applyFill="1" applyBorder="1" applyAlignment="1" applyProtection="1">
      <alignment horizontal="left" indent="1"/>
    </xf>
    <xf numFmtId="0" fontId="9" fillId="6" borderId="0" xfId="0" applyFont="1" applyFill="1" applyBorder="1" applyProtection="1"/>
    <xf numFmtId="0" fontId="2" fillId="6" borderId="0" xfId="0" applyFont="1" applyFill="1" applyBorder="1" applyAlignment="1" applyProtection="1">
      <alignment horizontal="center"/>
    </xf>
    <xf numFmtId="1" fontId="2" fillId="6" borderId="0" xfId="0" applyNumberFormat="1" applyFont="1" applyFill="1" applyBorder="1" applyAlignment="1" applyProtection="1">
      <alignment horizontal="center"/>
    </xf>
    <xf numFmtId="0" fontId="7" fillId="6" borderId="0" xfId="0" applyFont="1" applyFill="1" applyBorder="1" applyProtection="1"/>
    <xf numFmtId="166" fontId="7" fillId="6" borderId="0" xfId="0" applyNumberFormat="1" applyFont="1" applyFill="1" applyBorder="1" applyAlignment="1" applyProtection="1">
      <alignment horizontal="center"/>
    </xf>
    <xf numFmtId="0" fontId="0" fillId="6" borderId="0" xfId="0" applyFill="1" applyBorder="1" applyProtection="1"/>
    <xf numFmtId="0" fontId="2" fillId="6" borderId="0" xfId="0" applyFont="1" applyFill="1" applyBorder="1" applyProtection="1"/>
    <xf numFmtId="166" fontId="4" fillId="6" borderId="0" xfId="0" applyNumberFormat="1" applyFont="1" applyFill="1" applyBorder="1" applyAlignment="1" applyProtection="1">
      <alignment vertical="center"/>
    </xf>
    <xf numFmtId="1" fontId="4" fillId="6" borderId="0" xfId="0" applyNumberFormat="1" applyFont="1" applyFill="1" applyBorder="1" applyAlignment="1" applyProtection="1">
      <alignment vertical="center"/>
    </xf>
    <xf numFmtId="0" fontId="7" fillId="6" borderId="0" xfId="0" applyNumberFormat="1" applyFont="1" applyFill="1" applyBorder="1" applyAlignment="1" applyProtection="1">
      <alignment horizontal="center" vertical="center"/>
    </xf>
    <xf numFmtId="0" fontId="9" fillId="6" borderId="0" xfId="0" applyFont="1" applyFill="1" applyBorder="1" applyAlignment="1" applyProtection="1">
      <alignment horizontal="left" indent="1"/>
      <protection locked="0"/>
    </xf>
    <xf numFmtId="0" fontId="6" fillId="6" borderId="0" xfId="0" applyFont="1" applyFill="1" applyBorder="1" applyProtection="1"/>
    <xf numFmtId="0" fontId="4" fillId="6" borderId="0" xfId="0" applyFont="1" applyFill="1" applyBorder="1" applyProtection="1"/>
    <xf numFmtId="0" fontId="2" fillId="6" borderId="0" xfId="2" applyNumberFormat="1" applyFont="1" applyFill="1" applyBorder="1" applyAlignment="1" applyProtection="1">
      <alignment horizontal="center"/>
    </xf>
    <xf numFmtId="166" fontId="6" fillId="6" borderId="0" xfId="0" applyNumberFormat="1" applyFont="1" applyFill="1" applyBorder="1" applyAlignment="1" applyProtection="1">
      <alignment horizontal="center"/>
    </xf>
    <xf numFmtId="166" fontId="2" fillId="6" borderId="0" xfId="0" applyNumberFormat="1" applyFont="1" applyFill="1" applyBorder="1" applyAlignment="1" applyProtection="1">
      <alignment horizontal="center"/>
    </xf>
    <xf numFmtId="0" fontId="2" fillId="6" borderId="0" xfId="0" applyFont="1" applyFill="1" applyBorder="1" applyAlignment="1" applyProtection="1">
      <alignment horizontal="left" indent="1"/>
    </xf>
    <xf numFmtId="0" fontId="2" fillId="6" borderId="0" xfId="0" applyFont="1" applyFill="1" applyBorder="1" applyAlignment="1" applyProtection="1">
      <alignment horizontal="left" indent="1"/>
      <protection locked="0"/>
    </xf>
    <xf numFmtId="0" fontId="9" fillId="7" borderId="0" xfId="0" applyFont="1" applyFill="1" applyBorder="1" applyAlignment="1" applyProtection="1">
      <alignment horizontal="left" indent="1"/>
      <protection locked="0"/>
    </xf>
    <xf numFmtId="0" fontId="9" fillId="7" borderId="0" xfId="0" applyFont="1" applyFill="1" applyBorder="1" applyProtection="1"/>
    <xf numFmtId="0" fontId="19" fillId="8" borderId="0" xfId="0" applyFont="1" applyFill="1" applyBorder="1" applyAlignment="1" applyProtection="1">
      <alignment horizontal="left" indent="1"/>
      <protection locked="0"/>
    </xf>
    <xf numFmtId="0" fontId="19" fillId="8" borderId="0" xfId="0" applyFont="1" applyFill="1" applyBorder="1" applyProtection="1"/>
    <xf numFmtId="0" fontId="14" fillId="8" borderId="0" xfId="0" applyFont="1" applyFill="1" applyBorder="1" applyAlignment="1" applyProtection="1">
      <alignment horizontal="center"/>
    </xf>
    <xf numFmtId="0" fontId="34" fillId="6" borderId="0" xfId="0" applyFont="1" applyFill="1" applyBorder="1" applyProtection="1"/>
    <xf numFmtId="0" fontId="34" fillId="6" borderId="0" xfId="0" applyFont="1" applyFill="1" applyBorder="1" applyAlignment="1" applyProtection="1">
      <alignment horizontal="center"/>
    </xf>
    <xf numFmtId="166" fontId="4" fillId="9" borderId="0" xfId="0" quotePrefix="1" applyNumberFormat="1" applyFont="1" applyFill="1" applyBorder="1" applyAlignment="1" applyProtection="1">
      <alignment horizontal="center" vertical="center"/>
    </xf>
    <xf numFmtId="166" fontId="4" fillId="9" borderId="0" xfId="0" applyNumberFormat="1" applyFont="1" applyFill="1" applyBorder="1" applyAlignment="1" applyProtection="1">
      <alignment vertical="center"/>
    </xf>
    <xf numFmtId="0" fontId="2" fillId="6" borderId="0" xfId="0" applyFont="1" applyFill="1" applyBorder="1" applyProtection="1">
      <protection hidden="1"/>
    </xf>
    <xf numFmtId="164" fontId="2" fillId="6" borderId="0" xfId="0" applyNumberFormat="1" applyFont="1" applyFill="1" applyBorder="1" applyProtection="1">
      <protection hidden="1"/>
    </xf>
    <xf numFmtId="0" fontId="9" fillId="6" borderId="0" xfId="0" applyFont="1" applyFill="1" applyBorder="1" applyProtection="1">
      <protection hidden="1"/>
    </xf>
    <xf numFmtId="0" fontId="2" fillId="6" borderId="0" xfId="0" applyFont="1" applyFill="1" applyBorder="1" applyAlignment="1" applyProtection="1">
      <alignment horizontal="left" indent="1"/>
      <protection hidden="1"/>
    </xf>
    <xf numFmtId="0" fontId="4" fillId="9" borderId="11" xfId="0" applyFont="1" applyFill="1" applyBorder="1" applyAlignment="1" applyProtection="1">
      <alignment horizontal="center" vertical="center"/>
      <protection hidden="1"/>
    </xf>
    <xf numFmtId="164" fontId="4" fillId="9" borderId="11" xfId="0" applyNumberFormat="1" applyFont="1" applyFill="1" applyBorder="1" applyAlignment="1" applyProtection="1">
      <alignment horizontal="center" vertical="center" wrapText="1"/>
      <protection hidden="1"/>
    </xf>
    <xf numFmtId="0" fontId="16" fillId="10" borderId="11" xfId="0" applyNumberFormat="1" applyFont="1" applyFill="1" applyBorder="1" applyAlignment="1" applyProtection="1">
      <alignment horizontal="center" vertical="center" wrapText="1"/>
      <protection hidden="1"/>
    </xf>
    <xf numFmtId="0" fontId="14" fillId="8" borderId="11" xfId="0" applyFont="1" applyFill="1" applyBorder="1" applyAlignment="1" applyProtection="1">
      <alignment horizontal="left" vertical="center" wrapText="1" indent="1"/>
      <protection hidden="1"/>
    </xf>
    <xf numFmtId="0" fontId="9" fillId="8" borderId="13" xfId="0" applyFont="1" applyFill="1" applyBorder="1" applyAlignment="1" applyProtection="1">
      <alignment horizontal="left" vertical="center" wrapText="1" indent="1"/>
      <protection hidden="1"/>
    </xf>
    <xf numFmtId="0" fontId="9" fillId="8" borderId="12" xfId="0" applyFont="1" applyFill="1" applyBorder="1" applyAlignment="1" applyProtection="1">
      <alignment horizontal="left" vertical="center" wrapText="1" indent="1"/>
      <protection hidden="1"/>
    </xf>
    <xf numFmtId="0" fontId="9" fillId="8" borderId="13" xfId="0" applyNumberFormat="1" applyFont="1" applyFill="1" applyBorder="1" applyAlignment="1" applyProtection="1">
      <alignment horizontal="center" vertical="center" wrapText="1"/>
      <protection hidden="1"/>
    </xf>
    <xf numFmtId="0" fontId="9" fillId="8" borderId="12" xfId="0" applyNumberFormat="1" applyFont="1" applyFill="1" applyBorder="1" applyAlignment="1" applyProtection="1">
      <alignment horizontal="center" vertical="center" wrapText="1"/>
      <protection hidden="1"/>
    </xf>
    <xf numFmtId="0" fontId="2" fillId="6" borderId="0" xfId="0" applyFont="1" applyFill="1" applyProtection="1">
      <protection hidden="1"/>
    </xf>
    <xf numFmtId="0" fontId="2" fillId="6" borderId="0" xfId="0" applyFont="1" applyFill="1" applyAlignment="1" applyProtection="1">
      <alignment horizontal="center"/>
      <protection hidden="1"/>
    </xf>
    <xf numFmtId="0" fontId="15" fillId="6" borderId="0" xfId="0" applyFont="1" applyFill="1" applyProtection="1">
      <protection hidden="1"/>
    </xf>
    <xf numFmtId="0" fontId="4" fillId="6" borderId="0" xfId="0" applyFont="1" applyFill="1" applyProtection="1">
      <protection hidden="1"/>
    </xf>
    <xf numFmtId="0" fontId="5" fillId="6" borderId="0" xfId="0" applyFont="1" applyFill="1" applyProtection="1">
      <protection hidden="1"/>
    </xf>
    <xf numFmtId="0" fontId="16" fillId="6" borderId="0" xfId="0" applyFont="1" applyFill="1" applyBorder="1" applyAlignment="1" applyProtection="1">
      <alignment horizontal="center"/>
      <protection hidden="1"/>
    </xf>
    <xf numFmtId="0" fontId="2" fillId="6" borderId="0" xfId="0" applyFont="1" applyFill="1" applyBorder="1" applyAlignment="1" applyProtection="1">
      <alignment horizontal="center"/>
      <protection hidden="1"/>
    </xf>
    <xf numFmtId="0" fontId="26" fillId="6" borderId="0" xfId="0" applyFont="1" applyFill="1" applyBorder="1" applyAlignment="1" applyProtection="1">
      <alignment horizontal="center"/>
      <protection hidden="1"/>
    </xf>
    <xf numFmtId="0" fontId="4" fillId="6" borderId="0" xfId="0" applyFont="1" applyFill="1" applyBorder="1" applyAlignment="1" applyProtection="1">
      <alignment horizontal="center"/>
      <protection hidden="1"/>
    </xf>
    <xf numFmtId="0" fontId="9" fillId="6" borderId="0" xfId="0" applyFont="1" applyFill="1" applyAlignment="1" applyProtection="1">
      <alignment horizontal="center"/>
      <protection hidden="1"/>
    </xf>
    <xf numFmtId="0" fontId="9" fillId="6" borderId="0" xfId="0" applyFont="1" applyFill="1" applyBorder="1" applyAlignment="1" applyProtection="1">
      <alignment horizontal="center"/>
      <protection hidden="1"/>
    </xf>
    <xf numFmtId="0" fontId="20" fillId="6" borderId="0" xfId="0" applyFont="1" applyFill="1" applyBorder="1" applyAlignment="1" applyProtection="1">
      <alignment horizontal="center"/>
      <protection hidden="1"/>
    </xf>
    <xf numFmtId="0" fontId="2" fillId="6" borderId="0" xfId="0" applyFont="1" applyFill="1" applyAlignment="1" applyProtection="1">
      <alignment vertical="center"/>
      <protection hidden="1"/>
    </xf>
    <xf numFmtId="0" fontId="4" fillId="9" borderId="0" xfId="0" applyFont="1" applyFill="1" applyAlignment="1" applyProtection="1">
      <alignment horizontal="center" vertical="center"/>
      <protection hidden="1"/>
    </xf>
    <xf numFmtId="0" fontId="9" fillId="7" borderId="0" xfId="0" applyFont="1" applyFill="1" applyAlignment="1" applyProtection="1">
      <alignment horizontal="center"/>
      <protection hidden="1"/>
    </xf>
    <xf numFmtId="0" fontId="9" fillId="7" borderId="0" xfId="0" applyFont="1" applyFill="1" applyBorder="1" applyProtection="1">
      <protection hidden="1"/>
    </xf>
    <xf numFmtId="0" fontId="2" fillId="10" borderId="0" xfId="0" applyFont="1" applyFill="1" applyBorder="1" applyAlignment="1" applyProtection="1">
      <alignment horizontal="center"/>
      <protection hidden="1"/>
    </xf>
    <xf numFmtId="0" fontId="26" fillId="10" borderId="0" xfId="0" applyFont="1" applyFill="1" applyBorder="1" applyAlignment="1" applyProtection="1">
      <alignment horizontal="center"/>
      <protection hidden="1"/>
    </xf>
    <xf numFmtId="0" fontId="4" fillId="10" borderId="0" xfId="0" applyFont="1" applyFill="1" applyBorder="1" applyAlignment="1" applyProtection="1">
      <alignment horizontal="center"/>
      <protection hidden="1"/>
    </xf>
    <xf numFmtId="0" fontId="2" fillId="10" borderId="0" xfId="0" applyFont="1" applyFill="1" applyAlignment="1" applyProtection="1">
      <alignment horizontal="center"/>
      <protection hidden="1"/>
    </xf>
    <xf numFmtId="0" fontId="16" fillId="8" borderId="0" xfId="0" applyFont="1" applyFill="1" applyBorder="1" applyAlignment="1" applyProtection="1">
      <alignment horizontal="center"/>
      <protection hidden="1"/>
    </xf>
    <xf numFmtId="0" fontId="9" fillId="8" borderId="0" xfId="0" applyFont="1" applyFill="1" applyAlignment="1" applyProtection="1">
      <alignment horizontal="center"/>
      <protection hidden="1"/>
    </xf>
    <xf numFmtId="0" fontId="2" fillId="10" borderId="6" xfId="0" applyFont="1" applyFill="1" applyBorder="1" applyAlignment="1" applyProtection="1">
      <alignment horizontal="center"/>
      <protection hidden="1"/>
    </xf>
    <xf numFmtId="0" fontId="4" fillId="8" borderId="6" xfId="0" applyFont="1" applyFill="1" applyBorder="1" applyAlignment="1" applyProtection="1">
      <alignment horizontal="center"/>
      <protection hidden="1"/>
    </xf>
    <xf numFmtId="0" fontId="4" fillId="8" borderId="0" xfId="0" applyFont="1" applyFill="1" applyAlignment="1" applyProtection="1">
      <alignment horizontal="center" vertical="center"/>
      <protection hidden="1"/>
    </xf>
    <xf numFmtId="166" fontId="4" fillId="9" borderId="1" xfId="0" applyNumberFormat="1" applyFont="1" applyFill="1" applyBorder="1" applyAlignment="1" applyProtection="1">
      <alignment horizontal="center" vertical="center"/>
    </xf>
    <xf numFmtId="166" fontId="4" fillId="9" borderId="3" xfId="0" applyNumberFormat="1" applyFont="1" applyFill="1" applyBorder="1" applyAlignment="1" applyProtection="1">
      <alignment horizontal="center" vertical="center"/>
    </xf>
    <xf numFmtId="0" fontId="14" fillId="8" borderId="4" xfId="0" applyFont="1" applyFill="1" applyBorder="1" applyAlignment="1" applyProtection="1">
      <alignment horizontal="center"/>
    </xf>
    <xf numFmtId="0" fontId="14" fillId="8" borderId="7" xfId="0" applyFont="1" applyFill="1" applyBorder="1" applyAlignment="1" applyProtection="1">
      <alignment horizontal="center"/>
    </xf>
    <xf numFmtId="1" fontId="16" fillId="8" borderId="4" xfId="0" applyNumberFormat="1" applyFont="1" applyFill="1" applyBorder="1" applyAlignment="1" applyProtection="1">
      <alignment horizontal="center"/>
      <protection hidden="1"/>
    </xf>
    <xf numFmtId="0" fontId="9" fillId="7" borderId="7" xfId="0" applyFont="1" applyFill="1" applyBorder="1" applyAlignment="1" applyProtection="1">
      <alignment horizontal="center"/>
    </xf>
    <xf numFmtId="1" fontId="9" fillId="8" borderId="4" xfId="0" applyNumberFormat="1" applyFont="1" applyFill="1" applyBorder="1" applyAlignment="1" applyProtection="1">
      <alignment horizontal="center"/>
      <protection hidden="1"/>
    </xf>
    <xf numFmtId="0" fontId="9" fillId="7" borderId="7" xfId="0" applyFont="1" applyFill="1" applyBorder="1" applyAlignment="1" applyProtection="1">
      <alignment horizontal="center"/>
      <protection locked="0"/>
    </xf>
    <xf numFmtId="0" fontId="9" fillId="6" borderId="7" xfId="0" applyFont="1" applyFill="1" applyBorder="1" applyAlignment="1" applyProtection="1">
      <alignment horizontal="center"/>
      <protection locked="0"/>
    </xf>
    <xf numFmtId="0" fontId="17" fillId="8" borderId="4" xfId="0" applyFont="1" applyFill="1" applyBorder="1" applyAlignment="1" applyProtection="1">
      <alignment horizontal="center"/>
      <protection hidden="1"/>
    </xf>
    <xf numFmtId="0" fontId="19" fillId="8" borderId="7" xfId="0" applyNumberFormat="1" applyFont="1" applyFill="1" applyBorder="1" applyAlignment="1" applyProtection="1">
      <alignment horizontal="center" vertical="center"/>
    </xf>
    <xf numFmtId="0" fontId="21" fillId="8" borderId="5" xfId="0" applyFont="1" applyFill="1" applyBorder="1" applyAlignment="1" applyProtection="1">
      <alignment horizontal="center"/>
      <protection hidden="1"/>
    </xf>
    <xf numFmtId="0" fontId="22" fillId="8" borderId="8" xfId="0" applyFont="1" applyFill="1" applyBorder="1" applyAlignment="1" applyProtection="1">
      <alignment horizontal="left" indent="1"/>
      <protection locked="0"/>
    </xf>
    <xf numFmtId="0" fontId="19" fillId="8" borderId="8" xfId="0" applyFont="1" applyFill="1" applyBorder="1" applyProtection="1"/>
    <xf numFmtId="1" fontId="22" fillId="8" borderId="9" xfId="0" quotePrefix="1" applyNumberFormat="1" applyFont="1" applyFill="1" applyBorder="1" applyAlignment="1" applyProtection="1">
      <alignment horizontal="center" vertical="center"/>
    </xf>
    <xf numFmtId="166" fontId="4" fillId="9" borderId="4" xfId="0" quotePrefix="1" applyNumberFormat="1" applyFont="1" applyFill="1" applyBorder="1" applyAlignment="1" applyProtection="1">
      <alignment vertical="center"/>
    </xf>
    <xf numFmtId="166" fontId="4" fillId="9" borderId="7" xfId="0" applyNumberFormat="1" applyFont="1" applyFill="1" applyBorder="1" applyAlignment="1" applyProtection="1">
      <alignment vertical="center"/>
    </xf>
    <xf numFmtId="1" fontId="9" fillId="6" borderId="4" xfId="0" applyNumberFormat="1" applyFont="1" applyFill="1" applyBorder="1" applyAlignment="1" applyProtection="1">
      <alignment horizontal="center"/>
      <protection hidden="1"/>
    </xf>
    <xf numFmtId="0" fontId="0" fillId="0" borderId="0" xfId="0" applyFill="1"/>
    <xf numFmtId="0" fontId="4" fillId="0" borderId="0" xfId="0" applyFont="1" applyFill="1"/>
    <xf numFmtId="0" fontId="37" fillId="5" borderId="14" xfId="0" applyFont="1" applyFill="1" applyBorder="1"/>
    <xf numFmtId="0" fontId="38" fillId="0" borderId="0" xfId="0" applyFont="1"/>
    <xf numFmtId="0" fontId="38" fillId="0" borderId="0" xfId="0" quotePrefix="1" applyFont="1"/>
    <xf numFmtId="0" fontId="2" fillId="3" borderId="6" xfId="0" applyFont="1" applyFill="1" applyBorder="1" applyAlignment="1" applyProtection="1">
      <alignment horizontal="center"/>
      <protection hidden="1"/>
    </xf>
    <xf numFmtId="0" fontId="2" fillId="2" borderId="6" xfId="0" applyFont="1" applyFill="1" applyBorder="1" applyAlignment="1" applyProtection="1">
      <alignment horizontal="center"/>
      <protection hidden="1"/>
    </xf>
    <xf numFmtId="0" fontId="36" fillId="0" borderId="0" xfId="1" applyFont="1" applyFill="1" applyAlignment="1" applyProtection="1">
      <alignment horizontal="center"/>
      <protection locked="0"/>
    </xf>
    <xf numFmtId="0" fontId="4" fillId="9" borderId="0" xfId="0" applyFont="1" applyFill="1" applyAlignment="1" applyProtection="1">
      <alignment horizontal="center" vertical="center"/>
      <protection hidden="1"/>
    </xf>
    <xf numFmtId="0" fontId="4" fillId="9" borderId="0" xfId="0" applyFont="1" applyFill="1" applyBorder="1" applyAlignment="1" applyProtection="1">
      <alignment horizontal="center" vertical="center"/>
      <protection hidden="1"/>
    </xf>
    <xf numFmtId="0" fontId="18" fillId="4" borderId="0" xfId="0" applyFont="1" applyFill="1" applyBorder="1" applyAlignment="1" applyProtection="1">
      <alignment horizontal="center" vertical="center"/>
      <protection hidden="1"/>
    </xf>
    <xf numFmtId="0" fontId="2" fillId="4" borderId="0" xfId="0" applyFont="1" applyFill="1" applyAlignment="1" applyProtection="1">
      <alignment horizontal="center"/>
      <protection hidden="1"/>
    </xf>
    <xf numFmtId="0" fontId="4" fillId="9" borderId="6" xfId="0" applyFont="1" applyFill="1" applyBorder="1" applyAlignment="1" applyProtection="1">
      <alignment horizontal="center"/>
      <protection hidden="1"/>
    </xf>
    <xf numFmtId="0" fontId="25" fillId="9" borderId="0" xfId="0" applyFont="1" applyFill="1" applyBorder="1" applyAlignment="1" applyProtection="1">
      <alignment horizontal="center"/>
      <protection hidden="1"/>
    </xf>
    <xf numFmtId="0" fontId="35" fillId="7" borderId="11" xfId="0" applyFont="1" applyFill="1" applyBorder="1" applyAlignment="1">
      <alignment horizontal="center" vertical="center"/>
    </xf>
    <xf numFmtId="0" fontId="35" fillId="7" borderId="13" xfId="0" applyFont="1" applyFill="1" applyBorder="1" applyAlignment="1">
      <alignment horizontal="center" vertical="center"/>
    </xf>
    <xf numFmtId="0" fontId="35" fillId="7" borderId="12" xfId="0" applyFont="1" applyFill="1" applyBorder="1" applyAlignment="1">
      <alignment horizontal="center" vertical="center"/>
    </xf>
    <xf numFmtId="0" fontId="2" fillId="10" borderId="11" xfId="0" applyFont="1" applyFill="1" applyBorder="1" applyAlignment="1" applyProtection="1">
      <alignment horizontal="center" vertical="center" wrapText="1"/>
      <protection hidden="1"/>
    </xf>
    <xf numFmtId="0" fontId="2" fillId="10" borderId="13" xfId="0" applyFont="1" applyFill="1" applyBorder="1" applyAlignment="1" applyProtection="1">
      <alignment horizontal="center" vertical="center" wrapText="1"/>
      <protection hidden="1"/>
    </xf>
    <xf numFmtId="0" fontId="2" fillId="10" borderId="12" xfId="0" applyFont="1" applyFill="1" applyBorder="1" applyAlignment="1" applyProtection="1">
      <alignment horizontal="center" vertical="center" wrapText="1"/>
      <protection hidden="1"/>
    </xf>
    <xf numFmtId="165" fontId="9" fillId="8" borderId="10" xfId="0" applyNumberFormat="1" applyFont="1" applyFill="1" applyBorder="1" applyAlignment="1" applyProtection="1">
      <alignment horizontal="center" vertical="center" wrapText="1"/>
      <protection hidden="1"/>
    </xf>
    <xf numFmtId="0" fontId="2" fillId="11" borderId="10" xfId="0" applyFont="1" applyFill="1" applyBorder="1" applyAlignment="1" applyProtection="1">
      <alignment horizontal="center" vertical="center" wrapText="1"/>
      <protection hidden="1"/>
    </xf>
    <xf numFmtId="0" fontId="2" fillId="10" borderId="10" xfId="0" applyFont="1" applyFill="1" applyBorder="1" applyAlignment="1" applyProtection="1">
      <alignment horizontal="center" vertical="center" wrapText="1"/>
      <protection hidden="1"/>
    </xf>
    <xf numFmtId="0" fontId="4" fillId="9" borderId="11" xfId="0" applyFont="1" applyFill="1" applyBorder="1" applyAlignment="1" applyProtection="1">
      <alignment horizontal="center" vertical="center"/>
      <protection hidden="1"/>
    </xf>
    <xf numFmtId="0" fontId="2" fillId="11" borderId="12" xfId="0" applyFont="1" applyFill="1" applyBorder="1" applyAlignment="1" applyProtection="1">
      <alignment horizontal="center" vertical="center" wrapText="1"/>
      <protection hidden="1"/>
    </xf>
    <xf numFmtId="166" fontId="4" fillId="9" borderId="2" xfId="0" applyNumberFormat="1" applyFont="1" applyFill="1" applyBorder="1" applyAlignment="1" applyProtection="1">
      <alignment horizontal="center" vertical="center"/>
    </xf>
    <xf numFmtId="0" fontId="7" fillId="6" borderId="0" xfId="0" applyFont="1" applyFill="1" applyBorder="1" applyAlignment="1" applyProtection="1">
      <alignment horizontal="center" vertical="center"/>
    </xf>
    <xf numFmtId="166" fontId="7" fillId="6" borderId="0" xfId="0" applyNumberFormat="1" applyFont="1" applyFill="1" applyBorder="1" applyAlignment="1" applyProtection="1">
      <alignment horizontal="center" vertical="center"/>
    </xf>
    <xf numFmtId="0" fontId="4" fillId="9" borderId="15" xfId="0" applyFont="1" applyFill="1" applyBorder="1" applyAlignment="1">
      <alignment horizontal="center"/>
    </xf>
    <xf numFmtId="0" fontId="4" fillId="9" borderId="16" xfId="0" applyFont="1" applyFill="1" applyBorder="1" applyAlignment="1">
      <alignment horizontal="center"/>
    </xf>
  </cellXfs>
  <cellStyles count="3">
    <cellStyle name="Hiperlink" xfId="1" builtinId="8"/>
    <cellStyle name="Normal" xfId="0" builtinId="0"/>
    <cellStyle name="Vírgula" xfId="2" builtinId="3"/>
  </cellStyles>
  <dxfs count="33">
    <dxf>
      <font>
        <color theme="4" tint="-0.24994659260841701"/>
      </font>
    </dxf>
    <dxf>
      <font>
        <color theme="4" tint="-0.24994659260841701"/>
      </font>
    </dxf>
    <dxf>
      <font>
        <color theme="4" tint="-0.24994659260841701"/>
      </font>
    </dxf>
    <dxf>
      <font>
        <color theme="4" tint="-0.24994659260841701"/>
      </font>
    </dxf>
    <dxf>
      <font>
        <color theme="4" tint="-0.24994659260841701"/>
      </font>
    </dxf>
    <dxf>
      <font>
        <color theme="4" tint="-0.24994659260841701"/>
      </font>
    </dxf>
    <dxf>
      <font>
        <color theme="4" tint="-0.24994659260841701"/>
      </font>
    </dxf>
    <dxf>
      <font>
        <color theme="4" tint="-0.24994659260841701"/>
      </font>
    </dxf>
    <dxf>
      <font>
        <color theme="4" tint="-0.24994659260841701"/>
      </font>
    </dxf>
    <dxf>
      <font>
        <color theme="4" tint="-0.24994659260841701"/>
      </font>
    </dxf>
    <dxf>
      <font>
        <color theme="4" tint="-0.24994659260841701"/>
      </font>
    </dxf>
    <dxf>
      <font>
        <color theme="4" tint="-0.24994659260841701"/>
      </font>
    </dxf>
    <dxf>
      <font>
        <color theme="4" tint="-0.24994659260841701"/>
      </font>
    </dxf>
    <dxf>
      <font>
        <color theme="4" tint="-0.24994659260841701"/>
      </font>
    </dxf>
    <dxf>
      <font>
        <color theme="4" tint="-0.24994659260841701"/>
      </font>
    </dxf>
    <dxf>
      <font>
        <color theme="4" tint="-0.24994659260841701"/>
      </font>
    </dxf>
    <dxf>
      <font>
        <color theme="4" tint="-0.24994659260841701"/>
      </font>
    </dxf>
    <dxf>
      <font>
        <color theme="4" tint="-0.24994659260841701"/>
      </font>
    </dxf>
    <dxf>
      <font>
        <color theme="4" tint="-0.24994659260841701"/>
      </font>
    </dxf>
    <dxf>
      <font>
        <color theme="4" tint="-0.24994659260841701"/>
      </font>
    </dxf>
    <dxf>
      <font>
        <color theme="4" tint="-0.24994659260841701"/>
      </font>
    </dxf>
    <dxf>
      <font>
        <color theme="4" tint="-0.24994659260841701"/>
      </font>
    </dxf>
    <dxf>
      <font>
        <color theme="4" tint="-0.24994659260841701"/>
      </font>
    </dxf>
    <dxf>
      <font>
        <color theme="4" tint="-0.24994659260841701"/>
      </font>
    </dxf>
    <dxf>
      <font>
        <color rgb="FFFFFF00"/>
      </font>
    </dxf>
    <dxf>
      <font>
        <color rgb="FFFF0000"/>
      </font>
    </dxf>
    <dxf>
      <font>
        <color rgb="FFFFFF00"/>
      </font>
    </dxf>
    <dxf>
      <font>
        <color rgb="FFFF0000"/>
      </font>
    </dxf>
    <dxf>
      <numFmt numFmtId="0" formatCode="General"/>
    </dxf>
    <dxf>
      <numFmt numFmtId="0" formatCode="General"/>
    </dxf>
    <dxf>
      <border outline="0">
        <top style="medium">
          <color theme="1"/>
        </top>
      </border>
    </dxf>
    <dxf>
      <border outline="0">
        <bottom style="medium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charset val="1"/>
        <scheme val="none"/>
      </font>
      <fill>
        <patternFill patternType="solid">
          <fgColor theme="6"/>
          <bgColor theme="6"/>
        </patternFill>
      </fill>
    </dxf>
  </dxfs>
  <tableStyles count="0" defaultTableStyle="TableStyleMedium9" defaultPivotStyle="PivotStyleLight16"/>
  <colors>
    <mruColors>
      <color rgb="FFD0009A"/>
      <color rgb="FFF3F3FF"/>
      <color rgb="FFE0E0E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07/relationships/slicerCache" Target="slicerCaches/slicerCache2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07/relationships/slicerCache" Target="slicerCaches/slicerCache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21"/>
          <c:order val="21"/>
          <c:tx>
            <c:strRef>
              <c:f>'Dummy Chart'!$B$23</c:f>
              <c:strCache>
                <c:ptCount val="1"/>
                <c:pt idx="0">
                  <c:v>Valtteri Bottas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'Dummy Chart'!$C$1:$Z$1</c:f>
              <c:strCache>
                <c:ptCount val="24"/>
                <c:pt idx="0">
                  <c:v>AUS</c:v>
                </c:pt>
                <c:pt idx="1">
                  <c:v>CHI</c:v>
                </c:pt>
                <c:pt idx="2">
                  <c:v>JAP</c:v>
                </c:pt>
                <c:pt idx="3">
                  <c:v>BAH</c:v>
                </c:pt>
                <c:pt idx="4">
                  <c:v>SAU</c:v>
                </c:pt>
                <c:pt idx="5">
                  <c:v>MIA</c:v>
                </c:pt>
                <c:pt idx="6">
                  <c:v>CAN</c:v>
                </c:pt>
                <c:pt idx="7">
                  <c:v>MON</c:v>
                </c:pt>
                <c:pt idx="8">
                  <c:v>ESP</c:v>
                </c:pt>
                <c:pt idx="9">
                  <c:v>AUT</c:v>
                </c:pt>
                <c:pt idx="10">
                  <c:v>ING</c:v>
                </c:pt>
                <c:pt idx="11">
                  <c:v>BEL</c:v>
                </c:pt>
                <c:pt idx="12">
                  <c:v>HUN</c:v>
                </c:pt>
                <c:pt idx="13">
                  <c:v>HOL</c:v>
                </c:pt>
                <c:pt idx="14">
                  <c:v>MAD</c:v>
                </c:pt>
                <c:pt idx="15">
                  <c:v>ITA</c:v>
                </c:pt>
                <c:pt idx="16">
                  <c:v>AZE</c:v>
                </c:pt>
                <c:pt idx="17">
                  <c:v>SIN</c:v>
                </c:pt>
                <c:pt idx="18">
                  <c:v>USA</c:v>
                </c:pt>
                <c:pt idx="19">
                  <c:v>MEX</c:v>
                </c:pt>
                <c:pt idx="20">
                  <c:v>SÃO</c:v>
                </c:pt>
                <c:pt idx="21">
                  <c:v>VEG</c:v>
                </c:pt>
                <c:pt idx="22">
                  <c:v>QAT</c:v>
                </c:pt>
                <c:pt idx="23">
                  <c:v>ABU</c:v>
                </c:pt>
              </c:strCache>
              <c:extLst xmlns:c15="http://schemas.microsoft.com/office/drawing/2012/chart"/>
            </c:strRef>
          </c:cat>
          <c:val>
            <c:numRef>
              <c:f>'Dummy Chart'!$C$23:$Z$23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4F0B-44C1-9290-1A55BB25C8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8764495"/>
        <c:axId val="1518766895"/>
        <c:extLst>
          <c:ext xmlns:c15="http://schemas.microsoft.com/office/drawing/2012/chart" uri="{02D57815-91ED-43cb-92C2-25804820EDAC}">
            <c15:filteredLineSeries>
              <c15:ser>
                <c:idx val="22"/>
                <c:order val="22"/>
                <c:tx>
                  <c:strRef>
                    <c:extLst>
                      <c:ext uri="{02D57815-91ED-43cb-92C2-25804820EDAC}">
                        <c15:formulaRef>
                          <c15:sqref>'Dummy Chart'!$B$24</c15:sqref>
                        </c15:formulaRef>
                      </c:ext>
                    </c:extLst>
                    <c:strCache>
                      <c:ptCount val="1"/>
                      <c:pt idx="0">
                        <c:v>Sergio Perez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'Dummy Chart'!$C$1:$Z$1</c15:sqref>
                        </c15:formulaRef>
                      </c:ext>
                    </c:extLst>
                    <c:strCache>
                      <c:ptCount val="24"/>
                      <c:pt idx="0">
                        <c:v>AUS</c:v>
                      </c:pt>
                      <c:pt idx="1">
                        <c:v>CHI</c:v>
                      </c:pt>
                      <c:pt idx="2">
                        <c:v>JAP</c:v>
                      </c:pt>
                      <c:pt idx="3">
                        <c:v>BAH</c:v>
                      </c:pt>
                      <c:pt idx="4">
                        <c:v>SAU</c:v>
                      </c:pt>
                      <c:pt idx="5">
                        <c:v>MIA</c:v>
                      </c:pt>
                      <c:pt idx="6">
                        <c:v>CAN</c:v>
                      </c:pt>
                      <c:pt idx="7">
                        <c:v>MON</c:v>
                      </c:pt>
                      <c:pt idx="8">
                        <c:v>ESP</c:v>
                      </c:pt>
                      <c:pt idx="9">
                        <c:v>AUT</c:v>
                      </c:pt>
                      <c:pt idx="10">
                        <c:v>ING</c:v>
                      </c:pt>
                      <c:pt idx="11">
                        <c:v>BEL</c:v>
                      </c:pt>
                      <c:pt idx="12">
                        <c:v>HUN</c:v>
                      </c:pt>
                      <c:pt idx="13">
                        <c:v>HOL</c:v>
                      </c:pt>
                      <c:pt idx="14">
                        <c:v>MAD</c:v>
                      </c:pt>
                      <c:pt idx="15">
                        <c:v>ITA</c:v>
                      </c:pt>
                      <c:pt idx="16">
                        <c:v>AZE</c:v>
                      </c:pt>
                      <c:pt idx="17">
                        <c:v>SIN</c:v>
                      </c:pt>
                      <c:pt idx="18">
                        <c:v>USA</c:v>
                      </c:pt>
                      <c:pt idx="19">
                        <c:v>MEX</c:v>
                      </c:pt>
                      <c:pt idx="20">
                        <c:v>SÃO</c:v>
                      </c:pt>
                      <c:pt idx="21">
                        <c:v>VEG</c:v>
                      </c:pt>
                      <c:pt idx="22">
                        <c:v>QAT</c:v>
                      </c:pt>
                      <c:pt idx="23">
                        <c:v>ABU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'Dummy Chart'!$C$24:$Z$24</c15:sqref>
                        </c15:formulaRef>
                      </c:ext>
                    </c:extLst>
                    <c:numCache>
                      <c:formatCode>General</c:formatCode>
                      <c:ptCount val="24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4F0B-44C1-9290-1A55BB25C848}"/>
                  </c:ext>
                </c:extLst>
              </c15:ser>
            </c15:filteredLineSeries>
            <c15:filteredLineSeries>
              <c15:ser>
                <c:idx val="23"/>
                <c:order val="2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'Dummy Chart'!$B$25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'Dummy Chart'!$C$1:$Z$1</c15:sqref>
                        </c15:formulaRef>
                      </c:ext>
                    </c:extLst>
                    <c:strCache>
                      <c:ptCount val="24"/>
                      <c:pt idx="0">
                        <c:v>AUS</c:v>
                      </c:pt>
                      <c:pt idx="1">
                        <c:v>CHI</c:v>
                      </c:pt>
                      <c:pt idx="2">
                        <c:v>JAP</c:v>
                      </c:pt>
                      <c:pt idx="3">
                        <c:v>BAH</c:v>
                      </c:pt>
                      <c:pt idx="4">
                        <c:v>SAU</c:v>
                      </c:pt>
                      <c:pt idx="5">
                        <c:v>MIA</c:v>
                      </c:pt>
                      <c:pt idx="6">
                        <c:v>CAN</c:v>
                      </c:pt>
                      <c:pt idx="7">
                        <c:v>MON</c:v>
                      </c:pt>
                      <c:pt idx="8">
                        <c:v>ESP</c:v>
                      </c:pt>
                      <c:pt idx="9">
                        <c:v>AUT</c:v>
                      </c:pt>
                      <c:pt idx="10">
                        <c:v>ING</c:v>
                      </c:pt>
                      <c:pt idx="11">
                        <c:v>BEL</c:v>
                      </c:pt>
                      <c:pt idx="12">
                        <c:v>HUN</c:v>
                      </c:pt>
                      <c:pt idx="13">
                        <c:v>HOL</c:v>
                      </c:pt>
                      <c:pt idx="14">
                        <c:v>MAD</c:v>
                      </c:pt>
                      <c:pt idx="15">
                        <c:v>ITA</c:v>
                      </c:pt>
                      <c:pt idx="16">
                        <c:v>AZE</c:v>
                      </c:pt>
                      <c:pt idx="17">
                        <c:v>SIN</c:v>
                      </c:pt>
                      <c:pt idx="18">
                        <c:v>USA</c:v>
                      </c:pt>
                      <c:pt idx="19">
                        <c:v>MEX</c:v>
                      </c:pt>
                      <c:pt idx="20">
                        <c:v>SÃO</c:v>
                      </c:pt>
                      <c:pt idx="21">
                        <c:v>VEG</c:v>
                      </c:pt>
                      <c:pt idx="22">
                        <c:v>QAT</c:v>
                      </c:pt>
                      <c:pt idx="23">
                        <c:v>ABU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'Dummy Chart'!$C$25:$Z$25</c15:sqref>
                        </c15:formulaRef>
                      </c:ext>
                    </c:extLst>
                    <c:numCache>
                      <c:formatCode>General</c:formatCode>
                      <c:ptCount val="24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4F0B-44C1-9290-1A55BB25C848}"/>
                  </c:ext>
                </c:extLst>
              </c15:ser>
            </c15:filteredLineSeries>
          </c:ext>
        </c:extLst>
      </c:lineChart>
      <c:lineChart>
        <c:grouping val="standard"/>
        <c:varyColors val="0"/>
        <c:ser>
          <c:idx val="0"/>
          <c:order val="0"/>
          <c:tx>
            <c:strRef>
              <c:f>'Dummy Chart'!$B$2</c:f>
              <c:strCache>
                <c:ptCount val="1"/>
                <c:pt idx="0">
                  <c:v>Kimi Antonelli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'Dummy Chart'!$C$1:$Z$1</c:f>
              <c:strCache>
                <c:ptCount val="24"/>
                <c:pt idx="0">
                  <c:v>AUS</c:v>
                </c:pt>
                <c:pt idx="1">
                  <c:v>CHI</c:v>
                </c:pt>
                <c:pt idx="2">
                  <c:v>JAP</c:v>
                </c:pt>
                <c:pt idx="3">
                  <c:v>BAH</c:v>
                </c:pt>
                <c:pt idx="4">
                  <c:v>SAU</c:v>
                </c:pt>
                <c:pt idx="5">
                  <c:v>MIA</c:v>
                </c:pt>
                <c:pt idx="6">
                  <c:v>CAN</c:v>
                </c:pt>
                <c:pt idx="7">
                  <c:v>MON</c:v>
                </c:pt>
                <c:pt idx="8">
                  <c:v>ESP</c:v>
                </c:pt>
                <c:pt idx="9">
                  <c:v>AUT</c:v>
                </c:pt>
                <c:pt idx="10">
                  <c:v>ING</c:v>
                </c:pt>
                <c:pt idx="11">
                  <c:v>BEL</c:v>
                </c:pt>
                <c:pt idx="12">
                  <c:v>HUN</c:v>
                </c:pt>
                <c:pt idx="13">
                  <c:v>HOL</c:v>
                </c:pt>
                <c:pt idx="14">
                  <c:v>MAD</c:v>
                </c:pt>
                <c:pt idx="15">
                  <c:v>ITA</c:v>
                </c:pt>
                <c:pt idx="16">
                  <c:v>AZE</c:v>
                </c:pt>
                <c:pt idx="17">
                  <c:v>SIN</c:v>
                </c:pt>
                <c:pt idx="18">
                  <c:v>USA</c:v>
                </c:pt>
                <c:pt idx="19">
                  <c:v>MEX</c:v>
                </c:pt>
                <c:pt idx="20">
                  <c:v>SÃO</c:v>
                </c:pt>
                <c:pt idx="21">
                  <c:v>VEG</c:v>
                </c:pt>
                <c:pt idx="22">
                  <c:v>QAT</c:v>
                </c:pt>
                <c:pt idx="23">
                  <c:v>ABU</c:v>
                </c:pt>
              </c:strCache>
            </c:strRef>
          </c:cat>
          <c:val>
            <c:numRef>
              <c:f>'Dummy Chart'!$C$2:$Z$2</c:f>
              <c:numCache>
                <c:formatCode>General</c:formatCode>
                <c:ptCount val="24"/>
                <c:pt idx="0">
                  <c:v>18</c:v>
                </c:pt>
                <c:pt idx="1">
                  <c:v>47</c:v>
                </c:pt>
                <c:pt idx="2">
                  <c:v>72</c:v>
                </c:pt>
                <c:pt idx="3">
                  <c:v>90</c:v>
                </c:pt>
                <c:pt idx="4">
                  <c:v>90</c:v>
                </c:pt>
                <c:pt idx="5">
                  <c:v>118</c:v>
                </c:pt>
                <c:pt idx="6">
                  <c:v>149</c:v>
                </c:pt>
                <c:pt idx="7">
                  <c:v>174</c:v>
                </c:pt>
                <c:pt idx="8">
                  <c:v>174</c:v>
                </c:pt>
                <c:pt idx="9">
                  <c:v>189</c:v>
                </c:pt>
                <c:pt idx="10">
                  <c:v>197</c:v>
                </c:pt>
                <c:pt idx="11">
                  <c:v>222</c:v>
                </c:pt>
                <c:pt idx="12">
                  <c:v>237</c:v>
                </c:pt>
                <c:pt idx="13">
                  <c:v>260</c:v>
                </c:pt>
                <c:pt idx="14">
                  <c:v>285</c:v>
                </c:pt>
                <c:pt idx="15">
                  <c:v>310</c:v>
                </c:pt>
                <c:pt idx="16">
                  <c:v>320</c:v>
                </c:pt>
                <c:pt idx="17">
                  <c:v>340</c:v>
                </c:pt>
                <c:pt idx="18">
                  <c:v>340</c:v>
                </c:pt>
                <c:pt idx="19">
                  <c:v>340</c:v>
                </c:pt>
                <c:pt idx="20">
                  <c:v>340</c:v>
                </c:pt>
                <c:pt idx="21">
                  <c:v>340</c:v>
                </c:pt>
                <c:pt idx="22">
                  <c:v>340</c:v>
                </c:pt>
                <c:pt idx="23">
                  <c:v>340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BC-48E2-A0C1-43174839A2EC}"/>
            </c:ext>
          </c:extLst>
        </c:ser>
        <c:ser>
          <c:idx val="1"/>
          <c:order val="1"/>
          <c:tx>
            <c:strRef>
              <c:f>'Dummy Chart'!$B$3</c:f>
              <c:strCache>
                <c:ptCount val="1"/>
                <c:pt idx="0">
                  <c:v>George Russell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'Dummy Chart'!$C$1:$Z$1</c:f>
              <c:strCache>
                <c:ptCount val="24"/>
                <c:pt idx="0">
                  <c:v>AUS</c:v>
                </c:pt>
                <c:pt idx="1">
                  <c:v>CHI</c:v>
                </c:pt>
                <c:pt idx="2">
                  <c:v>JAP</c:v>
                </c:pt>
                <c:pt idx="3">
                  <c:v>BAH</c:v>
                </c:pt>
                <c:pt idx="4">
                  <c:v>SAU</c:v>
                </c:pt>
                <c:pt idx="5">
                  <c:v>MIA</c:v>
                </c:pt>
                <c:pt idx="6">
                  <c:v>CAN</c:v>
                </c:pt>
                <c:pt idx="7">
                  <c:v>MON</c:v>
                </c:pt>
                <c:pt idx="8">
                  <c:v>ESP</c:v>
                </c:pt>
                <c:pt idx="9">
                  <c:v>AUT</c:v>
                </c:pt>
                <c:pt idx="10">
                  <c:v>ING</c:v>
                </c:pt>
                <c:pt idx="11">
                  <c:v>BEL</c:v>
                </c:pt>
                <c:pt idx="12">
                  <c:v>HUN</c:v>
                </c:pt>
                <c:pt idx="13">
                  <c:v>HOL</c:v>
                </c:pt>
                <c:pt idx="14">
                  <c:v>MAD</c:v>
                </c:pt>
                <c:pt idx="15">
                  <c:v>ITA</c:v>
                </c:pt>
                <c:pt idx="16">
                  <c:v>AZE</c:v>
                </c:pt>
                <c:pt idx="17">
                  <c:v>SIN</c:v>
                </c:pt>
                <c:pt idx="18">
                  <c:v>USA</c:v>
                </c:pt>
                <c:pt idx="19">
                  <c:v>MEX</c:v>
                </c:pt>
                <c:pt idx="20">
                  <c:v>SÃO</c:v>
                </c:pt>
                <c:pt idx="21">
                  <c:v>VEG</c:v>
                </c:pt>
                <c:pt idx="22">
                  <c:v>QAT</c:v>
                </c:pt>
                <c:pt idx="23">
                  <c:v>ABU</c:v>
                </c:pt>
              </c:strCache>
            </c:strRef>
          </c:cat>
          <c:val>
            <c:numRef>
              <c:f>'Dummy Chart'!$C$3:$Z$3</c:f>
              <c:numCache>
                <c:formatCode>General</c:formatCode>
                <c:ptCount val="24"/>
                <c:pt idx="0">
                  <c:v>25</c:v>
                </c:pt>
                <c:pt idx="1">
                  <c:v>51</c:v>
                </c:pt>
                <c:pt idx="2">
                  <c:v>63</c:v>
                </c:pt>
                <c:pt idx="3">
                  <c:v>63</c:v>
                </c:pt>
                <c:pt idx="4">
                  <c:v>63</c:v>
                </c:pt>
                <c:pt idx="5">
                  <c:v>80</c:v>
                </c:pt>
                <c:pt idx="6">
                  <c:v>88</c:v>
                </c:pt>
                <c:pt idx="7">
                  <c:v>88</c:v>
                </c:pt>
                <c:pt idx="8">
                  <c:v>106</c:v>
                </c:pt>
                <c:pt idx="9">
                  <c:v>131</c:v>
                </c:pt>
                <c:pt idx="10">
                  <c:v>154</c:v>
                </c:pt>
                <c:pt idx="11">
                  <c:v>154</c:v>
                </c:pt>
                <c:pt idx="12">
                  <c:v>160</c:v>
                </c:pt>
                <c:pt idx="13">
                  <c:v>183</c:v>
                </c:pt>
                <c:pt idx="14">
                  <c:v>201</c:v>
                </c:pt>
                <c:pt idx="15">
                  <c:v>211</c:v>
                </c:pt>
                <c:pt idx="16">
                  <c:v>236</c:v>
                </c:pt>
                <c:pt idx="17">
                  <c:v>238</c:v>
                </c:pt>
                <c:pt idx="18">
                  <c:v>238</c:v>
                </c:pt>
                <c:pt idx="19">
                  <c:v>238</c:v>
                </c:pt>
                <c:pt idx="20">
                  <c:v>238</c:v>
                </c:pt>
                <c:pt idx="21">
                  <c:v>238</c:v>
                </c:pt>
                <c:pt idx="22">
                  <c:v>238</c:v>
                </c:pt>
                <c:pt idx="23">
                  <c:v>238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EBC-48E2-A0C1-43174839A2EC}"/>
            </c:ext>
          </c:extLst>
        </c:ser>
        <c:ser>
          <c:idx val="2"/>
          <c:order val="2"/>
          <c:tx>
            <c:strRef>
              <c:f>'Dummy Chart'!$B$4</c:f>
              <c:strCache>
                <c:ptCount val="1"/>
                <c:pt idx="0">
                  <c:v>Lewis Hamilton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'Dummy Chart'!$C$1:$Z$1</c:f>
              <c:strCache>
                <c:ptCount val="24"/>
                <c:pt idx="0">
                  <c:v>AUS</c:v>
                </c:pt>
                <c:pt idx="1">
                  <c:v>CHI</c:v>
                </c:pt>
                <c:pt idx="2">
                  <c:v>JAP</c:v>
                </c:pt>
                <c:pt idx="3">
                  <c:v>BAH</c:v>
                </c:pt>
                <c:pt idx="4">
                  <c:v>SAU</c:v>
                </c:pt>
                <c:pt idx="5">
                  <c:v>MIA</c:v>
                </c:pt>
                <c:pt idx="6">
                  <c:v>CAN</c:v>
                </c:pt>
                <c:pt idx="7">
                  <c:v>MON</c:v>
                </c:pt>
                <c:pt idx="8">
                  <c:v>ESP</c:v>
                </c:pt>
                <c:pt idx="9">
                  <c:v>AUT</c:v>
                </c:pt>
                <c:pt idx="10">
                  <c:v>ING</c:v>
                </c:pt>
                <c:pt idx="11">
                  <c:v>BEL</c:v>
                </c:pt>
                <c:pt idx="12">
                  <c:v>HUN</c:v>
                </c:pt>
                <c:pt idx="13">
                  <c:v>HOL</c:v>
                </c:pt>
                <c:pt idx="14">
                  <c:v>MAD</c:v>
                </c:pt>
                <c:pt idx="15">
                  <c:v>ITA</c:v>
                </c:pt>
                <c:pt idx="16">
                  <c:v>AZE</c:v>
                </c:pt>
                <c:pt idx="17">
                  <c:v>SIN</c:v>
                </c:pt>
                <c:pt idx="18">
                  <c:v>USA</c:v>
                </c:pt>
                <c:pt idx="19">
                  <c:v>MEX</c:v>
                </c:pt>
                <c:pt idx="20">
                  <c:v>SÃO</c:v>
                </c:pt>
                <c:pt idx="21">
                  <c:v>VEG</c:v>
                </c:pt>
                <c:pt idx="22">
                  <c:v>QAT</c:v>
                </c:pt>
                <c:pt idx="23">
                  <c:v>ABU</c:v>
                </c:pt>
              </c:strCache>
            </c:strRef>
          </c:cat>
          <c:val>
            <c:numRef>
              <c:f>'Dummy Chart'!$C$4:$Z$4</c:f>
              <c:numCache>
                <c:formatCode>General</c:formatCode>
                <c:ptCount val="24"/>
                <c:pt idx="0">
                  <c:v>12</c:v>
                </c:pt>
                <c:pt idx="1">
                  <c:v>33</c:v>
                </c:pt>
                <c:pt idx="2">
                  <c:v>41</c:v>
                </c:pt>
                <c:pt idx="3">
                  <c:v>56</c:v>
                </c:pt>
                <c:pt idx="4">
                  <c:v>56</c:v>
                </c:pt>
                <c:pt idx="5">
                  <c:v>66</c:v>
                </c:pt>
                <c:pt idx="6">
                  <c:v>87</c:v>
                </c:pt>
                <c:pt idx="7">
                  <c:v>105</c:v>
                </c:pt>
                <c:pt idx="8">
                  <c:v>130</c:v>
                </c:pt>
                <c:pt idx="9">
                  <c:v>140</c:v>
                </c:pt>
                <c:pt idx="10">
                  <c:v>162</c:v>
                </c:pt>
                <c:pt idx="11">
                  <c:v>174</c:v>
                </c:pt>
                <c:pt idx="12">
                  <c:v>184</c:v>
                </c:pt>
                <c:pt idx="13">
                  <c:v>198</c:v>
                </c:pt>
                <c:pt idx="14">
                  <c:v>206</c:v>
                </c:pt>
                <c:pt idx="15">
                  <c:v>206</c:v>
                </c:pt>
                <c:pt idx="16">
                  <c:v>214</c:v>
                </c:pt>
                <c:pt idx="17">
                  <c:v>229</c:v>
                </c:pt>
                <c:pt idx="18">
                  <c:v>229</c:v>
                </c:pt>
                <c:pt idx="19">
                  <c:v>229</c:v>
                </c:pt>
                <c:pt idx="20">
                  <c:v>229</c:v>
                </c:pt>
                <c:pt idx="21">
                  <c:v>229</c:v>
                </c:pt>
                <c:pt idx="22">
                  <c:v>229</c:v>
                </c:pt>
                <c:pt idx="23">
                  <c:v>229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EBC-48E2-A0C1-43174839A2EC}"/>
            </c:ext>
          </c:extLst>
        </c:ser>
        <c:ser>
          <c:idx val="3"/>
          <c:order val="3"/>
          <c:tx>
            <c:strRef>
              <c:f>'Dummy Chart'!$B$5</c:f>
              <c:strCache>
                <c:ptCount val="1"/>
                <c:pt idx="0">
                  <c:v>Max Verstappen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'Dummy Chart'!$C$1:$Z$1</c:f>
              <c:strCache>
                <c:ptCount val="24"/>
                <c:pt idx="0">
                  <c:v>AUS</c:v>
                </c:pt>
                <c:pt idx="1">
                  <c:v>CHI</c:v>
                </c:pt>
                <c:pt idx="2">
                  <c:v>JAP</c:v>
                </c:pt>
                <c:pt idx="3">
                  <c:v>BAH</c:v>
                </c:pt>
                <c:pt idx="4">
                  <c:v>SAU</c:v>
                </c:pt>
                <c:pt idx="5">
                  <c:v>MIA</c:v>
                </c:pt>
                <c:pt idx="6">
                  <c:v>CAN</c:v>
                </c:pt>
                <c:pt idx="7">
                  <c:v>MON</c:v>
                </c:pt>
                <c:pt idx="8">
                  <c:v>ESP</c:v>
                </c:pt>
                <c:pt idx="9">
                  <c:v>AUT</c:v>
                </c:pt>
                <c:pt idx="10">
                  <c:v>ING</c:v>
                </c:pt>
                <c:pt idx="11">
                  <c:v>BEL</c:v>
                </c:pt>
                <c:pt idx="12">
                  <c:v>HUN</c:v>
                </c:pt>
                <c:pt idx="13">
                  <c:v>HOL</c:v>
                </c:pt>
                <c:pt idx="14">
                  <c:v>MAD</c:v>
                </c:pt>
                <c:pt idx="15">
                  <c:v>ITA</c:v>
                </c:pt>
                <c:pt idx="16">
                  <c:v>AZE</c:v>
                </c:pt>
                <c:pt idx="17">
                  <c:v>SIN</c:v>
                </c:pt>
                <c:pt idx="18">
                  <c:v>USA</c:v>
                </c:pt>
                <c:pt idx="19">
                  <c:v>MEX</c:v>
                </c:pt>
                <c:pt idx="20">
                  <c:v>SÃO</c:v>
                </c:pt>
                <c:pt idx="21">
                  <c:v>VEG</c:v>
                </c:pt>
                <c:pt idx="22">
                  <c:v>QAT</c:v>
                </c:pt>
                <c:pt idx="23">
                  <c:v>ABU</c:v>
                </c:pt>
              </c:strCache>
            </c:strRef>
          </c:cat>
          <c:val>
            <c:numRef>
              <c:f>'Dummy Chart'!$C$5:$Z$5</c:f>
              <c:numCache>
                <c:formatCode>General</c:formatCode>
                <c:ptCount val="24"/>
                <c:pt idx="0">
                  <c:v>8</c:v>
                </c:pt>
                <c:pt idx="1">
                  <c:v>8</c:v>
                </c:pt>
                <c:pt idx="2">
                  <c:v>12</c:v>
                </c:pt>
                <c:pt idx="3">
                  <c:v>37</c:v>
                </c:pt>
                <c:pt idx="4">
                  <c:v>37</c:v>
                </c:pt>
                <c:pt idx="5">
                  <c:v>51</c:v>
                </c:pt>
                <c:pt idx="6">
                  <c:v>68</c:v>
                </c:pt>
                <c:pt idx="7">
                  <c:v>68</c:v>
                </c:pt>
                <c:pt idx="8">
                  <c:v>80</c:v>
                </c:pt>
                <c:pt idx="9">
                  <c:v>98</c:v>
                </c:pt>
                <c:pt idx="10">
                  <c:v>101</c:v>
                </c:pt>
                <c:pt idx="11">
                  <c:v>116</c:v>
                </c:pt>
                <c:pt idx="12">
                  <c:v>134</c:v>
                </c:pt>
                <c:pt idx="13">
                  <c:v>137</c:v>
                </c:pt>
                <c:pt idx="14">
                  <c:v>152</c:v>
                </c:pt>
                <c:pt idx="15">
                  <c:v>170</c:v>
                </c:pt>
                <c:pt idx="16">
                  <c:v>188</c:v>
                </c:pt>
                <c:pt idx="17">
                  <c:v>221</c:v>
                </c:pt>
                <c:pt idx="18">
                  <c:v>221</c:v>
                </c:pt>
                <c:pt idx="19">
                  <c:v>221</c:v>
                </c:pt>
                <c:pt idx="20">
                  <c:v>221</c:v>
                </c:pt>
                <c:pt idx="21">
                  <c:v>221</c:v>
                </c:pt>
                <c:pt idx="22">
                  <c:v>221</c:v>
                </c:pt>
                <c:pt idx="23">
                  <c:v>221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EBC-48E2-A0C1-43174839A2EC}"/>
            </c:ext>
          </c:extLst>
        </c:ser>
        <c:ser>
          <c:idx val="4"/>
          <c:order val="4"/>
          <c:tx>
            <c:strRef>
              <c:f>'Dummy Chart'!$B$6</c:f>
              <c:strCache>
                <c:ptCount val="1"/>
                <c:pt idx="0">
                  <c:v>Charles Leclerc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'Dummy Chart'!$C$1:$Z$1</c:f>
              <c:strCache>
                <c:ptCount val="24"/>
                <c:pt idx="0">
                  <c:v>AUS</c:v>
                </c:pt>
                <c:pt idx="1">
                  <c:v>CHI</c:v>
                </c:pt>
                <c:pt idx="2">
                  <c:v>JAP</c:v>
                </c:pt>
                <c:pt idx="3">
                  <c:v>BAH</c:v>
                </c:pt>
                <c:pt idx="4">
                  <c:v>SAU</c:v>
                </c:pt>
                <c:pt idx="5">
                  <c:v>MIA</c:v>
                </c:pt>
                <c:pt idx="6">
                  <c:v>CAN</c:v>
                </c:pt>
                <c:pt idx="7">
                  <c:v>MON</c:v>
                </c:pt>
                <c:pt idx="8">
                  <c:v>ESP</c:v>
                </c:pt>
                <c:pt idx="9">
                  <c:v>AUT</c:v>
                </c:pt>
                <c:pt idx="10">
                  <c:v>ING</c:v>
                </c:pt>
                <c:pt idx="11">
                  <c:v>BEL</c:v>
                </c:pt>
                <c:pt idx="12">
                  <c:v>HUN</c:v>
                </c:pt>
                <c:pt idx="13">
                  <c:v>HOL</c:v>
                </c:pt>
                <c:pt idx="14">
                  <c:v>MAD</c:v>
                </c:pt>
                <c:pt idx="15">
                  <c:v>ITA</c:v>
                </c:pt>
                <c:pt idx="16">
                  <c:v>AZE</c:v>
                </c:pt>
                <c:pt idx="17">
                  <c:v>SIN</c:v>
                </c:pt>
                <c:pt idx="18">
                  <c:v>USA</c:v>
                </c:pt>
                <c:pt idx="19">
                  <c:v>MEX</c:v>
                </c:pt>
                <c:pt idx="20">
                  <c:v>SÃO</c:v>
                </c:pt>
                <c:pt idx="21">
                  <c:v>VEG</c:v>
                </c:pt>
                <c:pt idx="22">
                  <c:v>QAT</c:v>
                </c:pt>
                <c:pt idx="23">
                  <c:v>ABU</c:v>
                </c:pt>
              </c:strCache>
            </c:strRef>
          </c:cat>
          <c:val>
            <c:numRef>
              <c:f>'Dummy Chart'!$C$6:$Z$6</c:f>
              <c:numCache>
                <c:formatCode>General</c:formatCode>
                <c:ptCount val="24"/>
                <c:pt idx="0">
                  <c:v>15</c:v>
                </c:pt>
                <c:pt idx="1">
                  <c:v>34</c:v>
                </c:pt>
                <c:pt idx="2">
                  <c:v>49</c:v>
                </c:pt>
                <c:pt idx="3">
                  <c:v>61</c:v>
                </c:pt>
                <c:pt idx="4">
                  <c:v>61</c:v>
                </c:pt>
                <c:pt idx="5">
                  <c:v>71</c:v>
                </c:pt>
                <c:pt idx="6">
                  <c:v>87</c:v>
                </c:pt>
                <c:pt idx="7">
                  <c:v>87</c:v>
                </c:pt>
                <c:pt idx="8">
                  <c:v>87</c:v>
                </c:pt>
                <c:pt idx="9">
                  <c:v>91</c:v>
                </c:pt>
                <c:pt idx="10">
                  <c:v>120</c:v>
                </c:pt>
                <c:pt idx="11">
                  <c:v>138</c:v>
                </c:pt>
                <c:pt idx="12">
                  <c:v>150</c:v>
                </c:pt>
                <c:pt idx="13">
                  <c:v>167</c:v>
                </c:pt>
                <c:pt idx="14">
                  <c:v>167</c:v>
                </c:pt>
                <c:pt idx="15">
                  <c:v>179</c:v>
                </c:pt>
                <c:pt idx="16">
                  <c:v>191</c:v>
                </c:pt>
                <c:pt idx="17">
                  <c:v>215</c:v>
                </c:pt>
                <c:pt idx="18">
                  <c:v>215</c:v>
                </c:pt>
                <c:pt idx="19">
                  <c:v>215</c:v>
                </c:pt>
                <c:pt idx="20">
                  <c:v>215</c:v>
                </c:pt>
                <c:pt idx="21">
                  <c:v>215</c:v>
                </c:pt>
                <c:pt idx="22">
                  <c:v>215</c:v>
                </c:pt>
                <c:pt idx="23">
                  <c:v>215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EBC-48E2-A0C1-43174839A2EC}"/>
            </c:ext>
          </c:extLst>
        </c:ser>
        <c:ser>
          <c:idx val="5"/>
          <c:order val="5"/>
          <c:tx>
            <c:strRef>
              <c:f>'Dummy Chart'!$B$7</c:f>
              <c:strCache>
                <c:ptCount val="1"/>
                <c:pt idx="0">
                  <c:v>Lando Norris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'Dummy Chart'!$C$1:$Z$1</c:f>
              <c:strCache>
                <c:ptCount val="24"/>
                <c:pt idx="0">
                  <c:v>AUS</c:v>
                </c:pt>
                <c:pt idx="1">
                  <c:v>CHI</c:v>
                </c:pt>
                <c:pt idx="2">
                  <c:v>JAP</c:v>
                </c:pt>
                <c:pt idx="3">
                  <c:v>BAH</c:v>
                </c:pt>
                <c:pt idx="4">
                  <c:v>SAU</c:v>
                </c:pt>
                <c:pt idx="5">
                  <c:v>MIA</c:v>
                </c:pt>
                <c:pt idx="6">
                  <c:v>CAN</c:v>
                </c:pt>
                <c:pt idx="7">
                  <c:v>MON</c:v>
                </c:pt>
                <c:pt idx="8">
                  <c:v>ESP</c:v>
                </c:pt>
                <c:pt idx="9">
                  <c:v>AUT</c:v>
                </c:pt>
                <c:pt idx="10">
                  <c:v>ING</c:v>
                </c:pt>
                <c:pt idx="11">
                  <c:v>BEL</c:v>
                </c:pt>
                <c:pt idx="12">
                  <c:v>HUN</c:v>
                </c:pt>
                <c:pt idx="13">
                  <c:v>HOL</c:v>
                </c:pt>
                <c:pt idx="14">
                  <c:v>MAD</c:v>
                </c:pt>
                <c:pt idx="15">
                  <c:v>ITA</c:v>
                </c:pt>
                <c:pt idx="16">
                  <c:v>AZE</c:v>
                </c:pt>
                <c:pt idx="17">
                  <c:v>SIN</c:v>
                </c:pt>
                <c:pt idx="18">
                  <c:v>USA</c:v>
                </c:pt>
                <c:pt idx="19">
                  <c:v>MEX</c:v>
                </c:pt>
                <c:pt idx="20">
                  <c:v>SÃO</c:v>
                </c:pt>
                <c:pt idx="21">
                  <c:v>VEG</c:v>
                </c:pt>
                <c:pt idx="22">
                  <c:v>QAT</c:v>
                </c:pt>
                <c:pt idx="23">
                  <c:v>ABU</c:v>
                </c:pt>
              </c:strCache>
            </c:strRef>
          </c:cat>
          <c:val>
            <c:numRef>
              <c:f>'Dummy Chart'!$C$7:$Z$7</c:f>
              <c:numCache>
                <c:formatCode>General</c:formatCode>
                <c:ptCount val="24"/>
                <c:pt idx="0">
                  <c:v>10</c:v>
                </c:pt>
                <c:pt idx="1">
                  <c:v>15</c:v>
                </c:pt>
                <c:pt idx="2">
                  <c:v>25</c:v>
                </c:pt>
                <c:pt idx="3">
                  <c:v>27</c:v>
                </c:pt>
                <c:pt idx="4">
                  <c:v>27</c:v>
                </c:pt>
                <c:pt idx="5">
                  <c:v>53</c:v>
                </c:pt>
                <c:pt idx="6">
                  <c:v>60</c:v>
                </c:pt>
                <c:pt idx="7">
                  <c:v>60</c:v>
                </c:pt>
                <c:pt idx="8">
                  <c:v>75</c:v>
                </c:pt>
                <c:pt idx="9">
                  <c:v>81</c:v>
                </c:pt>
                <c:pt idx="10">
                  <c:v>99</c:v>
                </c:pt>
                <c:pt idx="11">
                  <c:v>105</c:v>
                </c:pt>
                <c:pt idx="12">
                  <c:v>130</c:v>
                </c:pt>
                <c:pt idx="13">
                  <c:v>161</c:v>
                </c:pt>
                <c:pt idx="14">
                  <c:v>173</c:v>
                </c:pt>
                <c:pt idx="15">
                  <c:v>188</c:v>
                </c:pt>
                <c:pt idx="16">
                  <c:v>188</c:v>
                </c:pt>
                <c:pt idx="17">
                  <c:v>201</c:v>
                </c:pt>
                <c:pt idx="18">
                  <c:v>201</c:v>
                </c:pt>
                <c:pt idx="19">
                  <c:v>201</c:v>
                </c:pt>
                <c:pt idx="20">
                  <c:v>201</c:v>
                </c:pt>
                <c:pt idx="21">
                  <c:v>201</c:v>
                </c:pt>
                <c:pt idx="22">
                  <c:v>201</c:v>
                </c:pt>
                <c:pt idx="23">
                  <c:v>201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EBC-48E2-A0C1-43174839A2EC}"/>
            </c:ext>
          </c:extLst>
        </c:ser>
        <c:ser>
          <c:idx val="6"/>
          <c:order val="6"/>
          <c:tx>
            <c:strRef>
              <c:f>'Dummy Chart'!$B$8</c:f>
              <c:strCache>
                <c:ptCount val="1"/>
                <c:pt idx="0">
                  <c:v>Oscar Piastri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'Dummy Chart'!$C$1:$Z$1</c:f>
              <c:strCache>
                <c:ptCount val="24"/>
                <c:pt idx="0">
                  <c:v>AUS</c:v>
                </c:pt>
                <c:pt idx="1">
                  <c:v>CHI</c:v>
                </c:pt>
                <c:pt idx="2">
                  <c:v>JAP</c:v>
                </c:pt>
                <c:pt idx="3">
                  <c:v>BAH</c:v>
                </c:pt>
                <c:pt idx="4">
                  <c:v>SAU</c:v>
                </c:pt>
                <c:pt idx="5">
                  <c:v>MIA</c:v>
                </c:pt>
                <c:pt idx="6">
                  <c:v>CAN</c:v>
                </c:pt>
                <c:pt idx="7">
                  <c:v>MON</c:v>
                </c:pt>
                <c:pt idx="8">
                  <c:v>ESP</c:v>
                </c:pt>
                <c:pt idx="9">
                  <c:v>AUT</c:v>
                </c:pt>
                <c:pt idx="10">
                  <c:v>ING</c:v>
                </c:pt>
                <c:pt idx="11">
                  <c:v>BEL</c:v>
                </c:pt>
                <c:pt idx="12">
                  <c:v>HUN</c:v>
                </c:pt>
                <c:pt idx="13">
                  <c:v>HOL</c:v>
                </c:pt>
                <c:pt idx="14">
                  <c:v>MAD</c:v>
                </c:pt>
                <c:pt idx="15">
                  <c:v>ITA</c:v>
                </c:pt>
                <c:pt idx="16">
                  <c:v>AZE</c:v>
                </c:pt>
                <c:pt idx="17">
                  <c:v>SIN</c:v>
                </c:pt>
                <c:pt idx="18">
                  <c:v>USA</c:v>
                </c:pt>
                <c:pt idx="19">
                  <c:v>MEX</c:v>
                </c:pt>
                <c:pt idx="20">
                  <c:v>SÃO</c:v>
                </c:pt>
                <c:pt idx="21">
                  <c:v>VEG</c:v>
                </c:pt>
                <c:pt idx="22">
                  <c:v>QAT</c:v>
                </c:pt>
                <c:pt idx="23">
                  <c:v>ABU</c:v>
                </c:pt>
              </c:strCache>
            </c:strRef>
          </c:cat>
          <c:val>
            <c:numRef>
              <c:f>'Dummy Chart'!$C$8:$Z$8</c:f>
              <c:numCache>
                <c:formatCode>General</c:formatCode>
                <c:ptCount val="24"/>
                <c:pt idx="0">
                  <c:v>0</c:v>
                </c:pt>
                <c:pt idx="1">
                  <c:v>3</c:v>
                </c:pt>
                <c:pt idx="2">
                  <c:v>21</c:v>
                </c:pt>
                <c:pt idx="3">
                  <c:v>29</c:v>
                </c:pt>
                <c:pt idx="4">
                  <c:v>29</c:v>
                </c:pt>
                <c:pt idx="5">
                  <c:v>51</c:v>
                </c:pt>
                <c:pt idx="6">
                  <c:v>56</c:v>
                </c:pt>
                <c:pt idx="7">
                  <c:v>68</c:v>
                </c:pt>
                <c:pt idx="8">
                  <c:v>78</c:v>
                </c:pt>
                <c:pt idx="9">
                  <c:v>90</c:v>
                </c:pt>
                <c:pt idx="10">
                  <c:v>92</c:v>
                </c:pt>
                <c:pt idx="11">
                  <c:v>102</c:v>
                </c:pt>
                <c:pt idx="12">
                  <c:v>102</c:v>
                </c:pt>
                <c:pt idx="13">
                  <c:v>114</c:v>
                </c:pt>
                <c:pt idx="14">
                  <c:v>124</c:v>
                </c:pt>
                <c:pt idx="15">
                  <c:v>128</c:v>
                </c:pt>
                <c:pt idx="16">
                  <c:v>128</c:v>
                </c:pt>
                <c:pt idx="17">
                  <c:v>138</c:v>
                </c:pt>
                <c:pt idx="18">
                  <c:v>138</c:v>
                </c:pt>
                <c:pt idx="19">
                  <c:v>138</c:v>
                </c:pt>
                <c:pt idx="20">
                  <c:v>138</c:v>
                </c:pt>
                <c:pt idx="21">
                  <c:v>138</c:v>
                </c:pt>
                <c:pt idx="22">
                  <c:v>138</c:v>
                </c:pt>
                <c:pt idx="23">
                  <c:v>138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EBC-48E2-A0C1-43174839A2EC}"/>
            </c:ext>
          </c:extLst>
        </c:ser>
        <c:ser>
          <c:idx val="7"/>
          <c:order val="7"/>
          <c:tx>
            <c:strRef>
              <c:f>'Dummy Chart'!$B$9</c:f>
              <c:strCache>
                <c:ptCount val="1"/>
                <c:pt idx="0">
                  <c:v>Isack Hadjar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'Dummy Chart'!$C$1:$Z$1</c:f>
              <c:strCache>
                <c:ptCount val="24"/>
                <c:pt idx="0">
                  <c:v>AUS</c:v>
                </c:pt>
                <c:pt idx="1">
                  <c:v>CHI</c:v>
                </c:pt>
                <c:pt idx="2">
                  <c:v>JAP</c:v>
                </c:pt>
                <c:pt idx="3">
                  <c:v>BAH</c:v>
                </c:pt>
                <c:pt idx="4">
                  <c:v>SAU</c:v>
                </c:pt>
                <c:pt idx="5">
                  <c:v>MIA</c:v>
                </c:pt>
                <c:pt idx="6">
                  <c:v>CAN</c:v>
                </c:pt>
                <c:pt idx="7">
                  <c:v>MON</c:v>
                </c:pt>
                <c:pt idx="8">
                  <c:v>ESP</c:v>
                </c:pt>
                <c:pt idx="9">
                  <c:v>AUT</c:v>
                </c:pt>
                <c:pt idx="10">
                  <c:v>ING</c:v>
                </c:pt>
                <c:pt idx="11">
                  <c:v>BEL</c:v>
                </c:pt>
                <c:pt idx="12">
                  <c:v>HUN</c:v>
                </c:pt>
                <c:pt idx="13">
                  <c:v>HOL</c:v>
                </c:pt>
                <c:pt idx="14">
                  <c:v>MAD</c:v>
                </c:pt>
                <c:pt idx="15">
                  <c:v>ITA</c:v>
                </c:pt>
                <c:pt idx="16">
                  <c:v>AZE</c:v>
                </c:pt>
                <c:pt idx="17">
                  <c:v>SIN</c:v>
                </c:pt>
                <c:pt idx="18">
                  <c:v>USA</c:v>
                </c:pt>
                <c:pt idx="19">
                  <c:v>MEX</c:v>
                </c:pt>
                <c:pt idx="20">
                  <c:v>SÃO</c:v>
                </c:pt>
                <c:pt idx="21">
                  <c:v>VEG</c:v>
                </c:pt>
                <c:pt idx="22">
                  <c:v>QAT</c:v>
                </c:pt>
                <c:pt idx="23">
                  <c:v>ABU</c:v>
                </c:pt>
              </c:strCache>
            </c:strRef>
          </c:cat>
          <c:val>
            <c:numRef>
              <c:f>'Dummy Chart'!$C$9:$Z$9</c:f>
              <c:numCache>
                <c:formatCode>General</c:formatCode>
                <c:ptCount val="24"/>
                <c:pt idx="0">
                  <c:v>0</c:v>
                </c:pt>
                <c:pt idx="1">
                  <c:v>4</c:v>
                </c:pt>
                <c:pt idx="2">
                  <c:v>4</c:v>
                </c:pt>
                <c:pt idx="3">
                  <c:v>14</c:v>
                </c:pt>
                <c:pt idx="4">
                  <c:v>14</c:v>
                </c:pt>
                <c:pt idx="5">
                  <c:v>14</c:v>
                </c:pt>
                <c:pt idx="6">
                  <c:v>24</c:v>
                </c:pt>
                <c:pt idx="7">
                  <c:v>39</c:v>
                </c:pt>
                <c:pt idx="8">
                  <c:v>47</c:v>
                </c:pt>
                <c:pt idx="9">
                  <c:v>55</c:v>
                </c:pt>
                <c:pt idx="10">
                  <c:v>65</c:v>
                </c:pt>
                <c:pt idx="11">
                  <c:v>73</c:v>
                </c:pt>
                <c:pt idx="12">
                  <c:v>81</c:v>
                </c:pt>
                <c:pt idx="13">
                  <c:v>81</c:v>
                </c:pt>
                <c:pt idx="14">
                  <c:v>81</c:v>
                </c:pt>
                <c:pt idx="15">
                  <c:v>81</c:v>
                </c:pt>
                <c:pt idx="16">
                  <c:v>96</c:v>
                </c:pt>
                <c:pt idx="17">
                  <c:v>97</c:v>
                </c:pt>
                <c:pt idx="18">
                  <c:v>97</c:v>
                </c:pt>
                <c:pt idx="19">
                  <c:v>97</c:v>
                </c:pt>
                <c:pt idx="20">
                  <c:v>97</c:v>
                </c:pt>
                <c:pt idx="21">
                  <c:v>97</c:v>
                </c:pt>
                <c:pt idx="22">
                  <c:v>97</c:v>
                </c:pt>
                <c:pt idx="23">
                  <c:v>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EBC-48E2-A0C1-43174839A2EC}"/>
            </c:ext>
          </c:extLst>
        </c:ser>
        <c:ser>
          <c:idx val="8"/>
          <c:order val="8"/>
          <c:tx>
            <c:strRef>
              <c:f>'Dummy Chart'!$B$10</c:f>
              <c:strCache>
                <c:ptCount val="1"/>
                <c:pt idx="0">
                  <c:v>Liam Lawson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'Dummy Chart'!$C$1:$Z$1</c:f>
              <c:strCache>
                <c:ptCount val="24"/>
                <c:pt idx="0">
                  <c:v>AUS</c:v>
                </c:pt>
                <c:pt idx="1">
                  <c:v>CHI</c:v>
                </c:pt>
                <c:pt idx="2">
                  <c:v>JAP</c:v>
                </c:pt>
                <c:pt idx="3">
                  <c:v>BAH</c:v>
                </c:pt>
                <c:pt idx="4">
                  <c:v>SAU</c:v>
                </c:pt>
                <c:pt idx="5">
                  <c:v>MIA</c:v>
                </c:pt>
                <c:pt idx="6">
                  <c:v>CAN</c:v>
                </c:pt>
                <c:pt idx="7">
                  <c:v>MON</c:v>
                </c:pt>
                <c:pt idx="8">
                  <c:v>ESP</c:v>
                </c:pt>
                <c:pt idx="9">
                  <c:v>AUT</c:v>
                </c:pt>
                <c:pt idx="10">
                  <c:v>ING</c:v>
                </c:pt>
                <c:pt idx="11">
                  <c:v>BEL</c:v>
                </c:pt>
                <c:pt idx="12">
                  <c:v>HUN</c:v>
                </c:pt>
                <c:pt idx="13">
                  <c:v>HOL</c:v>
                </c:pt>
                <c:pt idx="14">
                  <c:v>MAD</c:v>
                </c:pt>
                <c:pt idx="15">
                  <c:v>ITA</c:v>
                </c:pt>
                <c:pt idx="16">
                  <c:v>AZE</c:v>
                </c:pt>
                <c:pt idx="17">
                  <c:v>SIN</c:v>
                </c:pt>
                <c:pt idx="18">
                  <c:v>USA</c:v>
                </c:pt>
                <c:pt idx="19">
                  <c:v>MEX</c:v>
                </c:pt>
                <c:pt idx="20">
                  <c:v>SÃO</c:v>
                </c:pt>
                <c:pt idx="21">
                  <c:v>VEG</c:v>
                </c:pt>
                <c:pt idx="22">
                  <c:v>QAT</c:v>
                </c:pt>
                <c:pt idx="23">
                  <c:v>ABU</c:v>
                </c:pt>
              </c:strCache>
            </c:strRef>
          </c:cat>
          <c:val>
            <c:numRef>
              <c:f>'Dummy Chart'!$C$10:$Z$10</c:f>
              <c:numCache>
                <c:formatCode>General</c:formatCode>
                <c:ptCount val="24"/>
                <c:pt idx="0">
                  <c:v>0</c:v>
                </c:pt>
                <c:pt idx="1">
                  <c:v>8</c:v>
                </c:pt>
                <c:pt idx="2">
                  <c:v>10</c:v>
                </c:pt>
                <c:pt idx="3">
                  <c:v>16</c:v>
                </c:pt>
                <c:pt idx="4">
                  <c:v>16</c:v>
                </c:pt>
                <c:pt idx="5">
                  <c:v>16</c:v>
                </c:pt>
                <c:pt idx="6">
                  <c:v>22</c:v>
                </c:pt>
                <c:pt idx="7">
                  <c:v>32</c:v>
                </c:pt>
                <c:pt idx="8">
                  <c:v>36</c:v>
                </c:pt>
                <c:pt idx="9">
                  <c:v>38</c:v>
                </c:pt>
                <c:pt idx="10">
                  <c:v>47</c:v>
                </c:pt>
                <c:pt idx="11">
                  <c:v>47</c:v>
                </c:pt>
                <c:pt idx="12">
                  <c:v>51</c:v>
                </c:pt>
                <c:pt idx="13">
                  <c:v>57</c:v>
                </c:pt>
                <c:pt idx="14">
                  <c:v>57</c:v>
                </c:pt>
                <c:pt idx="15">
                  <c:v>65</c:v>
                </c:pt>
                <c:pt idx="16">
                  <c:v>65</c:v>
                </c:pt>
                <c:pt idx="17">
                  <c:v>75</c:v>
                </c:pt>
                <c:pt idx="18">
                  <c:v>75</c:v>
                </c:pt>
                <c:pt idx="19">
                  <c:v>75</c:v>
                </c:pt>
                <c:pt idx="20">
                  <c:v>75</c:v>
                </c:pt>
                <c:pt idx="21">
                  <c:v>75</c:v>
                </c:pt>
                <c:pt idx="22">
                  <c:v>75</c:v>
                </c:pt>
                <c:pt idx="23">
                  <c:v>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EBC-48E2-A0C1-43174839A2EC}"/>
            </c:ext>
          </c:extLst>
        </c:ser>
        <c:ser>
          <c:idx val="9"/>
          <c:order val="9"/>
          <c:tx>
            <c:strRef>
              <c:f>'Dummy Chart'!$B$11</c:f>
              <c:strCache>
                <c:ptCount val="1"/>
                <c:pt idx="0">
                  <c:v>Pierre Gasly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'Dummy Chart'!$C$1:$Z$1</c:f>
              <c:strCache>
                <c:ptCount val="24"/>
                <c:pt idx="0">
                  <c:v>AUS</c:v>
                </c:pt>
                <c:pt idx="1">
                  <c:v>CHI</c:v>
                </c:pt>
                <c:pt idx="2">
                  <c:v>JAP</c:v>
                </c:pt>
                <c:pt idx="3">
                  <c:v>BAH</c:v>
                </c:pt>
                <c:pt idx="4">
                  <c:v>SAU</c:v>
                </c:pt>
                <c:pt idx="5">
                  <c:v>MIA</c:v>
                </c:pt>
                <c:pt idx="6">
                  <c:v>CAN</c:v>
                </c:pt>
                <c:pt idx="7">
                  <c:v>MON</c:v>
                </c:pt>
                <c:pt idx="8">
                  <c:v>ESP</c:v>
                </c:pt>
                <c:pt idx="9">
                  <c:v>AUT</c:v>
                </c:pt>
                <c:pt idx="10">
                  <c:v>ING</c:v>
                </c:pt>
                <c:pt idx="11">
                  <c:v>BEL</c:v>
                </c:pt>
                <c:pt idx="12">
                  <c:v>HUN</c:v>
                </c:pt>
                <c:pt idx="13">
                  <c:v>HOL</c:v>
                </c:pt>
                <c:pt idx="14">
                  <c:v>MAD</c:v>
                </c:pt>
                <c:pt idx="15">
                  <c:v>ITA</c:v>
                </c:pt>
                <c:pt idx="16">
                  <c:v>AZE</c:v>
                </c:pt>
                <c:pt idx="17">
                  <c:v>SIN</c:v>
                </c:pt>
                <c:pt idx="18">
                  <c:v>USA</c:v>
                </c:pt>
                <c:pt idx="19">
                  <c:v>MEX</c:v>
                </c:pt>
                <c:pt idx="20">
                  <c:v>SÃO</c:v>
                </c:pt>
                <c:pt idx="21">
                  <c:v>VEG</c:v>
                </c:pt>
                <c:pt idx="22">
                  <c:v>QAT</c:v>
                </c:pt>
                <c:pt idx="23">
                  <c:v>ABU</c:v>
                </c:pt>
              </c:strCache>
            </c:strRef>
          </c:cat>
          <c:val>
            <c:numRef>
              <c:f>'Dummy Chart'!$C$11:$Z$11</c:f>
              <c:numCache>
                <c:formatCode>General</c:formatCode>
                <c:ptCount val="24"/>
                <c:pt idx="0">
                  <c:v>1</c:v>
                </c:pt>
                <c:pt idx="1">
                  <c:v>9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16</c:v>
                </c:pt>
                <c:pt idx="6">
                  <c:v>20</c:v>
                </c:pt>
                <c:pt idx="7">
                  <c:v>26</c:v>
                </c:pt>
                <c:pt idx="8">
                  <c:v>32</c:v>
                </c:pt>
                <c:pt idx="9">
                  <c:v>32</c:v>
                </c:pt>
                <c:pt idx="10">
                  <c:v>33</c:v>
                </c:pt>
                <c:pt idx="11">
                  <c:v>33</c:v>
                </c:pt>
                <c:pt idx="12">
                  <c:v>33</c:v>
                </c:pt>
                <c:pt idx="13">
                  <c:v>35</c:v>
                </c:pt>
                <c:pt idx="14">
                  <c:v>41</c:v>
                </c:pt>
                <c:pt idx="15">
                  <c:v>41</c:v>
                </c:pt>
                <c:pt idx="16">
                  <c:v>41</c:v>
                </c:pt>
                <c:pt idx="17">
                  <c:v>41</c:v>
                </c:pt>
                <c:pt idx="18">
                  <c:v>41</c:v>
                </c:pt>
                <c:pt idx="19">
                  <c:v>41</c:v>
                </c:pt>
                <c:pt idx="20">
                  <c:v>41</c:v>
                </c:pt>
                <c:pt idx="21">
                  <c:v>41</c:v>
                </c:pt>
                <c:pt idx="22">
                  <c:v>41</c:v>
                </c:pt>
                <c:pt idx="23">
                  <c:v>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BEBC-48E2-A0C1-43174839A2EC}"/>
            </c:ext>
          </c:extLst>
        </c:ser>
        <c:ser>
          <c:idx val="10"/>
          <c:order val="10"/>
          <c:tx>
            <c:strRef>
              <c:f>'Dummy Chart'!$B$12</c:f>
              <c:strCache>
                <c:ptCount val="1"/>
                <c:pt idx="0">
                  <c:v>Arvid Lindblad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'Dummy Chart'!$C$1:$Z$1</c:f>
              <c:strCache>
                <c:ptCount val="24"/>
                <c:pt idx="0">
                  <c:v>AUS</c:v>
                </c:pt>
                <c:pt idx="1">
                  <c:v>CHI</c:v>
                </c:pt>
                <c:pt idx="2">
                  <c:v>JAP</c:v>
                </c:pt>
                <c:pt idx="3">
                  <c:v>BAH</c:v>
                </c:pt>
                <c:pt idx="4">
                  <c:v>SAU</c:v>
                </c:pt>
                <c:pt idx="5">
                  <c:v>MIA</c:v>
                </c:pt>
                <c:pt idx="6">
                  <c:v>CAN</c:v>
                </c:pt>
                <c:pt idx="7">
                  <c:v>MON</c:v>
                </c:pt>
                <c:pt idx="8">
                  <c:v>ESP</c:v>
                </c:pt>
                <c:pt idx="9">
                  <c:v>AUT</c:v>
                </c:pt>
                <c:pt idx="10">
                  <c:v>ING</c:v>
                </c:pt>
                <c:pt idx="11">
                  <c:v>BEL</c:v>
                </c:pt>
                <c:pt idx="12">
                  <c:v>HUN</c:v>
                </c:pt>
                <c:pt idx="13">
                  <c:v>HOL</c:v>
                </c:pt>
                <c:pt idx="14">
                  <c:v>MAD</c:v>
                </c:pt>
                <c:pt idx="15">
                  <c:v>ITA</c:v>
                </c:pt>
                <c:pt idx="16">
                  <c:v>AZE</c:v>
                </c:pt>
                <c:pt idx="17">
                  <c:v>SIN</c:v>
                </c:pt>
                <c:pt idx="18">
                  <c:v>USA</c:v>
                </c:pt>
                <c:pt idx="19">
                  <c:v>MEX</c:v>
                </c:pt>
                <c:pt idx="20">
                  <c:v>SÃO</c:v>
                </c:pt>
                <c:pt idx="21">
                  <c:v>VEG</c:v>
                </c:pt>
                <c:pt idx="22">
                  <c:v>QAT</c:v>
                </c:pt>
                <c:pt idx="23">
                  <c:v>ABU</c:v>
                </c:pt>
              </c:strCache>
            </c:strRef>
          </c:cat>
          <c:val>
            <c:numRef>
              <c:f>'Dummy Chart'!$C$12:$Z$12</c:f>
              <c:numCache>
                <c:formatCode>General</c:formatCode>
                <c:ptCount val="24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6</c:v>
                </c:pt>
                <c:pt idx="7">
                  <c:v>14</c:v>
                </c:pt>
                <c:pt idx="8">
                  <c:v>16</c:v>
                </c:pt>
                <c:pt idx="9">
                  <c:v>17</c:v>
                </c:pt>
                <c:pt idx="10">
                  <c:v>23</c:v>
                </c:pt>
                <c:pt idx="11">
                  <c:v>25</c:v>
                </c:pt>
                <c:pt idx="12">
                  <c:v>26</c:v>
                </c:pt>
                <c:pt idx="13">
                  <c:v>26</c:v>
                </c:pt>
                <c:pt idx="14">
                  <c:v>30</c:v>
                </c:pt>
                <c:pt idx="15">
                  <c:v>32</c:v>
                </c:pt>
                <c:pt idx="16">
                  <c:v>38</c:v>
                </c:pt>
                <c:pt idx="17">
                  <c:v>38</c:v>
                </c:pt>
                <c:pt idx="18">
                  <c:v>38</c:v>
                </c:pt>
                <c:pt idx="19">
                  <c:v>38</c:v>
                </c:pt>
                <c:pt idx="20">
                  <c:v>38</c:v>
                </c:pt>
                <c:pt idx="21">
                  <c:v>38</c:v>
                </c:pt>
                <c:pt idx="22">
                  <c:v>38</c:v>
                </c:pt>
                <c:pt idx="23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EBC-48E2-A0C1-43174839A2EC}"/>
            </c:ext>
          </c:extLst>
        </c:ser>
        <c:ser>
          <c:idx val="11"/>
          <c:order val="11"/>
          <c:tx>
            <c:strRef>
              <c:f>'Dummy Chart'!$B$13</c:f>
              <c:strCache>
                <c:ptCount val="1"/>
                <c:pt idx="0">
                  <c:v>Franco Colapinto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'Dummy Chart'!$C$1:$Z$1</c:f>
              <c:strCache>
                <c:ptCount val="24"/>
                <c:pt idx="0">
                  <c:v>AUS</c:v>
                </c:pt>
                <c:pt idx="1">
                  <c:v>CHI</c:v>
                </c:pt>
                <c:pt idx="2">
                  <c:v>JAP</c:v>
                </c:pt>
                <c:pt idx="3">
                  <c:v>BAH</c:v>
                </c:pt>
                <c:pt idx="4">
                  <c:v>SAU</c:v>
                </c:pt>
                <c:pt idx="5">
                  <c:v>MIA</c:v>
                </c:pt>
                <c:pt idx="6">
                  <c:v>CAN</c:v>
                </c:pt>
                <c:pt idx="7">
                  <c:v>MON</c:v>
                </c:pt>
                <c:pt idx="8">
                  <c:v>ESP</c:v>
                </c:pt>
                <c:pt idx="9">
                  <c:v>AUT</c:v>
                </c:pt>
                <c:pt idx="10">
                  <c:v>ING</c:v>
                </c:pt>
                <c:pt idx="11">
                  <c:v>BEL</c:v>
                </c:pt>
                <c:pt idx="12">
                  <c:v>HUN</c:v>
                </c:pt>
                <c:pt idx="13">
                  <c:v>HOL</c:v>
                </c:pt>
                <c:pt idx="14">
                  <c:v>MAD</c:v>
                </c:pt>
                <c:pt idx="15">
                  <c:v>ITA</c:v>
                </c:pt>
                <c:pt idx="16">
                  <c:v>AZE</c:v>
                </c:pt>
                <c:pt idx="17">
                  <c:v>SIN</c:v>
                </c:pt>
                <c:pt idx="18">
                  <c:v>USA</c:v>
                </c:pt>
                <c:pt idx="19">
                  <c:v>MEX</c:v>
                </c:pt>
                <c:pt idx="20">
                  <c:v>SÃO</c:v>
                </c:pt>
                <c:pt idx="21">
                  <c:v>VEG</c:v>
                </c:pt>
                <c:pt idx="22">
                  <c:v>QAT</c:v>
                </c:pt>
                <c:pt idx="23">
                  <c:v>ABU</c:v>
                </c:pt>
              </c:strCache>
            </c:strRef>
          </c:cat>
          <c:val>
            <c:numRef>
              <c:f>'Dummy Chart'!$C$13:$Z$13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7</c:v>
                </c:pt>
                <c:pt idx="6">
                  <c:v>15</c:v>
                </c:pt>
                <c:pt idx="7">
                  <c:v>15</c:v>
                </c:pt>
                <c:pt idx="8">
                  <c:v>16</c:v>
                </c:pt>
                <c:pt idx="9">
                  <c:v>16</c:v>
                </c:pt>
                <c:pt idx="10">
                  <c:v>18</c:v>
                </c:pt>
                <c:pt idx="11">
                  <c:v>19</c:v>
                </c:pt>
                <c:pt idx="12">
                  <c:v>19</c:v>
                </c:pt>
                <c:pt idx="13">
                  <c:v>19</c:v>
                </c:pt>
                <c:pt idx="14">
                  <c:v>21</c:v>
                </c:pt>
                <c:pt idx="15">
                  <c:v>27</c:v>
                </c:pt>
                <c:pt idx="16">
                  <c:v>27</c:v>
                </c:pt>
                <c:pt idx="17">
                  <c:v>27</c:v>
                </c:pt>
                <c:pt idx="18">
                  <c:v>27</c:v>
                </c:pt>
                <c:pt idx="19">
                  <c:v>27</c:v>
                </c:pt>
                <c:pt idx="20">
                  <c:v>27</c:v>
                </c:pt>
                <c:pt idx="21">
                  <c:v>27</c:v>
                </c:pt>
                <c:pt idx="22">
                  <c:v>27</c:v>
                </c:pt>
                <c:pt idx="23">
                  <c:v>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BEBC-48E2-A0C1-43174839A2EC}"/>
            </c:ext>
          </c:extLst>
        </c:ser>
        <c:ser>
          <c:idx val="12"/>
          <c:order val="12"/>
          <c:tx>
            <c:strRef>
              <c:f>'Dummy Chart'!$B$14</c:f>
              <c:strCache>
                <c:ptCount val="1"/>
                <c:pt idx="0">
                  <c:v>Oliver Bearman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'Dummy Chart'!$C$1:$Z$1</c:f>
              <c:strCache>
                <c:ptCount val="24"/>
                <c:pt idx="0">
                  <c:v>AUS</c:v>
                </c:pt>
                <c:pt idx="1">
                  <c:v>CHI</c:v>
                </c:pt>
                <c:pt idx="2">
                  <c:v>JAP</c:v>
                </c:pt>
                <c:pt idx="3">
                  <c:v>BAH</c:v>
                </c:pt>
                <c:pt idx="4">
                  <c:v>SAU</c:v>
                </c:pt>
                <c:pt idx="5">
                  <c:v>MIA</c:v>
                </c:pt>
                <c:pt idx="6">
                  <c:v>CAN</c:v>
                </c:pt>
                <c:pt idx="7">
                  <c:v>MON</c:v>
                </c:pt>
                <c:pt idx="8">
                  <c:v>ESP</c:v>
                </c:pt>
                <c:pt idx="9">
                  <c:v>AUT</c:v>
                </c:pt>
                <c:pt idx="10">
                  <c:v>ING</c:v>
                </c:pt>
                <c:pt idx="11">
                  <c:v>BEL</c:v>
                </c:pt>
                <c:pt idx="12">
                  <c:v>HUN</c:v>
                </c:pt>
                <c:pt idx="13">
                  <c:v>HOL</c:v>
                </c:pt>
                <c:pt idx="14">
                  <c:v>MAD</c:v>
                </c:pt>
                <c:pt idx="15">
                  <c:v>ITA</c:v>
                </c:pt>
                <c:pt idx="16">
                  <c:v>AZE</c:v>
                </c:pt>
                <c:pt idx="17">
                  <c:v>SIN</c:v>
                </c:pt>
                <c:pt idx="18">
                  <c:v>USA</c:v>
                </c:pt>
                <c:pt idx="19">
                  <c:v>MEX</c:v>
                </c:pt>
                <c:pt idx="20">
                  <c:v>SÃO</c:v>
                </c:pt>
                <c:pt idx="21">
                  <c:v>VEG</c:v>
                </c:pt>
                <c:pt idx="22">
                  <c:v>QAT</c:v>
                </c:pt>
                <c:pt idx="23">
                  <c:v>ABU</c:v>
                </c:pt>
              </c:strCache>
            </c:strRef>
          </c:cat>
          <c:val>
            <c:numRef>
              <c:f>'Dummy Chart'!$C$14:$Z$14</c:f>
              <c:numCache>
                <c:formatCode>General</c:formatCode>
                <c:ptCount val="24"/>
                <c:pt idx="0">
                  <c:v>6</c:v>
                </c:pt>
                <c:pt idx="1">
                  <c:v>17</c:v>
                </c:pt>
                <c:pt idx="2">
                  <c:v>17</c:v>
                </c:pt>
                <c:pt idx="3">
                  <c:v>17</c:v>
                </c:pt>
                <c:pt idx="4">
                  <c:v>17</c:v>
                </c:pt>
                <c:pt idx="5">
                  <c:v>17</c:v>
                </c:pt>
                <c:pt idx="6">
                  <c:v>18</c:v>
                </c:pt>
                <c:pt idx="7">
                  <c:v>18</c:v>
                </c:pt>
                <c:pt idx="8">
                  <c:v>18</c:v>
                </c:pt>
                <c:pt idx="9">
                  <c:v>18</c:v>
                </c:pt>
                <c:pt idx="10">
                  <c:v>18</c:v>
                </c:pt>
                <c:pt idx="11">
                  <c:v>18</c:v>
                </c:pt>
                <c:pt idx="12">
                  <c:v>18</c:v>
                </c:pt>
                <c:pt idx="13">
                  <c:v>18</c:v>
                </c:pt>
                <c:pt idx="14">
                  <c:v>18</c:v>
                </c:pt>
                <c:pt idx="15">
                  <c:v>18</c:v>
                </c:pt>
                <c:pt idx="16">
                  <c:v>20</c:v>
                </c:pt>
                <c:pt idx="17">
                  <c:v>23</c:v>
                </c:pt>
                <c:pt idx="18">
                  <c:v>23</c:v>
                </c:pt>
                <c:pt idx="19">
                  <c:v>23</c:v>
                </c:pt>
                <c:pt idx="20">
                  <c:v>23</c:v>
                </c:pt>
                <c:pt idx="21">
                  <c:v>23</c:v>
                </c:pt>
                <c:pt idx="22">
                  <c:v>23</c:v>
                </c:pt>
                <c:pt idx="23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BEBC-48E2-A0C1-43174839A2EC}"/>
            </c:ext>
          </c:extLst>
        </c:ser>
        <c:ser>
          <c:idx val="13"/>
          <c:order val="13"/>
          <c:tx>
            <c:strRef>
              <c:f>'Dummy Chart'!$B$15</c:f>
              <c:strCache>
                <c:ptCount val="1"/>
                <c:pt idx="0">
                  <c:v>Nico Hulkenberg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'Dummy Chart'!$C$1:$Z$1</c:f>
              <c:strCache>
                <c:ptCount val="24"/>
                <c:pt idx="0">
                  <c:v>AUS</c:v>
                </c:pt>
                <c:pt idx="1">
                  <c:v>CHI</c:v>
                </c:pt>
                <c:pt idx="2">
                  <c:v>JAP</c:v>
                </c:pt>
                <c:pt idx="3">
                  <c:v>BAH</c:v>
                </c:pt>
                <c:pt idx="4">
                  <c:v>SAU</c:v>
                </c:pt>
                <c:pt idx="5">
                  <c:v>MIA</c:v>
                </c:pt>
                <c:pt idx="6">
                  <c:v>CAN</c:v>
                </c:pt>
                <c:pt idx="7">
                  <c:v>MON</c:v>
                </c:pt>
                <c:pt idx="8">
                  <c:v>ESP</c:v>
                </c:pt>
                <c:pt idx="9">
                  <c:v>AUT</c:v>
                </c:pt>
                <c:pt idx="10">
                  <c:v>ING</c:v>
                </c:pt>
                <c:pt idx="11">
                  <c:v>BEL</c:v>
                </c:pt>
                <c:pt idx="12">
                  <c:v>HUN</c:v>
                </c:pt>
                <c:pt idx="13">
                  <c:v>HOL</c:v>
                </c:pt>
                <c:pt idx="14">
                  <c:v>MAD</c:v>
                </c:pt>
                <c:pt idx="15">
                  <c:v>ITA</c:v>
                </c:pt>
                <c:pt idx="16">
                  <c:v>AZE</c:v>
                </c:pt>
                <c:pt idx="17">
                  <c:v>SIN</c:v>
                </c:pt>
                <c:pt idx="18">
                  <c:v>USA</c:v>
                </c:pt>
                <c:pt idx="19">
                  <c:v>MEX</c:v>
                </c:pt>
                <c:pt idx="20">
                  <c:v>SÃO</c:v>
                </c:pt>
                <c:pt idx="21">
                  <c:v>VEG</c:v>
                </c:pt>
                <c:pt idx="22">
                  <c:v>QAT</c:v>
                </c:pt>
                <c:pt idx="23">
                  <c:v>ABU</c:v>
                </c:pt>
              </c:strCache>
            </c:strRef>
          </c:cat>
          <c:val>
            <c:numRef>
              <c:f>'Dummy Chart'!$C$15:$Z$15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</c:v>
                </c:pt>
                <c:pt idx="13">
                  <c:v>6</c:v>
                </c:pt>
                <c:pt idx="14">
                  <c:v>6</c:v>
                </c:pt>
                <c:pt idx="15">
                  <c:v>7</c:v>
                </c:pt>
                <c:pt idx="16">
                  <c:v>7</c:v>
                </c:pt>
                <c:pt idx="17">
                  <c:v>13</c:v>
                </c:pt>
                <c:pt idx="18">
                  <c:v>13</c:v>
                </c:pt>
                <c:pt idx="19">
                  <c:v>13</c:v>
                </c:pt>
                <c:pt idx="20">
                  <c:v>13</c:v>
                </c:pt>
                <c:pt idx="21">
                  <c:v>13</c:v>
                </c:pt>
                <c:pt idx="22">
                  <c:v>13</c:v>
                </c:pt>
                <c:pt idx="23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BEBC-48E2-A0C1-43174839A2EC}"/>
            </c:ext>
          </c:extLst>
        </c:ser>
        <c:ser>
          <c:idx val="14"/>
          <c:order val="14"/>
          <c:tx>
            <c:strRef>
              <c:f>'Dummy Chart'!$B$16</c:f>
              <c:strCache>
                <c:ptCount val="1"/>
                <c:pt idx="0">
                  <c:v>Gabriel Bortoleto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'Dummy Chart'!$C$1:$Z$1</c:f>
              <c:strCache>
                <c:ptCount val="24"/>
                <c:pt idx="0">
                  <c:v>AUS</c:v>
                </c:pt>
                <c:pt idx="1">
                  <c:v>CHI</c:v>
                </c:pt>
                <c:pt idx="2">
                  <c:v>JAP</c:v>
                </c:pt>
                <c:pt idx="3">
                  <c:v>BAH</c:v>
                </c:pt>
                <c:pt idx="4">
                  <c:v>SAU</c:v>
                </c:pt>
                <c:pt idx="5">
                  <c:v>MIA</c:v>
                </c:pt>
                <c:pt idx="6">
                  <c:v>CAN</c:v>
                </c:pt>
                <c:pt idx="7">
                  <c:v>MON</c:v>
                </c:pt>
                <c:pt idx="8">
                  <c:v>ESP</c:v>
                </c:pt>
                <c:pt idx="9">
                  <c:v>AUT</c:v>
                </c:pt>
                <c:pt idx="10">
                  <c:v>ING</c:v>
                </c:pt>
                <c:pt idx="11">
                  <c:v>BEL</c:v>
                </c:pt>
                <c:pt idx="12">
                  <c:v>HUN</c:v>
                </c:pt>
                <c:pt idx="13">
                  <c:v>HOL</c:v>
                </c:pt>
                <c:pt idx="14">
                  <c:v>MAD</c:v>
                </c:pt>
                <c:pt idx="15">
                  <c:v>ITA</c:v>
                </c:pt>
                <c:pt idx="16">
                  <c:v>AZE</c:v>
                </c:pt>
                <c:pt idx="17">
                  <c:v>SIN</c:v>
                </c:pt>
                <c:pt idx="18">
                  <c:v>USA</c:v>
                </c:pt>
                <c:pt idx="19">
                  <c:v>MEX</c:v>
                </c:pt>
                <c:pt idx="20">
                  <c:v>SÃO</c:v>
                </c:pt>
                <c:pt idx="21">
                  <c:v>VEG</c:v>
                </c:pt>
                <c:pt idx="22">
                  <c:v>QAT</c:v>
                </c:pt>
                <c:pt idx="23">
                  <c:v>ABU</c:v>
                </c:pt>
              </c:strCache>
            </c:strRef>
          </c:cat>
          <c:val>
            <c:numRef>
              <c:f>'Dummy Chart'!$C$16:$Z$16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6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10</c:v>
                </c:pt>
                <c:pt idx="19">
                  <c:v>10</c:v>
                </c:pt>
                <c:pt idx="20">
                  <c:v>10</c:v>
                </c:pt>
                <c:pt idx="21">
                  <c:v>10</c:v>
                </c:pt>
                <c:pt idx="22">
                  <c:v>10</c:v>
                </c:pt>
                <c:pt idx="23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BEBC-48E2-A0C1-43174839A2EC}"/>
            </c:ext>
          </c:extLst>
        </c:ser>
        <c:ser>
          <c:idx val="15"/>
          <c:order val="15"/>
          <c:tx>
            <c:strRef>
              <c:f>'Dummy Chart'!$B$17</c:f>
              <c:strCache>
                <c:ptCount val="1"/>
                <c:pt idx="0">
                  <c:v>Esteban Ocon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'Dummy Chart'!$C$1:$Z$1</c:f>
              <c:strCache>
                <c:ptCount val="24"/>
                <c:pt idx="0">
                  <c:v>AUS</c:v>
                </c:pt>
                <c:pt idx="1">
                  <c:v>CHI</c:v>
                </c:pt>
                <c:pt idx="2">
                  <c:v>JAP</c:v>
                </c:pt>
                <c:pt idx="3">
                  <c:v>BAH</c:v>
                </c:pt>
                <c:pt idx="4">
                  <c:v>SAU</c:v>
                </c:pt>
                <c:pt idx="5">
                  <c:v>MIA</c:v>
                </c:pt>
                <c:pt idx="6">
                  <c:v>CAN</c:v>
                </c:pt>
                <c:pt idx="7">
                  <c:v>MON</c:v>
                </c:pt>
                <c:pt idx="8">
                  <c:v>ESP</c:v>
                </c:pt>
                <c:pt idx="9">
                  <c:v>AUT</c:v>
                </c:pt>
                <c:pt idx="10">
                  <c:v>ING</c:v>
                </c:pt>
                <c:pt idx="11">
                  <c:v>BEL</c:v>
                </c:pt>
                <c:pt idx="12">
                  <c:v>HUN</c:v>
                </c:pt>
                <c:pt idx="13">
                  <c:v>HOL</c:v>
                </c:pt>
                <c:pt idx="14">
                  <c:v>MAD</c:v>
                </c:pt>
                <c:pt idx="15">
                  <c:v>ITA</c:v>
                </c:pt>
                <c:pt idx="16">
                  <c:v>AZE</c:v>
                </c:pt>
                <c:pt idx="17">
                  <c:v>SIN</c:v>
                </c:pt>
                <c:pt idx="18">
                  <c:v>USA</c:v>
                </c:pt>
                <c:pt idx="19">
                  <c:v>MEX</c:v>
                </c:pt>
                <c:pt idx="20">
                  <c:v>SÃO</c:v>
                </c:pt>
                <c:pt idx="21">
                  <c:v>VEG</c:v>
                </c:pt>
                <c:pt idx="22">
                  <c:v>QAT</c:v>
                </c:pt>
                <c:pt idx="23">
                  <c:v>ABU</c:v>
                </c:pt>
              </c:strCache>
            </c:strRef>
          </c:cat>
          <c:val>
            <c:numRef>
              <c:f>'Dummy Chart'!$C$17:$Z$17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7</c:v>
                </c:pt>
                <c:pt idx="17">
                  <c:v>7</c:v>
                </c:pt>
                <c:pt idx="18">
                  <c:v>7</c:v>
                </c:pt>
                <c:pt idx="19">
                  <c:v>7</c:v>
                </c:pt>
                <c:pt idx="20">
                  <c:v>7</c:v>
                </c:pt>
                <c:pt idx="21">
                  <c:v>7</c:v>
                </c:pt>
                <c:pt idx="22">
                  <c:v>7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BEBC-48E2-A0C1-43174839A2EC}"/>
            </c:ext>
          </c:extLst>
        </c:ser>
        <c:ser>
          <c:idx val="16"/>
          <c:order val="16"/>
          <c:tx>
            <c:strRef>
              <c:f>'Dummy Chart'!$B$18</c:f>
              <c:strCache>
                <c:ptCount val="1"/>
                <c:pt idx="0">
                  <c:v>Fernando Alonso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'Dummy Chart'!$C$1:$Z$1</c:f>
              <c:strCache>
                <c:ptCount val="24"/>
                <c:pt idx="0">
                  <c:v>AUS</c:v>
                </c:pt>
                <c:pt idx="1">
                  <c:v>CHI</c:v>
                </c:pt>
                <c:pt idx="2">
                  <c:v>JAP</c:v>
                </c:pt>
                <c:pt idx="3">
                  <c:v>BAH</c:v>
                </c:pt>
                <c:pt idx="4">
                  <c:v>SAU</c:v>
                </c:pt>
                <c:pt idx="5">
                  <c:v>MIA</c:v>
                </c:pt>
                <c:pt idx="6">
                  <c:v>CAN</c:v>
                </c:pt>
                <c:pt idx="7">
                  <c:v>MON</c:v>
                </c:pt>
                <c:pt idx="8">
                  <c:v>ESP</c:v>
                </c:pt>
                <c:pt idx="9">
                  <c:v>AUT</c:v>
                </c:pt>
                <c:pt idx="10">
                  <c:v>ING</c:v>
                </c:pt>
                <c:pt idx="11">
                  <c:v>BEL</c:v>
                </c:pt>
                <c:pt idx="12">
                  <c:v>HUN</c:v>
                </c:pt>
                <c:pt idx="13">
                  <c:v>HOL</c:v>
                </c:pt>
                <c:pt idx="14">
                  <c:v>MAD</c:v>
                </c:pt>
                <c:pt idx="15">
                  <c:v>ITA</c:v>
                </c:pt>
                <c:pt idx="16">
                  <c:v>AZE</c:v>
                </c:pt>
                <c:pt idx="17">
                  <c:v>SIN</c:v>
                </c:pt>
                <c:pt idx="18">
                  <c:v>USA</c:v>
                </c:pt>
                <c:pt idx="19">
                  <c:v>MEX</c:v>
                </c:pt>
                <c:pt idx="20">
                  <c:v>SÃO</c:v>
                </c:pt>
                <c:pt idx="21">
                  <c:v>VEG</c:v>
                </c:pt>
                <c:pt idx="22">
                  <c:v>QAT</c:v>
                </c:pt>
                <c:pt idx="23">
                  <c:v>ABU</c:v>
                </c:pt>
              </c:strCache>
            </c:strRef>
          </c:cat>
          <c:val>
            <c:numRef>
              <c:f>'Dummy Chart'!$C$18:$Z$18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7</c:v>
                </c:pt>
                <c:pt idx="14">
                  <c:v>7</c:v>
                </c:pt>
                <c:pt idx="15">
                  <c:v>7</c:v>
                </c:pt>
                <c:pt idx="16">
                  <c:v>7</c:v>
                </c:pt>
                <c:pt idx="17">
                  <c:v>7</c:v>
                </c:pt>
                <c:pt idx="18">
                  <c:v>7</c:v>
                </c:pt>
                <c:pt idx="19">
                  <c:v>7</c:v>
                </c:pt>
                <c:pt idx="20">
                  <c:v>7</c:v>
                </c:pt>
                <c:pt idx="21">
                  <c:v>7</c:v>
                </c:pt>
                <c:pt idx="22">
                  <c:v>7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BEBC-48E2-A0C1-43174839A2EC}"/>
            </c:ext>
          </c:extLst>
        </c:ser>
        <c:ser>
          <c:idx val="17"/>
          <c:order val="17"/>
          <c:tx>
            <c:strRef>
              <c:f>'Dummy Chart'!$B$19</c:f>
              <c:strCache>
                <c:ptCount val="1"/>
                <c:pt idx="0">
                  <c:v>Carlos Sainz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'Dummy Chart'!$C$1:$Z$1</c:f>
              <c:strCache>
                <c:ptCount val="24"/>
                <c:pt idx="0">
                  <c:v>AUS</c:v>
                </c:pt>
                <c:pt idx="1">
                  <c:v>CHI</c:v>
                </c:pt>
                <c:pt idx="2">
                  <c:v>JAP</c:v>
                </c:pt>
                <c:pt idx="3">
                  <c:v>BAH</c:v>
                </c:pt>
                <c:pt idx="4">
                  <c:v>SAU</c:v>
                </c:pt>
                <c:pt idx="5">
                  <c:v>MIA</c:v>
                </c:pt>
                <c:pt idx="6">
                  <c:v>CAN</c:v>
                </c:pt>
                <c:pt idx="7">
                  <c:v>MON</c:v>
                </c:pt>
                <c:pt idx="8">
                  <c:v>ESP</c:v>
                </c:pt>
                <c:pt idx="9">
                  <c:v>AUT</c:v>
                </c:pt>
                <c:pt idx="10">
                  <c:v>ING</c:v>
                </c:pt>
                <c:pt idx="11">
                  <c:v>BEL</c:v>
                </c:pt>
                <c:pt idx="12">
                  <c:v>HUN</c:v>
                </c:pt>
                <c:pt idx="13">
                  <c:v>HOL</c:v>
                </c:pt>
                <c:pt idx="14">
                  <c:v>MAD</c:v>
                </c:pt>
                <c:pt idx="15">
                  <c:v>ITA</c:v>
                </c:pt>
                <c:pt idx="16">
                  <c:v>AZE</c:v>
                </c:pt>
                <c:pt idx="17">
                  <c:v>SIN</c:v>
                </c:pt>
                <c:pt idx="18">
                  <c:v>USA</c:v>
                </c:pt>
                <c:pt idx="19">
                  <c:v>MEX</c:v>
                </c:pt>
                <c:pt idx="20">
                  <c:v>SÃO</c:v>
                </c:pt>
                <c:pt idx="21">
                  <c:v>VEG</c:v>
                </c:pt>
                <c:pt idx="22">
                  <c:v>QAT</c:v>
                </c:pt>
                <c:pt idx="23">
                  <c:v>ABU</c:v>
                </c:pt>
              </c:strCache>
            </c:strRef>
          </c:cat>
          <c:val>
            <c:numRef>
              <c:f>'Dummy Chart'!$C$19:$Z$19</c:f>
              <c:numCache>
                <c:formatCode>General</c:formatCode>
                <c:ptCount val="24"/>
                <c:pt idx="0">
                  <c:v>0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4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7</c:v>
                </c:pt>
                <c:pt idx="17">
                  <c:v>7</c:v>
                </c:pt>
                <c:pt idx="18">
                  <c:v>7</c:v>
                </c:pt>
                <c:pt idx="19">
                  <c:v>7</c:v>
                </c:pt>
                <c:pt idx="20">
                  <c:v>7</c:v>
                </c:pt>
                <c:pt idx="21">
                  <c:v>7</c:v>
                </c:pt>
                <c:pt idx="22">
                  <c:v>7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BEBC-48E2-A0C1-43174839A2EC}"/>
            </c:ext>
          </c:extLst>
        </c:ser>
        <c:ser>
          <c:idx val="18"/>
          <c:order val="18"/>
          <c:tx>
            <c:strRef>
              <c:f>'Dummy Chart'!$B$20</c:f>
              <c:strCache>
                <c:ptCount val="1"/>
                <c:pt idx="0">
                  <c:v>Alexander Albon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'Dummy Chart'!$C$1:$Z$1</c:f>
              <c:strCache>
                <c:ptCount val="24"/>
                <c:pt idx="0">
                  <c:v>AUS</c:v>
                </c:pt>
                <c:pt idx="1">
                  <c:v>CHI</c:v>
                </c:pt>
                <c:pt idx="2">
                  <c:v>JAP</c:v>
                </c:pt>
                <c:pt idx="3">
                  <c:v>BAH</c:v>
                </c:pt>
                <c:pt idx="4">
                  <c:v>SAU</c:v>
                </c:pt>
                <c:pt idx="5">
                  <c:v>MIA</c:v>
                </c:pt>
                <c:pt idx="6">
                  <c:v>CAN</c:v>
                </c:pt>
                <c:pt idx="7">
                  <c:v>MON</c:v>
                </c:pt>
                <c:pt idx="8">
                  <c:v>ESP</c:v>
                </c:pt>
                <c:pt idx="9">
                  <c:v>AUT</c:v>
                </c:pt>
                <c:pt idx="10">
                  <c:v>ING</c:v>
                </c:pt>
                <c:pt idx="11">
                  <c:v>BEL</c:v>
                </c:pt>
                <c:pt idx="12">
                  <c:v>HUN</c:v>
                </c:pt>
                <c:pt idx="13">
                  <c:v>HOL</c:v>
                </c:pt>
                <c:pt idx="14">
                  <c:v>MAD</c:v>
                </c:pt>
                <c:pt idx="15">
                  <c:v>ITA</c:v>
                </c:pt>
                <c:pt idx="16">
                  <c:v>AZE</c:v>
                </c:pt>
                <c:pt idx="17">
                  <c:v>SIN</c:v>
                </c:pt>
                <c:pt idx="18">
                  <c:v>USA</c:v>
                </c:pt>
                <c:pt idx="19">
                  <c:v>MEX</c:v>
                </c:pt>
                <c:pt idx="20">
                  <c:v>SÃO</c:v>
                </c:pt>
                <c:pt idx="21">
                  <c:v>VEG</c:v>
                </c:pt>
                <c:pt idx="22">
                  <c:v>QAT</c:v>
                </c:pt>
                <c:pt idx="23">
                  <c:v>ABU</c:v>
                </c:pt>
              </c:strCache>
            </c:strRef>
          </c:cat>
          <c:val>
            <c:numRef>
              <c:f>'Dummy Chart'!$C$20:$Z$20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BEBC-48E2-A0C1-43174839A2EC}"/>
            </c:ext>
          </c:extLst>
        </c:ser>
        <c:ser>
          <c:idx val="19"/>
          <c:order val="19"/>
          <c:tx>
            <c:strRef>
              <c:f>'Dummy Chart'!$B$21</c:f>
              <c:strCache>
                <c:ptCount val="1"/>
                <c:pt idx="0">
                  <c:v>Yuki Tsunoda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'Dummy Chart'!$C$1:$Z$1</c:f>
              <c:strCache>
                <c:ptCount val="24"/>
                <c:pt idx="0">
                  <c:v>AUS</c:v>
                </c:pt>
                <c:pt idx="1">
                  <c:v>CHI</c:v>
                </c:pt>
                <c:pt idx="2">
                  <c:v>JAP</c:v>
                </c:pt>
                <c:pt idx="3">
                  <c:v>BAH</c:v>
                </c:pt>
                <c:pt idx="4">
                  <c:v>SAU</c:v>
                </c:pt>
                <c:pt idx="5">
                  <c:v>MIA</c:v>
                </c:pt>
                <c:pt idx="6">
                  <c:v>CAN</c:v>
                </c:pt>
                <c:pt idx="7">
                  <c:v>MON</c:v>
                </c:pt>
                <c:pt idx="8">
                  <c:v>ESP</c:v>
                </c:pt>
                <c:pt idx="9">
                  <c:v>AUT</c:v>
                </c:pt>
                <c:pt idx="10">
                  <c:v>ING</c:v>
                </c:pt>
                <c:pt idx="11">
                  <c:v>BEL</c:v>
                </c:pt>
                <c:pt idx="12">
                  <c:v>HUN</c:v>
                </c:pt>
                <c:pt idx="13">
                  <c:v>HOL</c:v>
                </c:pt>
                <c:pt idx="14">
                  <c:v>MAD</c:v>
                </c:pt>
                <c:pt idx="15">
                  <c:v>ITA</c:v>
                </c:pt>
                <c:pt idx="16">
                  <c:v>AZE</c:v>
                </c:pt>
                <c:pt idx="17">
                  <c:v>SIN</c:v>
                </c:pt>
                <c:pt idx="18">
                  <c:v>USA</c:v>
                </c:pt>
                <c:pt idx="19">
                  <c:v>MEX</c:v>
                </c:pt>
                <c:pt idx="20">
                  <c:v>SÃO</c:v>
                </c:pt>
                <c:pt idx="21">
                  <c:v>VEG</c:v>
                </c:pt>
                <c:pt idx="22">
                  <c:v>QAT</c:v>
                </c:pt>
                <c:pt idx="23">
                  <c:v>ABU</c:v>
                </c:pt>
              </c:strCache>
            </c:strRef>
          </c:cat>
          <c:val>
            <c:numRef>
              <c:f>'Dummy Chart'!$C$21:$Z$21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BEBC-48E2-A0C1-43174839A2EC}"/>
            </c:ext>
          </c:extLst>
        </c:ser>
        <c:ser>
          <c:idx val="20"/>
          <c:order val="20"/>
          <c:tx>
            <c:strRef>
              <c:f>'Dummy Chart'!$B$22</c:f>
              <c:strCache>
                <c:ptCount val="1"/>
                <c:pt idx="0">
                  <c:v>Lance Stroll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'Dummy Chart'!$C$1:$Z$1</c:f>
              <c:strCache>
                <c:ptCount val="24"/>
                <c:pt idx="0">
                  <c:v>AUS</c:v>
                </c:pt>
                <c:pt idx="1">
                  <c:v>CHI</c:v>
                </c:pt>
                <c:pt idx="2">
                  <c:v>JAP</c:v>
                </c:pt>
                <c:pt idx="3">
                  <c:v>BAH</c:v>
                </c:pt>
                <c:pt idx="4">
                  <c:v>SAU</c:v>
                </c:pt>
                <c:pt idx="5">
                  <c:v>MIA</c:v>
                </c:pt>
                <c:pt idx="6">
                  <c:v>CAN</c:v>
                </c:pt>
                <c:pt idx="7">
                  <c:v>MON</c:v>
                </c:pt>
                <c:pt idx="8">
                  <c:v>ESP</c:v>
                </c:pt>
                <c:pt idx="9">
                  <c:v>AUT</c:v>
                </c:pt>
                <c:pt idx="10">
                  <c:v>ING</c:v>
                </c:pt>
                <c:pt idx="11">
                  <c:v>BEL</c:v>
                </c:pt>
                <c:pt idx="12">
                  <c:v>HUN</c:v>
                </c:pt>
                <c:pt idx="13">
                  <c:v>HOL</c:v>
                </c:pt>
                <c:pt idx="14">
                  <c:v>MAD</c:v>
                </c:pt>
                <c:pt idx="15">
                  <c:v>ITA</c:v>
                </c:pt>
                <c:pt idx="16">
                  <c:v>AZE</c:v>
                </c:pt>
                <c:pt idx="17">
                  <c:v>SIN</c:v>
                </c:pt>
                <c:pt idx="18">
                  <c:v>USA</c:v>
                </c:pt>
                <c:pt idx="19">
                  <c:v>MEX</c:v>
                </c:pt>
                <c:pt idx="20">
                  <c:v>SÃO</c:v>
                </c:pt>
                <c:pt idx="21">
                  <c:v>VEG</c:v>
                </c:pt>
                <c:pt idx="22">
                  <c:v>QAT</c:v>
                </c:pt>
                <c:pt idx="23">
                  <c:v>ABU</c:v>
                </c:pt>
              </c:strCache>
            </c:strRef>
          </c:cat>
          <c:val>
            <c:numRef>
              <c:f>'Dummy Chart'!$C$22:$Z$22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BEBC-48E2-A0C1-43174839A2EC}"/>
            </c:ext>
          </c:extLst>
        </c:ser>
        <c:ser>
          <c:idx val="24"/>
          <c:order val="24"/>
          <c:tx>
            <c:strRef>
              <c:f>'Dummy Chart'!$B$26</c:f>
              <c:strCache>
                <c:ptCount val="1"/>
                <c:pt idx="0">
                  <c:v>🏆 Título</c:v>
                </c:pt>
              </c:strCache>
            </c:strRef>
          </c:tx>
          <c:spPr>
            <a:ln w="3175" cap="rnd" cmpd="sng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'Dummy Chart'!$C$1:$Z$1</c:f>
              <c:strCache>
                <c:ptCount val="24"/>
                <c:pt idx="0">
                  <c:v>AUS</c:v>
                </c:pt>
                <c:pt idx="1">
                  <c:v>CHI</c:v>
                </c:pt>
                <c:pt idx="2">
                  <c:v>JAP</c:v>
                </c:pt>
                <c:pt idx="3">
                  <c:v>BAH</c:v>
                </c:pt>
                <c:pt idx="4">
                  <c:v>SAU</c:v>
                </c:pt>
                <c:pt idx="5">
                  <c:v>MIA</c:v>
                </c:pt>
                <c:pt idx="6">
                  <c:v>CAN</c:v>
                </c:pt>
                <c:pt idx="7">
                  <c:v>MON</c:v>
                </c:pt>
                <c:pt idx="8">
                  <c:v>ESP</c:v>
                </c:pt>
                <c:pt idx="9">
                  <c:v>AUT</c:v>
                </c:pt>
                <c:pt idx="10">
                  <c:v>ING</c:v>
                </c:pt>
                <c:pt idx="11">
                  <c:v>BEL</c:v>
                </c:pt>
                <c:pt idx="12">
                  <c:v>HUN</c:v>
                </c:pt>
                <c:pt idx="13">
                  <c:v>HOL</c:v>
                </c:pt>
                <c:pt idx="14">
                  <c:v>MAD</c:v>
                </c:pt>
                <c:pt idx="15">
                  <c:v>ITA</c:v>
                </c:pt>
                <c:pt idx="16">
                  <c:v>AZE</c:v>
                </c:pt>
                <c:pt idx="17">
                  <c:v>SIN</c:v>
                </c:pt>
                <c:pt idx="18">
                  <c:v>USA</c:v>
                </c:pt>
                <c:pt idx="19">
                  <c:v>MEX</c:v>
                </c:pt>
                <c:pt idx="20">
                  <c:v>SÃO</c:v>
                </c:pt>
                <c:pt idx="21">
                  <c:v>VEG</c:v>
                </c:pt>
                <c:pt idx="22">
                  <c:v>QAT</c:v>
                </c:pt>
                <c:pt idx="23">
                  <c:v>ABU</c:v>
                </c:pt>
              </c:strCache>
            </c:strRef>
          </c:cat>
          <c:val>
            <c:numRef>
              <c:f>'Dummy Chart'!$C$26:$Z$26</c:f>
              <c:numCache>
                <c:formatCode>General</c:formatCode>
                <c:ptCount val="24"/>
                <c:pt idx="0">
                  <c:v>165</c:v>
                </c:pt>
                <c:pt idx="1">
                  <c:v>165</c:v>
                </c:pt>
                <c:pt idx="2">
                  <c:v>165</c:v>
                </c:pt>
                <c:pt idx="3">
                  <c:v>165</c:v>
                </c:pt>
                <c:pt idx="4">
                  <c:v>165</c:v>
                </c:pt>
                <c:pt idx="5">
                  <c:v>165</c:v>
                </c:pt>
                <c:pt idx="6">
                  <c:v>165</c:v>
                </c:pt>
                <c:pt idx="7">
                  <c:v>165</c:v>
                </c:pt>
                <c:pt idx="8">
                  <c:v>165</c:v>
                </c:pt>
                <c:pt idx="9">
                  <c:v>165</c:v>
                </c:pt>
                <c:pt idx="10">
                  <c:v>165</c:v>
                </c:pt>
                <c:pt idx="11">
                  <c:v>165</c:v>
                </c:pt>
                <c:pt idx="12">
                  <c:v>165</c:v>
                </c:pt>
                <c:pt idx="13">
                  <c:v>165</c:v>
                </c:pt>
                <c:pt idx="14">
                  <c:v>165</c:v>
                </c:pt>
                <c:pt idx="15">
                  <c:v>165</c:v>
                </c:pt>
                <c:pt idx="16">
                  <c:v>165</c:v>
                </c:pt>
                <c:pt idx="17">
                  <c:v>165</c:v>
                </c:pt>
                <c:pt idx="18">
                  <c:v>165</c:v>
                </c:pt>
                <c:pt idx="19">
                  <c:v>165</c:v>
                </c:pt>
                <c:pt idx="20">
                  <c:v>165</c:v>
                </c:pt>
                <c:pt idx="21">
                  <c:v>165</c:v>
                </c:pt>
                <c:pt idx="22">
                  <c:v>165</c:v>
                </c:pt>
                <c:pt idx="23">
                  <c:v>165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F0B-44C1-9290-1A55BB25C8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8764495"/>
        <c:axId val="1518766895"/>
      </c:lineChart>
      <c:catAx>
        <c:axId val="1518764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18766895"/>
        <c:crosses val="autoZero"/>
        <c:auto val="1"/>
        <c:lblAlgn val="ctr"/>
        <c:lblOffset val="100"/>
        <c:tickLblSkip val="1"/>
        <c:noMultiLvlLbl val="0"/>
      </c:catAx>
      <c:valAx>
        <c:axId val="1518766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18764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layout>
        <c:manualLayout>
          <c:xMode val="edge"/>
          <c:yMode val="edge"/>
          <c:x val="2.6458333333333334E-2"/>
          <c:y val="2.165319444444444E-2"/>
          <c:w val="0.10768576388888888"/>
          <c:h val="0.65484833333333337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'Dummy Chart'!$B$30</c:f>
              <c:strCache>
                <c:ptCount val="1"/>
                <c:pt idx="0">
                  <c:v>Mercedes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'Dummy Chart'!$D$29:$Z$29</c:f>
              <c:strCache>
                <c:ptCount val="23"/>
                <c:pt idx="0">
                  <c:v>CHI</c:v>
                </c:pt>
                <c:pt idx="1">
                  <c:v>JAP</c:v>
                </c:pt>
                <c:pt idx="2">
                  <c:v>BAH</c:v>
                </c:pt>
                <c:pt idx="3">
                  <c:v>SAU</c:v>
                </c:pt>
                <c:pt idx="4">
                  <c:v>MIA</c:v>
                </c:pt>
                <c:pt idx="5">
                  <c:v>CAN</c:v>
                </c:pt>
                <c:pt idx="6">
                  <c:v>MON</c:v>
                </c:pt>
                <c:pt idx="7">
                  <c:v>ESP</c:v>
                </c:pt>
                <c:pt idx="8">
                  <c:v>AUT</c:v>
                </c:pt>
                <c:pt idx="9">
                  <c:v>ING</c:v>
                </c:pt>
                <c:pt idx="10">
                  <c:v>BEL</c:v>
                </c:pt>
                <c:pt idx="11">
                  <c:v>HUN</c:v>
                </c:pt>
                <c:pt idx="12">
                  <c:v>HOL</c:v>
                </c:pt>
                <c:pt idx="13">
                  <c:v>MAD</c:v>
                </c:pt>
                <c:pt idx="14">
                  <c:v>ITA</c:v>
                </c:pt>
                <c:pt idx="15">
                  <c:v>AZE</c:v>
                </c:pt>
                <c:pt idx="16">
                  <c:v>SIN</c:v>
                </c:pt>
                <c:pt idx="17">
                  <c:v>USA</c:v>
                </c:pt>
                <c:pt idx="18">
                  <c:v>MEX</c:v>
                </c:pt>
                <c:pt idx="19">
                  <c:v>SÃO</c:v>
                </c:pt>
                <c:pt idx="20">
                  <c:v>VEG</c:v>
                </c:pt>
                <c:pt idx="21">
                  <c:v>QAT</c:v>
                </c:pt>
                <c:pt idx="22">
                  <c:v>ABU</c:v>
                </c:pt>
              </c:strCache>
            </c:strRef>
          </c:cat>
          <c:val>
            <c:numRef>
              <c:f>'Dummy Chart'!$C$30:$Z$30</c:f>
              <c:numCache>
                <c:formatCode>General</c:formatCode>
                <c:ptCount val="24"/>
                <c:pt idx="0">
                  <c:v>43</c:v>
                </c:pt>
                <c:pt idx="1">
                  <c:v>98</c:v>
                </c:pt>
                <c:pt idx="2">
                  <c:v>135</c:v>
                </c:pt>
                <c:pt idx="3">
                  <c:v>153</c:v>
                </c:pt>
                <c:pt idx="4">
                  <c:v>153</c:v>
                </c:pt>
                <c:pt idx="5">
                  <c:v>198</c:v>
                </c:pt>
                <c:pt idx="6">
                  <c:v>223</c:v>
                </c:pt>
                <c:pt idx="7">
                  <c:v>248</c:v>
                </c:pt>
                <c:pt idx="8">
                  <c:v>266</c:v>
                </c:pt>
                <c:pt idx="9">
                  <c:v>306</c:v>
                </c:pt>
                <c:pt idx="10">
                  <c:v>337</c:v>
                </c:pt>
                <c:pt idx="11">
                  <c:v>362</c:v>
                </c:pt>
                <c:pt idx="12">
                  <c:v>383</c:v>
                </c:pt>
                <c:pt idx="13">
                  <c:v>429</c:v>
                </c:pt>
                <c:pt idx="14">
                  <c:v>472</c:v>
                </c:pt>
                <c:pt idx="15">
                  <c:v>507</c:v>
                </c:pt>
                <c:pt idx="16">
                  <c:v>542</c:v>
                </c:pt>
                <c:pt idx="17">
                  <c:v>564</c:v>
                </c:pt>
                <c:pt idx="18">
                  <c:v>564</c:v>
                </c:pt>
                <c:pt idx="19">
                  <c:v>564</c:v>
                </c:pt>
                <c:pt idx="20">
                  <c:v>564</c:v>
                </c:pt>
                <c:pt idx="21">
                  <c:v>564</c:v>
                </c:pt>
                <c:pt idx="22">
                  <c:v>564</c:v>
                </c:pt>
                <c:pt idx="23">
                  <c:v>564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E1-4675-894E-DF87145B9458}"/>
            </c:ext>
          </c:extLst>
        </c:ser>
        <c:ser>
          <c:idx val="1"/>
          <c:order val="1"/>
          <c:tx>
            <c:strRef>
              <c:f>'Dummy Chart'!$B$31</c:f>
              <c:strCache>
                <c:ptCount val="1"/>
                <c:pt idx="0">
                  <c:v>Ferrari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'Dummy Chart'!$D$29:$Z$29</c:f>
              <c:strCache>
                <c:ptCount val="23"/>
                <c:pt idx="0">
                  <c:v>CHI</c:v>
                </c:pt>
                <c:pt idx="1">
                  <c:v>JAP</c:v>
                </c:pt>
                <c:pt idx="2">
                  <c:v>BAH</c:v>
                </c:pt>
                <c:pt idx="3">
                  <c:v>SAU</c:v>
                </c:pt>
                <c:pt idx="4">
                  <c:v>MIA</c:v>
                </c:pt>
                <c:pt idx="5">
                  <c:v>CAN</c:v>
                </c:pt>
                <c:pt idx="6">
                  <c:v>MON</c:v>
                </c:pt>
                <c:pt idx="7">
                  <c:v>ESP</c:v>
                </c:pt>
                <c:pt idx="8">
                  <c:v>AUT</c:v>
                </c:pt>
                <c:pt idx="9">
                  <c:v>ING</c:v>
                </c:pt>
                <c:pt idx="10">
                  <c:v>BEL</c:v>
                </c:pt>
                <c:pt idx="11">
                  <c:v>HUN</c:v>
                </c:pt>
                <c:pt idx="12">
                  <c:v>HOL</c:v>
                </c:pt>
                <c:pt idx="13">
                  <c:v>MAD</c:v>
                </c:pt>
                <c:pt idx="14">
                  <c:v>ITA</c:v>
                </c:pt>
                <c:pt idx="15">
                  <c:v>AZE</c:v>
                </c:pt>
                <c:pt idx="16">
                  <c:v>SIN</c:v>
                </c:pt>
                <c:pt idx="17">
                  <c:v>USA</c:v>
                </c:pt>
                <c:pt idx="18">
                  <c:v>MEX</c:v>
                </c:pt>
                <c:pt idx="19">
                  <c:v>SÃO</c:v>
                </c:pt>
                <c:pt idx="20">
                  <c:v>VEG</c:v>
                </c:pt>
                <c:pt idx="21">
                  <c:v>QAT</c:v>
                </c:pt>
                <c:pt idx="22">
                  <c:v>ABU</c:v>
                </c:pt>
              </c:strCache>
            </c:strRef>
          </c:cat>
          <c:val>
            <c:numRef>
              <c:f>'Dummy Chart'!$C$31:$Z$31</c:f>
              <c:numCache>
                <c:formatCode>General</c:formatCode>
                <c:ptCount val="24"/>
                <c:pt idx="0">
                  <c:v>27</c:v>
                </c:pt>
                <c:pt idx="1">
                  <c:v>67</c:v>
                </c:pt>
                <c:pt idx="2">
                  <c:v>90</c:v>
                </c:pt>
                <c:pt idx="3">
                  <c:v>117</c:v>
                </c:pt>
                <c:pt idx="4">
                  <c:v>117</c:v>
                </c:pt>
                <c:pt idx="5">
                  <c:v>137</c:v>
                </c:pt>
                <c:pt idx="6">
                  <c:v>167</c:v>
                </c:pt>
                <c:pt idx="7">
                  <c:v>185</c:v>
                </c:pt>
                <c:pt idx="8">
                  <c:v>210</c:v>
                </c:pt>
                <c:pt idx="9">
                  <c:v>224</c:v>
                </c:pt>
                <c:pt idx="10">
                  <c:v>275</c:v>
                </c:pt>
                <c:pt idx="11">
                  <c:v>305</c:v>
                </c:pt>
                <c:pt idx="12">
                  <c:v>327</c:v>
                </c:pt>
                <c:pt idx="13">
                  <c:v>358</c:v>
                </c:pt>
                <c:pt idx="14">
                  <c:v>366</c:v>
                </c:pt>
                <c:pt idx="15">
                  <c:v>378</c:v>
                </c:pt>
                <c:pt idx="16">
                  <c:v>398</c:v>
                </c:pt>
                <c:pt idx="17">
                  <c:v>437</c:v>
                </c:pt>
                <c:pt idx="18">
                  <c:v>437</c:v>
                </c:pt>
                <c:pt idx="19">
                  <c:v>437</c:v>
                </c:pt>
                <c:pt idx="20">
                  <c:v>437</c:v>
                </c:pt>
                <c:pt idx="21">
                  <c:v>437</c:v>
                </c:pt>
                <c:pt idx="22">
                  <c:v>437</c:v>
                </c:pt>
                <c:pt idx="23">
                  <c:v>437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E1-4675-894E-DF87145B9458}"/>
            </c:ext>
          </c:extLst>
        </c:ser>
        <c:ser>
          <c:idx val="2"/>
          <c:order val="2"/>
          <c:tx>
            <c:strRef>
              <c:f>'Dummy Chart'!$B$32</c:f>
              <c:strCache>
                <c:ptCount val="1"/>
                <c:pt idx="0">
                  <c:v>McLaren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'Dummy Chart'!$D$29:$Z$29</c:f>
              <c:strCache>
                <c:ptCount val="23"/>
                <c:pt idx="0">
                  <c:v>CHI</c:v>
                </c:pt>
                <c:pt idx="1">
                  <c:v>JAP</c:v>
                </c:pt>
                <c:pt idx="2">
                  <c:v>BAH</c:v>
                </c:pt>
                <c:pt idx="3">
                  <c:v>SAU</c:v>
                </c:pt>
                <c:pt idx="4">
                  <c:v>MIA</c:v>
                </c:pt>
                <c:pt idx="5">
                  <c:v>CAN</c:v>
                </c:pt>
                <c:pt idx="6">
                  <c:v>MON</c:v>
                </c:pt>
                <c:pt idx="7">
                  <c:v>ESP</c:v>
                </c:pt>
                <c:pt idx="8">
                  <c:v>AUT</c:v>
                </c:pt>
                <c:pt idx="9">
                  <c:v>ING</c:v>
                </c:pt>
                <c:pt idx="10">
                  <c:v>BEL</c:v>
                </c:pt>
                <c:pt idx="11">
                  <c:v>HUN</c:v>
                </c:pt>
                <c:pt idx="12">
                  <c:v>HOL</c:v>
                </c:pt>
                <c:pt idx="13">
                  <c:v>MAD</c:v>
                </c:pt>
                <c:pt idx="14">
                  <c:v>ITA</c:v>
                </c:pt>
                <c:pt idx="15">
                  <c:v>AZE</c:v>
                </c:pt>
                <c:pt idx="16">
                  <c:v>SIN</c:v>
                </c:pt>
                <c:pt idx="17">
                  <c:v>USA</c:v>
                </c:pt>
                <c:pt idx="18">
                  <c:v>MEX</c:v>
                </c:pt>
                <c:pt idx="19">
                  <c:v>SÃO</c:v>
                </c:pt>
                <c:pt idx="20">
                  <c:v>VEG</c:v>
                </c:pt>
                <c:pt idx="21">
                  <c:v>QAT</c:v>
                </c:pt>
                <c:pt idx="22">
                  <c:v>ABU</c:v>
                </c:pt>
              </c:strCache>
            </c:strRef>
          </c:cat>
          <c:val>
            <c:numRef>
              <c:f>'Dummy Chart'!$C$32:$Z$32</c:f>
              <c:numCache>
                <c:formatCode>General</c:formatCode>
                <c:ptCount val="24"/>
                <c:pt idx="0">
                  <c:v>10</c:v>
                </c:pt>
                <c:pt idx="1">
                  <c:v>18</c:v>
                </c:pt>
                <c:pt idx="2">
                  <c:v>46</c:v>
                </c:pt>
                <c:pt idx="3">
                  <c:v>56</c:v>
                </c:pt>
                <c:pt idx="4">
                  <c:v>56</c:v>
                </c:pt>
                <c:pt idx="5">
                  <c:v>104</c:v>
                </c:pt>
                <c:pt idx="6">
                  <c:v>104</c:v>
                </c:pt>
                <c:pt idx="7">
                  <c:v>116</c:v>
                </c:pt>
                <c:pt idx="8">
                  <c:v>141</c:v>
                </c:pt>
                <c:pt idx="9">
                  <c:v>159</c:v>
                </c:pt>
                <c:pt idx="10">
                  <c:v>179</c:v>
                </c:pt>
                <c:pt idx="11">
                  <c:v>195</c:v>
                </c:pt>
                <c:pt idx="12">
                  <c:v>220</c:v>
                </c:pt>
                <c:pt idx="13">
                  <c:v>263</c:v>
                </c:pt>
                <c:pt idx="14">
                  <c:v>285</c:v>
                </c:pt>
                <c:pt idx="15">
                  <c:v>304</c:v>
                </c:pt>
                <c:pt idx="16">
                  <c:v>304</c:v>
                </c:pt>
                <c:pt idx="17">
                  <c:v>327</c:v>
                </c:pt>
                <c:pt idx="18">
                  <c:v>327</c:v>
                </c:pt>
                <c:pt idx="19">
                  <c:v>327</c:v>
                </c:pt>
                <c:pt idx="20">
                  <c:v>327</c:v>
                </c:pt>
                <c:pt idx="21">
                  <c:v>327</c:v>
                </c:pt>
                <c:pt idx="22">
                  <c:v>327</c:v>
                </c:pt>
                <c:pt idx="23">
                  <c:v>327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1E1-4675-894E-DF87145B9458}"/>
            </c:ext>
          </c:extLst>
        </c:ser>
        <c:ser>
          <c:idx val="3"/>
          <c:order val="3"/>
          <c:tx>
            <c:strRef>
              <c:f>'Dummy Chart'!$B$33</c:f>
              <c:strCache>
                <c:ptCount val="1"/>
                <c:pt idx="0">
                  <c:v>Red Bull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'Dummy Chart'!$D$29:$Z$29</c:f>
              <c:strCache>
                <c:ptCount val="23"/>
                <c:pt idx="0">
                  <c:v>CHI</c:v>
                </c:pt>
                <c:pt idx="1">
                  <c:v>JAP</c:v>
                </c:pt>
                <c:pt idx="2">
                  <c:v>BAH</c:v>
                </c:pt>
                <c:pt idx="3">
                  <c:v>SAU</c:v>
                </c:pt>
                <c:pt idx="4">
                  <c:v>MIA</c:v>
                </c:pt>
                <c:pt idx="5">
                  <c:v>CAN</c:v>
                </c:pt>
                <c:pt idx="6">
                  <c:v>MON</c:v>
                </c:pt>
                <c:pt idx="7">
                  <c:v>ESP</c:v>
                </c:pt>
                <c:pt idx="8">
                  <c:v>AUT</c:v>
                </c:pt>
                <c:pt idx="9">
                  <c:v>ING</c:v>
                </c:pt>
                <c:pt idx="10">
                  <c:v>BEL</c:v>
                </c:pt>
                <c:pt idx="11">
                  <c:v>HUN</c:v>
                </c:pt>
                <c:pt idx="12">
                  <c:v>HOL</c:v>
                </c:pt>
                <c:pt idx="13">
                  <c:v>MAD</c:v>
                </c:pt>
                <c:pt idx="14">
                  <c:v>ITA</c:v>
                </c:pt>
                <c:pt idx="15">
                  <c:v>AZE</c:v>
                </c:pt>
                <c:pt idx="16">
                  <c:v>SIN</c:v>
                </c:pt>
                <c:pt idx="17">
                  <c:v>USA</c:v>
                </c:pt>
                <c:pt idx="18">
                  <c:v>MEX</c:v>
                </c:pt>
                <c:pt idx="19">
                  <c:v>SÃO</c:v>
                </c:pt>
                <c:pt idx="20">
                  <c:v>VEG</c:v>
                </c:pt>
                <c:pt idx="21">
                  <c:v>QAT</c:v>
                </c:pt>
                <c:pt idx="22">
                  <c:v>ABU</c:v>
                </c:pt>
              </c:strCache>
            </c:strRef>
          </c:cat>
          <c:val>
            <c:numRef>
              <c:f>'Dummy Chart'!$C$33:$Z$33</c:f>
              <c:numCache>
                <c:formatCode>General</c:formatCode>
                <c:ptCount val="24"/>
                <c:pt idx="0">
                  <c:v>8</c:v>
                </c:pt>
                <c:pt idx="1">
                  <c:v>12</c:v>
                </c:pt>
                <c:pt idx="2">
                  <c:v>16</c:v>
                </c:pt>
                <c:pt idx="3">
                  <c:v>51</c:v>
                </c:pt>
                <c:pt idx="4">
                  <c:v>51</c:v>
                </c:pt>
                <c:pt idx="5">
                  <c:v>65</c:v>
                </c:pt>
                <c:pt idx="6">
                  <c:v>90</c:v>
                </c:pt>
                <c:pt idx="7">
                  <c:v>105</c:v>
                </c:pt>
                <c:pt idx="8">
                  <c:v>125</c:v>
                </c:pt>
                <c:pt idx="9">
                  <c:v>151</c:v>
                </c:pt>
                <c:pt idx="10">
                  <c:v>164</c:v>
                </c:pt>
                <c:pt idx="11">
                  <c:v>187</c:v>
                </c:pt>
                <c:pt idx="12">
                  <c:v>213</c:v>
                </c:pt>
                <c:pt idx="13">
                  <c:v>216</c:v>
                </c:pt>
                <c:pt idx="14">
                  <c:v>231</c:v>
                </c:pt>
                <c:pt idx="15">
                  <c:v>249</c:v>
                </c:pt>
                <c:pt idx="16">
                  <c:v>282</c:v>
                </c:pt>
                <c:pt idx="17">
                  <c:v>316</c:v>
                </c:pt>
                <c:pt idx="18">
                  <c:v>316</c:v>
                </c:pt>
                <c:pt idx="19">
                  <c:v>316</c:v>
                </c:pt>
                <c:pt idx="20">
                  <c:v>316</c:v>
                </c:pt>
                <c:pt idx="21">
                  <c:v>316</c:v>
                </c:pt>
                <c:pt idx="22">
                  <c:v>316</c:v>
                </c:pt>
                <c:pt idx="23">
                  <c:v>316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1E1-4675-894E-DF87145B9458}"/>
            </c:ext>
          </c:extLst>
        </c:ser>
        <c:ser>
          <c:idx val="4"/>
          <c:order val="4"/>
          <c:tx>
            <c:strRef>
              <c:f>'Dummy Chart'!$B$34</c:f>
              <c:strCache>
                <c:ptCount val="1"/>
                <c:pt idx="0">
                  <c:v>Racing Bulls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'Dummy Chart'!$D$29:$Z$29</c:f>
              <c:strCache>
                <c:ptCount val="23"/>
                <c:pt idx="0">
                  <c:v>CHI</c:v>
                </c:pt>
                <c:pt idx="1">
                  <c:v>JAP</c:v>
                </c:pt>
                <c:pt idx="2">
                  <c:v>BAH</c:v>
                </c:pt>
                <c:pt idx="3">
                  <c:v>SAU</c:v>
                </c:pt>
                <c:pt idx="4">
                  <c:v>MIA</c:v>
                </c:pt>
                <c:pt idx="5">
                  <c:v>CAN</c:v>
                </c:pt>
                <c:pt idx="6">
                  <c:v>MON</c:v>
                </c:pt>
                <c:pt idx="7">
                  <c:v>ESP</c:v>
                </c:pt>
                <c:pt idx="8">
                  <c:v>AUT</c:v>
                </c:pt>
                <c:pt idx="9">
                  <c:v>ING</c:v>
                </c:pt>
                <c:pt idx="10">
                  <c:v>BEL</c:v>
                </c:pt>
                <c:pt idx="11">
                  <c:v>HUN</c:v>
                </c:pt>
                <c:pt idx="12">
                  <c:v>HOL</c:v>
                </c:pt>
                <c:pt idx="13">
                  <c:v>MAD</c:v>
                </c:pt>
                <c:pt idx="14">
                  <c:v>ITA</c:v>
                </c:pt>
                <c:pt idx="15">
                  <c:v>AZE</c:v>
                </c:pt>
                <c:pt idx="16">
                  <c:v>SIN</c:v>
                </c:pt>
                <c:pt idx="17">
                  <c:v>USA</c:v>
                </c:pt>
                <c:pt idx="18">
                  <c:v>MEX</c:v>
                </c:pt>
                <c:pt idx="19">
                  <c:v>SÃO</c:v>
                </c:pt>
                <c:pt idx="20">
                  <c:v>VEG</c:v>
                </c:pt>
                <c:pt idx="21">
                  <c:v>QAT</c:v>
                </c:pt>
                <c:pt idx="22">
                  <c:v>ABU</c:v>
                </c:pt>
              </c:strCache>
            </c:strRef>
          </c:cat>
          <c:val>
            <c:numRef>
              <c:f>'Dummy Chart'!$C$34:$Z$34</c:f>
              <c:numCache>
                <c:formatCode>General</c:formatCode>
                <c:ptCount val="24"/>
                <c:pt idx="0">
                  <c:v>4</c:v>
                </c:pt>
                <c:pt idx="1">
                  <c:v>12</c:v>
                </c:pt>
                <c:pt idx="2">
                  <c:v>14</c:v>
                </c:pt>
                <c:pt idx="3">
                  <c:v>21</c:v>
                </c:pt>
                <c:pt idx="4">
                  <c:v>21</c:v>
                </c:pt>
                <c:pt idx="5">
                  <c:v>21</c:v>
                </c:pt>
                <c:pt idx="6">
                  <c:v>27</c:v>
                </c:pt>
                <c:pt idx="7">
                  <c:v>45</c:v>
                </c:pt>
                <c:pt idx="8">
                  <c:v>51</c:v>
                </c:pt>
                <c:pt idx="9">
                  <c:v>54</c:v>
                </c:pt>
                <c:pt idx="10">
                  <c:v>69</c:v>
                </c:pt>
                <c:pt idx="11">
                  <c:v>71</c:v>
                </c:pt>
                <c:pt idx="12">
                  <c:v>76</c:v>
                </c:pt>
                <c:pt idx="13">
                  <c:v>82</c:v>
                </c:pt>
                <c:pt idx="14">
                  <c:v>87</c:v>
                </c:pt>
                <c:pt idx="15">
                  <c:v>97</c:v>
                </c:pt>
                <c:pt idx="16">
                  <c:v>103</c:v>
                </c:pt>
                <c:pt idx="17">
                  <c:v>113</c:v>
                </c:pt>
                <c:pt idx="18">
                  <c:v>113</c:v>
                </c:pt>
                <c:pt idx="19">
                  <c:v>113</c:v>
                </c:pt>
                <c:pt idx="20">
                  <c:v>113</c:v>
                </c:pt>
                <c:pt idx="21">
                  <c:v>113</c:v>
                </c:pt>
                <c:pt idx="22">
                  <c:v>113</c:v>
                </c:pt>
                <c:pt idx="23">
                  <c:v>113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1E1-4675-894E-DF87145B9458}"/>
            </c:ext>
          </c:extLst>
        </c:ser>
        <c:ser>
          <c:idx val="5"/>
          <c:order val="5"/>
          <c:tx>
            <c:strRef>
              <c:f>'Dummy Chart'!$B$35</c:f>
              <c:strCache>
                <c:ptCount val="1"/>
                <c:pt idx="0">
                  <c:v>Alpine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'Dummy Chart'!$D$29:$Z$29</c:f>
              <c:strCache>
                <c:ptCount val="23"/>
                <c:pt idx="0">
                  <c:v>CHI</c:v>
                </c:pt>
                <c:pt idx="1">
                  <c:v>JAP</c:v>
                </c:pt>
                <c:pt idx="2">
                  <c:v>BAH</c:v>
                </c:pt>
                <c:pt idx="3">
                  <c:v>SAU</c:v>
                </c:pt>
                <c:pt idx="4">
                  <c:v>MIA</c:v>
                </c:pt>
                <c:pt idx="5">
                  <c:v>CAN</c:v>
                </c:pt>
                <c:pt idx="6">
                  <c:v>MON</c:v>
                </c:pt>
                <c:pt idx="7">
                  <c:v>ESP</c:v>
                </c:pt>
                <c:pt idx="8">
                  <c:v>AUT</c:v>
                </c:pt>
                <c:pt idx="9">
                  <c:v>ING</c:v>
                </c:pt>
                <c:pt idx="10">
                  <c:v>BEL</c:v>
                </c:pt>
                <c:pt idx="11">
                  <c:v>HUN</c:v>
                </c:pt>
                <c:pt idx="12">
                  <c:v>HOL</c:v>
                </c:pt>
                <c:pt idx="13">
                  <c:v>MAD</c:v>
                </c:pt>
                <c:pt idx="14">
                  <c:v>ITA</c:v>
                </c:pt>
                <c:pt idx="15">
                  <c:v>AZE</c:v>
                </c:pt>
                <c:pt idx="16">
                  <c:v>SIN</c:v>
                </c:pt>
                <c:pt idx="17">
                  <c:v>USA</c:v>
                </c:pt>
                <c:pt idx="18">
                  <c:v>MEX</c:v>
                </c:pt>
                <c:pt idx="19">
                  <c:v>SÃO</c:v>
                </c:pt>
                <c:pt idx="20">
                  <c:v>VEG</c:v>
                </c:pt>
                <c:pt idx="21">
                  <c:v>QAT</c:v>
                </c:pt>
                <c:pt idx="22">
                  <c:v>ABU</c:v>
                </c:pt>
              </c:strCache>
            </c:strRef>
          </c:cat>
          <c:val>
            <c:numRef>
              <c:f>'Dummy Chart'!$C$35:$Z$35</c:f>
              <c:numCache>
                <c:formatCode>General</c:formatCode>
                <c:ptCount val="24"/>
                <c:pt idx="0">
                  <c:v>1</c:v>
                </c:pt>
                <c:pt idx="1">
                  <c:v>10</c:v>
                </c:pt>
                <c:pt idx="2">
                  <c:v>16</c:v>
                </c:pt>
                <c:pt idx="3">
                  <c:v>16</c:v>
                </c:pt>
                <c:pt idx="4">
                  <c:v>16</c:v>
                </c:pt>
                <c:pt idx="5">
                  <c:v>23</c:v>
                </c:pt>
                <c:pt idx="6">
                  <c:v>35</c:v>
                </c:pt>
                <c:pt idx="7">
                  <c:v>41</c:v>
                </c:pt>
                <c:pt idx="8">
                  <c:v>48</c:v>
                </c:pt>
                <c:pt idx="9">
                  <c:v>48</c:v>
                </c:pt>
                <c:pt idx="10">
                  <c:v>51</c:v>
                </c:pt>
                <c:pt idx="11">
                  <c:v>52</c:v>
                </c:pt>
                <c:pt idx="12">
                  <c:v>52</c:v>
                </c:pt>
                <c:pt idx="13">
                  <c:v>54</c:v>
                </c:pt>
                <c:pt idx="14">
                  <c:v>62</c:v>
                </c:pt>
                <c:pt idx="15">
                  <c:v>68</c:v>
                </c:pt>
                <c:pt idx="16">
                  <c:v>68</c:v>
                </c:pt>
                <c:pt idx="17">
                  <c:v>68</c:v>
                </c:pt>
                <c:pt idx="18">
                  <c:v>68</c:v>
                </c:pt>
                <c:pt idx="19">
                  <c:v>68</c:v>
                </c:pt>
                <c:pt idx="20">
                  <c:v>68</c:v>
                </c:pt>
                <c:pt idx="21">
                  <c:v>68</c:v>
                </c:pt>
                <c:pt idx="22">
                  <c:v>68</c:v>
                </c:pt>
                <c:pt idx="23">
                  <c:v>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1E1-4675-894E-DF87145B9458}"/>
            </c:ext>
          </c:extLst>
        </c:ser>
        <c:ser>
          <c:idx val="6"/>
          <c:order val="6"/>
          <c:tx>
            <c:strRef>
              <c:f>'Dummy Chart'!$B$36</c:f>
              <c:strCache>
                <c:ptCount val="1"/>
                <c:pt idx="0">
                  <c:v>Haas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'Dummy Chart'!$D$29:$Z$29</c:f>
              <c:strCache>
                <c:ptCount val="23"/>
                <c:pt idx="0">
                  <c:v>CHI</c:v>
                </c:pt>
                <c:pt idx="1">
                  <c:v>JAP</c:v>
                </c:pt>
                <c:pt idx="2">
                  <c:v>BAH</c:v>
                </c:pt>
                <c:pt idx="3">
                  <c:v>SAU</c:v>
                </c:pt>
                <c:pt idx="4">
                  <c:v>MIA</c:v>
                </c:pt>
                <c:pt idx="5">
                  <c:v>CAN</c:v>
                </c:pt>
                <c:pt idx="6">
                  <c:v>MON</c:v>
                </c:pt>
                <c:pt idx="7">
                  <c:v>ESP</c:v>
                </c:pt>
                <c:pt idx="8">
                  <c:v>AUT</c:v>
                </c:pt>
                <c:pt idx="9">
                  <c:v>ING</c:v>
                </c:pt>
                <c:pt idx="10">
                  <c:v>BEL</c:v>
                </c:pt>
                <c:pt idx="11">
                  <c:v>HUN</c:v>
                </c:pt>
                <c:pt idx="12">
                  <c:v>HOL</c:v>
                </c:pt>
                <c:pt idx="13">
                  <c:v>MAD</c:v>
                </c:pt>
                <c:pt idx="14">
                  <c:v>ITA</c:v>
                </c:pt>
                <c:pt idx="15">
                  <c:v>AZE</c:v>
                </c:pt>
                <c:pt idx="16">
                  <c:v>SIN</c:v>
                </c:pt>
                <c:pt idx="17">
                  <c:v>USA</c:v>
                </c:pt>
                <c:pt idx="18">
                  <c:v>MEX</c:v>
                </c:pt>
                <c:pt idx="19">
                  <c:v>SÃO</c:v>
                </c:pt>
                <c:pt idx="20">
                  <c:v>VEG</c:v>
                </c:pt>
                <c:pt idx="21">
                  <c:v>QAT</c:v>
                </c:pt>
                <c:pt idx="22">
                  <c:v>ABU</c:v>
                </c:pt>
              </c:strCache>
            </c:strRef>
          </c:cat>
          <c:val>
            <c:numRef>
              <c:f>'Dummy Chart'!$C$36:$Z$36</c:f>
              <c:numCache>
                <c:formatCode>General</c:formatCode>
                <c:ptCount val="24"/>
                <c:pt idx="0">
                  <c:v>6</c:v>
                </c:pt>
                <c:pt idx="1">
                  <c:v>17</c:v>
                </c:pt>
                <c:pt idx="2">
                  <c:v>18</c:v>
                </c:pt>
                <c:pt idx="3">
                  <c:v>18</c:v>
                </c:pt>
                <c:pt idx="4">
                  <c:v>18</c:v>
                </c:pt>
                <c:pt idx="5">
                  <c:v>18</c:v>
                </c:pt>
                <c:pt idx="6">
                  <c:v>19</c:v>
                </c:pt>
                <c:pt idx="7">
                  <c:v>21</c:v>
                </c:pt>
                <c:pt idx="8">
                  <c:v>21</c:v>
                </c:pt>
                <c:pt idx="9">
                  <c:v>21</c:v>
                </c:pt>
                <c:pt idx="10">
                  <c:v>21</c:v>
                </c:pt>
                <c:pt idx="11">
                  <c:v>21</c:v>
                </c:pt>
                <c:pt idx="12">
                  <c:v>21</c:v>
                </c:pt>
                <c:pt idx="13">
                  <c:v>21</c:v>
                </c:pt>
                <c:pt idx="14">
                  <c:v>21</c:v>
                </c:pt>
                <c:pt idx="15">
                  <c:v>21</c:v>
                </c:pt>
                <c:pt idx="16">
                  <c:v>27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1E1-4675-894E-DF87145B9458}"/>
            </c:ext>
          </c:extLst>
        </c:ser>
        <c:ser>
          <c:idx val="7"/>
          <c:order val="7"/>
          <c:tx>
            <c:strRef>
              <c:f>'Dummy Chart'!$B$37</c:f>
              <c:strCache>
                <c:ptCount val="1"/>
                <c:pt idx="0">
                  <c:v>Audi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'Dummy Chart'!$D$29:$Z$29</c:f>
              <c:strCache>
                <c:ptCount val="23"/>
                <c:pt idx="0">
                  <c:v>CHI</c:v>
                </c:pt>
                <c:pt idx="1">
                  <c:v>JAP</c:v>
                </c:pt>
                <c:pt idx="2">
                  <c:v>BAH</c:v>
                </c:pt>
                <c:pt idx="3">
                  <c:v>SAU</c:v>
                </c:pt>
                <c:pt idx="4">
                  <c:v>MIA</c:v>
                </c:pt>
                <c:pt idx="5">
                  <c:v>CAN</c:v>
                </c:pt>
                <c:pt idx="6">
                  <c:v>MON</c:v>
                </c:pt>
                <c:pt idx="7">
                  <c:v>ESP</c:v>
                </c:pt>
                <c:pt idx="8">
                  <c:v>AUT</c:v>
                </c:pt>
                <c:pt idx="9">
                  <c:v>ING</c:v>
                </c:pt>
                <c:pt idx="10">
                  <c:v>BEL</c:v>
                </c:pt>
                <c:pt idx="11">
                  <c:v>HUN</c:v>
                </c:pt>
                <c:pt idx="12">
                  <c:v>HOL</c:v>
                </c:pt>
                <c:pt idx="13">
                  <c:v>MAD</c:v>
                </c:pt>
                <c:pt idx="14">
                  <c:v>ITA</c:v>
                </c:pt>
                <c:pt idx="15">
                  <c:v>AZE</c:v>
                </c:pt>
                <c:pt idx="16">
                  <c:v>SIN</c:v>
                </c:pt>
                <c:pt idx="17">
                  <c:v>USA</c:v>
                </c:pt>
                <c:pt idx="18">
                  <c:v>MEX</c:v>
                </c:pt>
                <c:pt idx="19">
                  <c:v>SÃO</c:v>
                </c:pt>
                <c:pt idx="20">
                  <c:v>VEG</c:v>
                </c:pt>
                <c:pt idx="21">
                  <c:v>QAT</c:v>
                </c:pt>
                <c:pt idx="22">
                  <c:v>ABU</c:v>
                </c:pt>
              </c:strCache>
            </c:strRef>
          </c:cat>
          <c:val>
            <c:numRef>
              <c:f>'Dummy Chart'!$C$37:$Z$37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6</c:v>
                </c:pt>
                <c:pt idx="11">
                  <c:v>10</c:v>
                </c:pt>
                <c:pt idx="12">
                  <c:v>12</c:v>
                </c:pt>
                <c:pt idx="13">
                  <c:v>16</c:v>
                </c:pt>
                <c:pt idx="14">
                  <c:v>16</c:v>
                </c:pt>
                <c:pt idx="15">
                  <c:v>17</c:v>
                </c:pt>
                <c:pt idx="16">
                  <c:v>17</c:v>
                </c:pt>
                <c:pt idx="17">
                  <c:v>23</c:v>
                </c:pt>
                <c:pt idx="18">
                  <c:v>23</c:v>
                </c:pt>
                <c:pt idx="19">
                  <c:v>23</c:v>
                </c:pt>
                <c:pt idx="20">
                  <c:v>23</c:v>
                </c:pt>
                <c:pt idx="21">
                  <c:v>23</c:v>
                </c:pt>
                <c:pt idx="22">
                  <c:v>23</c:v>
                </c:pt>
                <c:pt idx="23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1E1-4675-894E-DF87145B9458}"/>
            </c:ext>
          </c:extLst>
        </c:ser>
        <c:ser>
          <c:idx val="8"/>
          <c:order val="8"/>
          <c:tx>
            <c:strRef>
              <c:f>'Dummy Chart'!$B$38</c:f>
              <c:strCache>
                <c:ptCount val="1"/>
                <c:pt idx="0">
                  <c:v>Williams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'Dummy Chart'!$D$29:$Z$29</c:f>
              <c:strCache>
                <c:ptCount val="23"/>
                <c:pt idx="0">
                  <c:v>CHI</c:v>
                </c:pt>
                <c:pt idx="1">
                  <c:v>JAP</c:v>
                </c:pt>
                <c:pt idx="2">
                  <c:v>BAH</c:v>
                </c:pt>
                <c:pt idx="3">
                  <c:v>SAU</c:v>
                </c:pt>
                <c:pt idx="4">
                  <c:v>MIA</c:v>
                </c:pt>
                <c:pt idx="5">
                  <c:v>CAN</c:v>
                </c:pt>
                <c:pt idx="6">
                  <c:v>MON</c:v>
                </c:pt>
                <c:pt idx="7">
                  <c:v>ESP</c:v>
                </c:pt>
                <c:pt idx="8">
                  <c:v>AUT</c:v>
                </c:pt>
                <c:pt idx="9">
                  <c:v>ING</c:v>
                </c:pt>
                <c:pt idx="10">
                  <c:v>BEL</c:v>
                </c:pt>
                <c:pt idx="11">
                  <c:v>HUN</c:v>
                </c:pt>
                <c:pt idx="12">
                  <c:v>HOL</c:v>
                </c:pt>
                <c:pt idx="13">
                  <c:v>MAD</c:v>
                </c:pt>
                <c:pt idx="14">
                  <c:v>ITA</c:v>
                </c:pt>
                <c:pt idx="15">
                  <c:v>AZE</c:v>
                </c:pt>
                <c:pt idx="16">
                  <c:v>SIN</c:v>
                </c:pt>
                <c:pt idx="17">
                  <c:v>USA</c:v>
                </c:pt>
                <c:pt idx="18">
                  <c:v>MEX</c:v>
                </c:pt>
                <c:pt idx="19">
                  <c:v>SÃO</c:v>
                </c:pt>
                <c:pt idx="20">
                  <c:v>VEG</c:v>
                </c:pt>
                <c:pt idx="21">
                  <c:v>QAT</c:v>
                </c:pt>
                <c:pt idx="22">
                  <c:v>ABU</c:v>
                </c:pt>
              </c:strCache>
            </c:strRef>
          </c:cat>
          <c:val>
            <c:numRef>
              <c:f>'Dummy Chart'!$C$38:$Z$38</c:f>
              <c:numCache>
                <c:formatCode>General</c:formatCode>
                <c:ptCount val="24"/>
                <c:pt idx="0">
                  <c:v>0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5</c:v>
                </c:pt>
                <c:pt idx="6">
                  <c:v>7</c:v>
                </c:pt>
                <c:pt idx="7">
                  <c:v>11</c:v>
                </c:pt>
                <c:pt idx="8">
                  <c:v>11</c:v>
                </c:pt>
                <c:pt idx="9">
                  <c:v>11</c:v>
                </c:pt>
                <c:pt idx="10">
                  <c:v>11</c:v>
                </c:pt>
                <c:pt idx="11">
                  <c:v>11</c:v>
                </c:pt>
                <c:pt idx="12">
                  <c:v>11</c:v>
                </c:pt>
                <c:pt idx="13">
                  <c:v>11</c:v>
                </c:pt>
                <c:pt idx="14">
                  <c:v>11</c:v>
                </c:pt>
                <c:pt idx="15">
                  <c:v>11</c:v>
                </c:pt>
                <c:pt idx="16">
                  <c:v>12</c:v>
                </c:pt>
                <c:pt idx="17">
                  <c:v>12</c:v>
                </c:pt>
                <c:pt idx="18">
                  <c:v>12</c:v>
                </c:pt>
                <c:pt idx="19">
                  <c:v>12</c:v>
                </c:pt>
                <c:pt idx="20">
                  <c:v>12</c:v>
                </c:pt>
                <c:pt idx="21">
                  <c:v>12</c:v>
                </c:pt>
                <c:pt idx="22">
                  <c:v>12</c:v>
                </c:pt>
                <c:pt idx="23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1E1-4675-894E-DF87145B9458}"/>
            </c:ext>
          </c:extLst>
        </c:ser>
        <c:ser>
          <c:idx val="9"/>
          <c:order val="9"/>
          <c:tx>
            <c:strRef>
              <c:f>'Dummy Chart'!$B$39</c:f>
              <c:strCache>
                <c:ptCount val="1"/>
                <c:pt idx="0">
                  <c:v>Aston Martin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'Dummy Chart'!$D$29:$Z$29</c:f>
              <c:strCache>
                <c:ptCount val="23"/>
                <c:pt idx="0">
                  <c:v>CHI</c:v>
                </c:pt>
                <c:pt idx="1">
                  <c:v>JAP</c:v>
                </c:pt>
                <c:pt idx="2">
                  <c:v>BAH</c:v>
                </c:pt>
                <c:pt idx="3">
                  <c:v>SAU</c:v>
                </c:pt>
                <c:pt idx="4">
                  <c:v>MIA</c:v>
                </c:pt>
                <c:pt idx="5">
                  <c:v>CAN</c:v>
                </c:pt>
                <c:pt idx="6">
                  <c:v>MON</c:v>
                </c:pt>
                <c:pt idx="7">
                  <c:v>ESP</c:v>
                </c:pt>
                <c:pt idx="8">
                  <c:v>AUT</c:v>
                </c:pt>
                <c:pt idx="9">
                  <c:v>ING</c:v>
                </c:pt>
                <c:pt idx="10">
                  <c:v>BEL</c:v>
                </c:pt>
                <c:pt idx="11">
                  <c:v>HUN</c:v>
                </c:pt>
                <c:pt idx="12">
                  <c:v>HOL</c:v>
                </c:pt>
                <c:pt idx="13">
                  <c:v>MAD</c:v>
                </c:pt>
                <c:pt idx="14">
                  <c:v>ITA</c:v>
                </c:pt>
                <c:pt idx="15">
                  <c:v>AZE</c:v>
                </c:pt>
                <c:pt idx="16">
                  <c:v>SIN</c:v>
                </c:pt>
                <c:pt idx="17">
                  <c:v>USA</c:v>
                </c:pt>
                <c:pt idx="18">
                  <c:v>MEX</c:v>
                </c:pt>
                <c:pt idx="19">
                  <c:v>SÃO</c:v>
                </c:pt>
                <c:pt idx="20">
                  <c:v>VEG</c:v>
                </c:pt>
                <c:pt idx="21">
                  <c:v>QAT</c:v>
                </c:pt>
                <c:pt idx="22">
                  <c:v>ABU</c:v>
                </c:pt>
              </c:strCache>
            </c:strRef>
          </c:cat>
          <c:val>
            <c:numRef>
              <c:f>'Dummy Chart'!$C$39:$Z$39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7</c:v>
                </c:pt>
                <c:pt idx="14">
                  <c:v>7</c:v>
                </c:pt>
                <c:pt idx="15">
                  <c:v>7</c:v>
                </c:pt>
                <c:pt idx="16">
                  <c:v>7</c:v>
                </c:pt>
                <c:pt idx="17">
                  <c:v>7</c:v>
                </c:pt>
                <c:pt idx="18">
                  <c:v>7</c:v>
                </c:pt>
                <c:pt idx="19">
                  <c:v>7</c:v>
                </c:pt>
                <c:pt idx="20">
                  <c:v>7</c:v>
                </c:pt>
                <c:pt idx="21">
                  <c:v>7</c:v>
                </c:pt>
                <c:pt idx="22">
                  <c:v>7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1E1-4675-894E-DF87145B9458}"/>
            </c:ext>
          </c:extLst>
        </c:ser>
        <c:ser>
          <c:idx val="10"/>
          <c:order val="10"/>
          <c:tx>
            <c:strRef>
              <c:f>'Dummy Chart'!$B$43</c:f>
              <c:strCache>
                <c:ptCount val="1"/>
                <c:pt idx="0">
                  <c:v>🏆 Título</c:v>
                </c:pt>
              </c:strCache>
            </c:strRef>
          </c:tx>
          <c:spPr>
            <a:ln w="31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'Dummy Chart'!$C$43:$Z$43</c:f>
              <c:numCache>
                <c:formatCode>General</c:formatCode>
                <c:ptCount val="24"/>
                <c:pt idx="0">
                  <c:v>263</c:v>
                </c:pt>
                <c:pt idx="1">
                  <c:v>263</c:v>
                </c:pt>
                <c:pt idx="2">
                  <c:v>263</c:v>
                </c:pt>
                <c:pt idx="3">
                  <c:v>263</c:v>
                </c:pt>
                <c:pt idx="4">
                  <c:v>263</c:v>
                </c:pt>
                <c:pt idx="5">
                  <c:v>263</c:v>
                </c:pt>
                <c:pt idx="6">
                  <c:v>263</c:v>
                </c:pt>
                <c:pt idx="7">
                  <c:v>263</c:v>
                </c:pt>
                <c:pt idx="8">
                  <c:v>263</c:v>
                </c:pt>
                <c:pt idx="9">
                  <c:v>263</c:v>
                </c:pt>
                <c:pt idx="10">
                  <c:v>263</c:v>
                </c:pt>
                <c:pt idx="11">
                  <c:v>263</c:v>
                </c:pt>
                <c:pt idx="12">
                  <c:v>263</c:v>
                </c:pt>
                <c:pt idx="13">
                  <c:v>263</c:v>
                </c:pt>
                <c:pt idx="14">
                  <c:v>263</c:v>
                </c:pt>
                <c:pt idx="15">
                  <c:v>263</c:v>
                </c:pt>
                <c:pt idx="16">
                  <c:v>263</c:v>
                </c:pt>
                <c:pt idx="17">
                  <c:v>263</c:v>
                </c:pt>
                <c:pt idx="18">
                  <c:v>263</c:v>
                </c:pt>
                <c:pt idx="19">
                  <c:v>263</c:v>
                </c:pt>
                <c:pt idx="20">
                  <c:v>263</c:v>
                </c:pt>
                <c:pt idx="21">
                  <c:v>263</c:v>
                </c:pt>
                <c:pt idx="22">
                  <c:v>263</c:v>
                </c:pt>
                <c:pt idx="23">
                  <c:v>263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91-4765-9881-2B81E0E0C2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0582863"/>
        <c:axId val="1670580463"/>
      </c:lineChart>
      <c:catAx>
        <c:axId val="1670582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70580463"/>
        <c:crosses val="autoZero"/>
        <c:auto val="1"/>
        <c:lblAlgn val="ctr"/>
        <c:lblOffset val="100"/>
        <c:noMultiLvlLbl val="0"/>
      </c:catAx>
      <c:valAx>
        <c:axId val="1670580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70582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layout>
        <c:manualLayout>
          <c:xMode val="edge"/>
          <c:yMode val="edge"/>
          <c:x val="2.9986111111111113E-2"/>
          <c:y val="1.7906805555555554E-2"/>
          <c:w val="6.8977083333333328E-2"/>
          <c:h val="0.32742416666666668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zero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formula1.com/en/racing/2019/Canada.html" TargetMode="External"/><Relationship Id="rId13" Type="http://schemas.openxmlformats.org/officeDocument/2006/relationships/hyperlink" Target="https://www.formula1.com/en/racing/2019/Hungary.html" TargetMode="External"/><Relationship Id="rId18" Type="http://schemas.openxmlformats.org/officeDocument/2006/relationships/hyperlink" Target="https://www.formula1.com/en/racing/2019/Japan.html" TargetMode="External"/><Relationship Id="rId3" Type="http://schemas.openxmlformats.org/officeDocument/2006/relationships/hyperlink" Target="https://www.formula1.com/en/racing/2019/Bahrain.html" TargetMode="External"/><Relationship Id="rId21" Type="http://schemas.openxmlformats.org/officeDocument/2006/relationships/hyperlink" Target="https://www.formula1.com/en/racing/2019/Brazil.html" TargetMode="External"/><Relationship Id="rId7" Type="http://schemas.openxmlformats.org/officeDocument/2006/relationships/hyperlink" Target="https://www.formula1.com/en/racing/2019/Monaco.html" TargetMode="External"/><Relationship Id="rId12" Type="http://schemas.openxmlformats.org/officeDocument/2006/relationships/hyperlink" Target="https://www.formula1.com/en/racing/2019/Germany.html" TargetMode="External"/><Relationship Id="rId17" Type="http://schemas.openxmlformats.org/officeDocument/2006/relationships/hyperlink" Target="https://www.formula1.com/en/racing/2019/Russia.html" TargetMode="External"/><Relationship Id="rId2" Type="http://schemas.openxmlformats.org/officeDocument/2006/relationships/image" Target="../media/image1.gif"/><Relationship Id="rId16" Type="http://schemas.openxmlformats.org/officeDocument/2006/relationships/hyperlink" Target="https://www.formula1.com/en/racing/2019/Singapore.html" TargetMode="External"/><Relationship Id="rId20" Type="http://schemas.openxmlformats.org/officeDocument/2006/relationships/hyperlink" Target="https://www.formula1.com/en/racing/2019/United_States.html" TargetMode="External"/><Relationship Id="rId1" Type="http://schemas.openxmlformats.org/officeDocument/2006/relationships/hyperlink" Target="https://www.formula1.com/en/racing/2019/Australia.html" TargetMode="External"/><Relationship Id="rId6" Type="http://schemas.openxmlformats.org/officeDocument/2006/relationships/hyperlink" Target="https://www.formula1.com/en/racing/2019/Spain.html" TargetMode="External"/><Relationship Id="rId11" Type="http://schemas.openxmlformats.org/officeDocument/2006/relationships/hyperlink" Target="https://www.formula1.com/en/racing/2019/Great_Britain.html" TargetMode="External"/><Relationship Id="rId5" Type="http://schemas.openxmlformats.org/officeDocument/2006/relationships/hyperlink" Target="https://www.formula1.com/en/racing/2019/Azerbaijan.html" TargetMode="External"/><Relationship Id="rId15" Type="http://schemas.openxmlformats.org/officeDocument/2006/relationships/hyperlink" Target="https://www.formula1.com/en/racing/2019/Italy.html" TargetMode="External"/><Relationship Id="rId10" Type="http://schemas.openxmlformats.org/officeDocument/2006/relationships/hyperlink" Target="https://www.formula1.com/en/racing/2019/Austria.html" TargetMode="External"/><Relationship Id="rId19" Type="http://schemas.openxmlformats.org/officeDocument/2006/relationships/hyperlink" Target="https://www.formula1.com/en/racing/2019/Mexico.html" TargetMode="External"/><Relationship Id="rId4" Type="http://schemas.openxmlformats.org/officeDocument/2006/relationships/hyperlink" Target="https://www.formula1.com/en/racing/2019/China.html" TargetMode="External"/><Relationship Id="rId9" Type="http://schemas.openxmlformats.org/officeDocument/2006/relationships/hyperlink" Target="https://www.formula1.com/en/racing/2019/france.html" TargetMode="External"/><Relationship Id="rId14" Type="http://schemas.openxmlformats.org/officeDocument/2006/relationships/hyperlink" Target="https://www.formula1.com/en/racing/2019/Belgium.html" TargetMode="External"/><Relationship Id="rId22" Type="http://schemas.openxmlformats.org/officeDocument/2006/relationships/hyperlink" Target="https://www.formula1.com/en/racing/2019/Abu_Dhabi.html" TargetMode="Externa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5.png"/><Relationship Id="rId3" Type="http://schemas.openxmlformats.org/officeDocument/2006/relationships/image" Target="../media/image4.png"/><Relationship Id="rId21" Type="http://schemas.openxmlformats.org/officeDocument/2006/relationships/image" Target="../media/image21.png"/><Relationship Id="rId7" Type="http://schemas.openxmlformats.org/officeDocument/2006/relationships/image" Target="../media/image8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hyperlink" Target="https://beacons.ai/pechincharei" TargetMode="External"/><Relationship Id="rId2" Type="http://schemas.openxmlformats.org/officeDocument/2006/relationships/image" Target="../media/image3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2.png"/><Relationship Id="rId6" Type="http://schemas.openxmlformats.org/officeDocument/2006/relationships/image" Target="../media/image7.jpe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hyperlink" Target="https://x.com/gtspeedsite" TargetMode="External"/><Relationship Id="rId19" Type="http://schemas.openxmlformats.org/officeDocument/2006/relationships/image" Target="../media/image19.png"/><Relationship Id="rId4" Type="http://schemas.openxmlformats.org/officeDocument/2006/relationships/image" Target="../media/image5.png"/><Relationship Id="rId9" Type="http://schemas.openxmlformats.org/officeDocument/2006/relationships/image" Target="../media/image10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microsoft.com/office/2007/relationships/hdphoto" Target="../media/hdphoto1.wdp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33.gif"/><Relationship Id="rId13" Type="http://schemas.openxmlformats.org/officeDocument/2006/relationships/image" Target="../media/image38.gif"/><Relationship Id="rId3" Type="http://schemas.openxmlformats.org/officeDocument/2006/relationships/image" Target="../media/image28.gif"/><Relationship Id="rId7" Type="http://schemas.openxmlformats.org/officeDocument/2006/relationships/image" Target="../media/image32.gif"/><Relationship Id="rId12" Type="http://schemas.openxmlformats.org/officeDocument/2006/relationships/image" Target="../media/image37.gif"/><Relationship Id="rId2" Type="http://schemas.openxmlformats.org/officeDocument/2006/relationships/image" Target="../media/image27.gif"/><Relationship Id="rId16" Type="http://schemas.openxmlformats.org/officeDocument/2006/relationships/image" Target="../media/image41.png"/><Relationship Id="rId1" Type="http://schemas.openxmlformats.org/officeDocument/2006/relationships/image" Target="../media/image26.gif"/><Relationship Id="rId6" Type="http://schemas.openxmlformats.org/officeDocument/2006/relationships/image" Target="../media/image31.gif"/><Relationship Id="rId11" Type="http://schemas.openxmlformats.org/officeDocument/2006/relationships/image" Target="../media/image36.gif"/><Relationship Id="rId5" Type="http://schemas.openxmlformats.org/officeDocument/2006/relationships/image" Target="../media/image30.gif"/><Relationship Id="rId15" Type="http://schemas.openxmlformats.org/officeDocument/2006/relationships/image" Target="../media/image40.gif"/><Relationship Id="rId10" Type="http://schemas.openxmlformats.org/officeDocument/2006/relationships/image" Target="../media/image35.gif"/><Relationship Id="rId4" Type="http://schemas.openxmlformats.org/officeDocument/2006/relationships/image" Target="../media/image29.gif"/><Relationship Id="rId9" Type="http://schemas.openxmlformats.org/officeDocument/2006/relationships/image" Target="../media/image34.gif"/><Relationship Id="rId14" Type="http://schemas.openxmlformats.org/officeDocument/2006/relationships/image" Target="../media/image39.gif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13.png"/><Relationship Id="rId13" Type="http://schemas.openxmlformats.org/officeDocument/2006/relationships/image" Target="../media/image49.png"/><Relationship Id="rId3" Type="http://schemas.openxmlformats.org/officeDocument/2006/relationships/image" Target="../media/image43.png"/><Relationship Id="rId7" Type="http://schemas.openxmlformats.org/officeDocument/2006/relationships/image" Target="../media/image45.png"/><Relationship Id="rId12" Type="http://schemas.openxmlformats.org/officeDocument/2006/relationships/image" Target="../media/image14.png"/><Relationship Id="rId2" Type="http://schemas.openxmlformats.org/officeDocument/2006/relationships/image" Target="../media/image42.png"/><Relationship Id="rId1" Type="http://schemas.openxmlformats.org/officeDocument/2006/relationships/image" Target="../media/image41.png"/><Relationship Id="rId6" Type="http://schemas.openxmlformats.org/officeDocument/2006/relationships/image" Target="../media/image12.png"/><Relationship Id="rId11" Type="http://schemas.openxmlformats.org/officeDocument/2006/relationships/image" Target="../media/image48.png"/><Relationship Id="rId5" Type="http://schemas.openxmlformats.org/officeDocument/2006/relationships/image" Target="../media/image19.png"/><Relationship Id="rId10" Type="http://schemas.openxmlformats.org/officeDocument/2006/relationships/image" Target="../media/image47.png"/><Relationship Id="rId4" Type="http://schemas.openxmlformats.org/officeDocument/2006/relationships/image" Target="../media/image44.png"/><Relationship Id="rId9" Type="http://schemas.openxmlformats.org/officeDocument/2006/relationships/image" Target="../media/image46.png"/><Relationship Id="rId14" Type="http://schemas.openxmlformats.org/officeDocument/2006/relationships/image" Target="../media/image5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</xdr:row>
      <xdr:rowOff>0</xdr:rowOff>
    </xdr:from>
    <xdr:to>
      <xdr:col>3</xdr:col>
      <xdr:colOff>152400</xdr:colOff>
      <xdr:row>1</xdr:row>
      <xdr:rowOff>85725</xdr:rowOff>
    </xdr:to>
    <xdr:pic>
      <xdr:nvPicPr>
        <xdr:cNvPr id="2" name="Imagem 1" descr="https://www.formula1.com/etc/designs/fom-website/images/temp-16x9.gif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52400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</xdr:row>
      <xdr:rowOff>0</xdr:rowOff>
    </xdr:from>
    <xdr:to>
      <xdr:col>3</xdr:col>
      <xdr:colOff>152400</xdr:colOff>
      <xdr:row>2</xdr:row>
      <xdr:rowOff>85725</xdr:rowOff>
    </xdr:to>
    <xdr:pic>
      <xdr:nvPicPr>
        <xdr:cNvPr id="3" name="Imagem 2" descr="https://www.formula1.com/etc/designs/fom-website/images/temp-16x9.gif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1925"/>
          <a:ext cx="152400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152400</xdr:colOff>
      <xdr:row>3</xdr:row>
      <xdr:rowOff>85725</xdr:rowOff>
    </xdr:to>
    <xdr:pic>
      <xdr:nvPicPr>
        <xdr:cNvPr id="4" name="Imagem 3" descr="https://www.formula1.com/etc/designs/fom-website/images/temp-16x9.gif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3850"/>
          <a:ext cx="152400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152400</xdr:colOff>
      <xdr:row>4</xdr:row>
      <xdr:rowOff>85725</xdr:rowOff>
    </xdr:to>
    <xdr:pic>
      <xdr:nvPicPr>
        <xdr:cNvPr id="5" name="Imagem 4" descr="https://www.formula1.com/etc/designs/fom-website/images/temp-16x9.gif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5775"/>
          <a:ext cx="152400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152400</xdr:colOff>
      <xdr:row>5</xdr:row>
      <xdr:rowOff>85725</xdr:rowOff>
    </xdr:to>
    <xdr:pic>
      <xdr:nvPicPr>
        <xdr:cNvPr id="6" name="Imagem 5" descr="https://www.formula1.com/etc/designs/fom-website/images/temp-16x9.gif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47700"/>
          <a:ext cx="152400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152400</xdr:colOff>
      <xdr:row>6</xdr:row>
      <xdr:rowOff>85725</xdr:rowOff>
    </xdr:to>
    <xdr:pic>
      <xdr:nvPicPr>
        <xdr:cNvPr id="7" name="Imagem 6" descr="https://www.formula1.com/etc/designs/fom-website/images/temp-16x9.gif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9625"/>
          <a:ext cx="152400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152400</xdr:colOff>
      <xdr:row>7</xdr:row>
      <xdr:rowOff>85725</xdr:rowOff>
    </xdr:to>
    <xdr:pic>
      <xdr:nvPicPr>
        <xdr:cNvPr id="8" name="Imagem 7" descr="https://www.formula1.com/etc/designs/fom-website/images/temp-16x9.gif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71550"/>
          <a:ext cx="152400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152400</xdr:colOff>
      <xdr:row>8</xdr:row>
      <xdr:rowOff>85725</xdr:rowOff>
    </xdr:to>
    <xdr:pic>
      <xdr:nvPicPr>
        <xdr:cNvPr id="9" name="Imagem 8" descr="https://www.formula1.com/etc/designs/fom-website/images/temp-16x9.gif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33475"/>
          <a:ext cx="152400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152400</xdr:colOff>
      <xdr:row>9</xdr:row>
      <xdr:rowOff>85725</xdr:rowOff>
    </xdr:to>
    <xdr:pic>
      <xdr:nvPicPr>
        <xdr:cNvPr id="10" name="Imagem 9" descr="https://www.formula1.com/etc/designs/fom-website/images/temp-16x9.gif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95400"/>
          <a:ext cx="152400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152400</xdr:colOff>
      <xdr:row>10</xdr:row>
      <xdr:rowOff>85725</xdr:rowOff>
    </xdr:to>
    <xdr:pic>
      <xdr:nvPicPr>
        <xdr:cNvPr id="11" name="Imagem 10" descr="https://www.formula1.com/etc/designs/fom-website/images/temp-16x9.gif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57325"/>
          <a:ext cx="152400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152400</xdr:colOff>
      <xdr:row>11</xdr:row>
      <xdr:rowOff>85725</xdr:rowOff>
    </xdr:to>
    <xdr:pic>
      <xdr:nvPicPr>
        <xdr:cNvPr id="12" name="Imagem 11" descr="https://www.formula1.com/etc/designs/fom-website/images/temp-16x9.gif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19250"/>
          <a:ext cx="152400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152400</xdr:colOff>
      <xdr:row>12</xdr:row>
      <xdr:rowOff>85725</xdr:rowOff>
    </xdr:to>
    <xdr:pic>
      <xdr:nvPicPr>
        <xdr:cNvPr id="13" name="Imagem 12" descr="https://www.formula1.com/etc/designs/fom-website/images/temp-16x9.gif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81175"/>
          <a:ext cx="152400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152400</xdr:colOff>
      <xdr:row>13</xdr:row>
      <xdr:rowOff>85725</xdr:rowOff>
    </xdr:to>
    <xdr:pic>
      <xdr:nvPicPr>
        <xdr:cNvPr id="14" name="Imagem 13" descr="https://www.formula1.com/etc/designs/fom-website/images/temp-16x9.gif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3100"/>
          <a:ext cx="152400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152400</xdr:colOff>
      <xdr:row>14</xdr:row>
      <xdr:rowOff>85725</xdr:rowOff>
    </xdr:to>
    <xdr:pic>
      <xdr:nvPicPr>
        <xdr:cNvPr id="15" name="Imagem 14" descr="https://www.formula1.com/etc/designs/fom-website/images/temp-16x9.gif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05025"/>
          <a:ext cx="152400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152400</xdr:colOff>
      <xdr:row>15</xdr:row>
      <xdr:rowOff>85725</xdr:rowOff>
    </xdr:to>
    <xdr:pic>
      <xdr:nvPicPr>
        <xdr:cNvPr id="16" name="Imagem 15" descr="https://www.formula1.com/etc/designs/fom-website/images/temp-16x9.gif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66950"/>
          <a:ext cx="152400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152400</xdr:colOff>
      <xdr:row>16</xdr:row>
      <xdr:rowOff>85725</xdr:rowOff>
    </xdr:to>
    <xdr:pic>
      <xdr:nvPicPr>
        <xdr:cNvPr id="17" name="Imagem 16" descr="https://www.formula1.com/etc/designs/fom-website/images/temp-16x9.gif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28875"/>
          <a:ext cx="152400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152400</xdr:colOff>
      <xdr:row>17</xdr:row>
      <xdr:rowOff>85725</xdr:rowOff>
    </xdr:to>
    <xdr:pic>
      <xdr:nvPicPr>
        <xdr:cNvPr id="18" name="Imagem 17" descr="https://www.formula1.com/etc/designs/fom-website/images/temp-16x9.gif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90800"/>
          <a:ext cx="152400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152400</xdr:colOff>
      <xdr:row>18</xdr:row>
      <xdr:rowOff>85725</xdr:rowOff>
    </xdr:to>
    <xdr:pic>
      <xdr:nvPicPr>
        <xdr:cNvPr id="19" name="Imagem 18" descr="https://www.formula1.com/etc/designs/fom-website/images/temp-16x9.gif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52725"/>
          <a:ext cx="152400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152400</xdr:colOff>
      <xdr:row>19</xdr:row>
      <xdr:rowOff>85725</xdr:rowOff>
    </xdr:to>
    <xdr:pic>
      <xdr:nvPicPr>
        <xdr:cNvPr id="20" name="Imagem 19" descr="https://www.formula1.com/etc/designs/fom-website/images/temp-16x9.gif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14650"/>
          <a:ext cx="152400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152400</xdr:colOff>
      <xdr:row>20</xdr:row>
      <xdr:rowOff>85725</xdr:rowOff>
    </xdr:to>
    <xdr:pic>
      <xdr:nvPicPr>
        <xdr:cNvPr id="21" name="Imagem 20" descr="https://www.formula1.com/etc/designs/fom-website/images/temp-16x9.gif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76575"/>
          <a:ext cx="152400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152400</xdr:colOff>
      <xdr:row>21</xdr:row>
      <xdr:rowOff>85725</xdr:rowOff>
    </xdr:to>
    <xdr:pic>
      <xdr:nvPicPr>
        <xdr:cNvPr id="22" name="Imagem 21" descr="https://www.formula1.com/etc/designs/fom-website/images/temp-16x9.gif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38500"/>
          <a:ext cx="152400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3</xdr:col>
      <xdr:colOff>0</xdr:colOff>
      <xdr:row>1</xdr:row>
      <xdr:rowOff>0</xdr:rowOff>
    </xdr:from>
    <xdr:ext cx="152400" cy="85725"/>
    <xdr:pic>
      <xdr:nvPicPr>
        <xdr:cNvPr id="23" name="Imagem 22" descr="https://www.formula1.com/etc/designs/fom-website/images/temp-16x9.gif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0" y="1457325"/>
          <a:ext cx="152400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17</xdr:row>
      <xdr:rowOff>0</xdr:rowOff>
    </xdr:from>
    <xdr:ext cx="152400" cy="85725"/>
    <xdr:pic>
      <xdr:nvPicPr>
        <xdr:cNvPr id="24" name="Imagem 23" descr="https://www.formula1.com/etc/designs/fom-website/images/temp-16x9.gif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0" y="323850"/>
          <a:ext cx="152400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20</xdr:row>
      <xdr:rowOff>0</xdr:rowOff>
    </xdr:from>
    <xdr:ext cx="152400" cy="85725"/>
    <xdr:pic>
      <xdr:nvPicPr>
        <xdr:cNvPr id="25" name="Imagem 24" descr="https://www.formula1.com/etc/designs/fom-website/images/temp-16x9.gif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0" y="2752725"/>
          <a:ext cx="152400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20</xdr:row>
      <xdr:rowOff>0</xdr:rowOff>
    </xdr:from>
    <xdr:ext cx="152400" cy="85725"/>
    <xdr:pic>
      <xdr:nvPicPr>
        <xdr:cNvPr id="26" name="Imagem 25" descr="https://www.formula1.com/etc/designs/fom-website/images/temp-16x9.gif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0" y="2752725"/>
          <a:ext cx="152400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152400" cy="85725"/>
    <xdr:pic>
      <xdr:nvPicPr>
        <xdr:cNvPr id="27" name="Imagem 26" descr="https://www.formula1.com/etc/designs/fom-website/images/temp-16x9.gif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0" y="161925"/>
          <a:ext cx="152400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152400" cy="85725"/>
    <xdr:pic>
      <xdr:nvPicPr>
        <xdr:cNvPr id="28" name="Imagem 27" descr="https://www.formula1.com/etc/designs/fom-website/images/temp-16x9.gif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0" y="161925"/>
          <a:ext cx="152400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52400" cy="85725"/>
    <xdr:pic>
      <xdr:nvPicPr>
        <xdr:cNvPr id="29" name="Imagem 28" descr="https://www.formula1.com/etc/designs/fom-website/images/temp-16x9.gif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0" y="1943100"/>
          <a:ext cx="152400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18</xdr:row>
      <xdr:rowOff>0</xdr:rowOff>
    </xdr:from>
    <xdr:ext cx="152400" cy="85725"/>
    <xdr:pic>
      <xdr:nvPicPr>
        <xdr:cNvPr id="30" name="Imagem 29" descr="https://www.formula1.com/etc/designs/fom-website/images/temp-16x9.gif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0" y="647700"/>
          <a:ext cx="152400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19</xdr:row>
      <xdr:rowOff>0</xdr:rowOff>
    </xdr:from>
    <xdr:ext cx="152400" cy="85725"/>
    <xdr:pic>
      <xdr:nvPicPr>
        <xdr:cNvPr id="31" name="Imagem 30" descr="https://www.formula1.com/etc/designs/fom-website/images/temp-16x9.gif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0" y="809625"/>
          <a:ext cx="152400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52400" cy="85725"/>
    <xdr:pic>
      <xdr:nvPicPr>
        <xdr:cNvPr id="32" name="Imagem 31" descr="https://www.formula1.com/etc/designs/fom-website/images/temp-16x9.gif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0" y="1619250"/>
          <a:ext cx="152400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6</xdr:row>
      <xdr:rowOff>0</xdr:rowOff>
    </xdr:from>
    <xdr:ext cx="152400" cy="85725"/>
    <xdr:pic>
      <xdr:nvPicPr>
        <xdr:cNvPr id="33" name="Imagem 32" descr="https://www.formula1.com/etc/designs/fom-website/images/temp-16x9.gif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0" y="3076575"/>
          <a:ext cx="152400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6</xdr:row>
      <xdr:rowOff>0</xdr:rowOff>
    </xdr:from>
    <xdr:ext cx="152400" cy="85725"/>
    <xdr:pic>
      <xdr:nvPicPr>
        <xdr:cNvPr id="34" name="Imagem 33" descr="https://www.formula1.com/etc/designs/fom-website/images/temp-16x9.gif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0" y="3076575"/>
          <a:ext cx="152400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7</xdr:row>
      <xdr:rowOff>0</xdr:rowOff>
    </xdr:from>
    <xdr:ext cx="152400" cy="85725"/>
    <xdr:pic>
      <xdr:nvPicPr>
        <xdr:cNvPr id="35" name="Imagem 34" descr="https://www.formula1.com/etc/designs/fom-website/images/temp-16x9.gif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0" y="2105025"/>
          <a:ext cx="152400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8</xdr:row>
      <xdr:rowOff>0</xdr:rowOff>
    </xdr:from>
    <xdr:ext cx="152400" cy="85725"/>
    <xdr:pic>
      <xdr:nvPicPr>
        <xdr:cNvPr id="36" name="Imagem 35" descr="https://www.formula1.com/etc/designs/fom-website/images/temp-16x9.gif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0" y="2266950"/>
          <a:ext cx="152400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</xdr:row>
      <xdr:rowOff>0</xdr:rowOff>
    </xdr:from>
    <xdr:ext cx="152400" cy="85725"/>
    <xdr:pic>
      <xdr:nvPicPr>
        <xdr:cNvPr id="37" name="Imagem 36" descr="https://www.formula1.com/etc/designs/fom-website/images/temp-16x9.gif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0" y="3238500"/>
          <a:ext cx="152400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</xdr:row>
      <xdr:rowOff>0</xdr:rowOff>
    </xdr:from>
    <xdr:ext cx="152400" cy="85725"/>
    <xdr:pic>
      <xdr:nvPicPr>
        <xdr:cNvPr id="38" name="Imagem 37" descr="https://www.formula1.com/etc/designs/fom-website/images/temp-16x9.gif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0" y="3238500"/>
          <a:ext cx="152400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</xdr:row>
      <xdr:rowOff>0</xdr:rowOff>
    </xdr:from>
    <xdr:ext cx="152400" cy="85725"/>
    <xdr:pic>
      <xdr:nvPicPr>
        <xdr:cNvPr id="39" name="Imagem 38" descr="https://www.formula1.com/etc/designs/fom-website/images/temp-16x9.gif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0" y="3238500"/>
          <a:ext cx="152400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17</xdr:row>
      <xdr:rowOff>0</xdr:rowOff>
    </xdr:from>
    <xdr:ext cx="152400" cy="85725"/>
    <xdr:pic>
      <xdr:nvPicPr>
        <xdr:cNvPr id="40" name="Imagem 39" descr="https://www.formula1.com/etc/designs/fom-website/images/temp-16x9.gif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0" y="3400425"/>
          <a:ext cx="152400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3</xdr:col>
      <xdr:colOff>0</xdr:colOff>
      <xdr:row>1</xdr:row>
      <xdr:rowOff>0</xdr:rowOff>
    </xdr:from>
    <xdr:to>
      <xdr:col>3</xdr:col>
      <xdr:colOff>152400</xdr:colOff>
      <xdr:row>1</xdr:row>
      <xdr:rowOff>85725</xdr:rowOff>
    </xdr:to>
    <xdr:pic>
      <xdr:nvPicPr>
        <xdr:cNvPr id="41" name="Imagem 40" descr="https://www.formula1.com/etc/designs/fom-website/images/temp-16x9.gif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2804E94-8D5E-4BB6-BBEB-13879795B9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0" y="161925"/>
          <a:ext cx="152400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</xdr:row>
      <xdr:rowOff>0</xdr:rowOff>
    </xdr:from>
    <xdr:to>
      <xdr:col>3</xdr:col>
      <xdr:colOff>152400</xdr:colOff>
      <xdr:row>2</xdr:row>
      <xdr:rowOff>85725</xdr:rowOff>
    </xdr:to>
    <xdr:pic>
      <xdr:nvPicPr>
        <xdr:cNvPr id="42" name="Imagem 41" descr="https://www.formula1.com/etc/designs/fom-website/images/temp-16x9.gif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3D09981-7AA0-4B31-BE33-EE49C3E11E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0" y="323850"/>
          <a:ext cx="152400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152400</xdr:colOff>
      <xdr:row>3</xdr:row>
      <xdr:rowOff>85725</xdr:rowOff>
    </xdr:to>
    <xdr:pic>
      <xdr:nvPicPr>
        <xdr:cNvPr id="43" name="Imagem 42" descr="https://www.formula1.com/etc/designs/fom-website/images/temp-16x9.gif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1A1FA35-8E6B-4FE2-B0AB-938B111EB6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0" y="485775"/>
          <a:ext cx="152400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152400</xdr:colOff>
      <xdr:row>4</xdr:row>
      <xdr:rowOff>85725</xdr:rowOff>
    </xdr:to>
    <xdr:pic>
      <xdr:nvPicPr>
        <xdr:cNvPr id="44" name="Imagem 43" descr="https://www.formula1.com/etc/designs/fom-website/images/temp-16x9.gif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4D5F2107-B76D-4291-B85B-E8518CE796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0" y="647700"/>
          <a:ext cx="152400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152400</xdr:colOff>
      <xdr:row>5</xdr:row>
      <xdr:rowOff>85725</xdr:rowOff>
    </xdr:to>
    <xdr:pic>
      <xdr:nvPicPr>
        <xdr:cNvPr id="45" name="Imagem 44" descr="https://www.formula1.com/etc/designs/fom-website/images/temp-16x9.gif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212D8DB2-7177-411C-9718-E39E86E7A6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0" y="809625"/>
          <a:ext cx="152400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152400</xdr:colOff>
      <xdr:row>6</xdr:row>
      <xdr:rowOff>85725</xdr:rowOff>
    </xdr:to>
    <xdr:pic>
      <xdr:nvPicPr>
        <xdr:cNvPr id="46" name="Imagem 45" descr="https://www.formula1.com/etc/designs/fom-website/images/temp-16x9.gif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3228ECDE-5A03-42FB-80F5-611FAFA3DB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0" y="971550"/>
          <a:ext cx="152400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152400</xdr:colOff>
      <xdr:row>7</xdr:row>
      <xdr:rowOff>85725</xdr:rowOff>
    </xdr:to>
    <xdr:pic>
      <xdr:nvPicPr>
        <xdr:cNvPr id="47" name="Imagem 46" descr="https://www.formula1.com/etc/designs/fom-website/images/temp-16x9.gif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867CB06D-BC60-4EFC-BFD4-20E556EE59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0" y="1133475"/>
          <a:ext cx="152400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152400</xdr:colOff>
      <xdr:row>8</xdr:row>
      <xdr:rowOff>85725</xdr:rowOff>
    </xdr:to>
    <xdr:pic>
      <xdr:nvPicPr>
        <xdr:cNvPr id="48" name="Imagem 47" descr="https://www.formula1.com/etc/designs/fom-website/images/temp-16x9.gif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F77A0BD-89CC-47E1-A0EC-B8E8269669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0" y="1295400"/>
          <a:ext cx="152400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152400</xdr:colOff>
      <xdr:row>9</xdr:row>
      <xdr:rowOff>85725</xdr:rowOff>
    </xdr:to>
    <xdr:pic>
      <xdr:nvPicPr>
        <xdr:cNvPr id="49" name="Imagem 48" descr="https://www.formula1.com/etc/designs/fom-website/images/temp-16x9.gif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E1CE3227-F976-43CD-AD7B-7F879E645D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0" y="1457325"/>
          <a:ext cx="152400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152400</xdr:colOff>
      <xdr:row>10</xdr:row>
      <xdr:rowOff>85725</xdr:rowOff>
    </xdr:to>
    <xdr:pic>
      <xdr:nvPicPr>
        <xdr:cNvPr id="50" name="Imagem 49" descr="https://www.formula1.com/etc/designs/fom-website/images/temp-16x9.gif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1C6B6646-5BE5-4F42-9904-82EE3D9ABF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0" y="1619250"/>
          <a:ext cx="152400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152400</xdr:colOff>
      <xdr:row>11</xdr:row>
      <xdr:rowOff>85725</xdr:rowOff>
    </xdr:to>
    <xdr:pic>
      <xdr:nvPicPr>
        <xdr:cNvPr id="51" name="Imagem 50" descr="https://www.formula1.com/etc/designs/fom-website/images/temp-16x9.gif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70929CEB-30EB-48C8-9092-FAAD7E53DD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0" y="1781175"/>
          <a:ext cx="152400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152400</xdr:colOff>
      <xdr:row>12</xdr:row>
      <xdr:rowOff>85725</xdr:rowOff>
    </xdr:to>
    <xdr:pic>
      <xdr:nvPicPr>
        <xdr:cNvPr id="52" name="Imagem 51" descr="https://www.formula1.com/etc/designs/fom-website/images/temp-16x9.gif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4E6FD5E5-10C6-417B-A217-E13FBBE6C9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0" y="1943100"/>
          <a:ext cx="152400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152400</xdr:colOff>
      <xdr:row>13</xdr:row>
      <xdr:rowOff>85725</xdr:rowOff>
    </xdr:to>
    <xdr:pic>
      <xdr:nvPicPr>
        <xdr:cNvPr id="53" name="Imagem 52" descr="https://www.formula1.com/etc/designs/fom-website/images/temp-16x9.gif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77F3EFEB-D897-4F75-B78E-7087250A4F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0" y="2105025"/>
          <a:ext cx="152400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152400</xdr:colOff>
      <xdr:row>14</xdr:row>
      <xdr:rowOff>85725</xdr:rowOff>
    </xdr:to>
    <xdr:pic>
      <xdr:nvPicPr>
        <xdr:cNvPr id="54" name="Imagem 53" descr="https://www.formula1.com/etc/designs/fom-website/images/temp-16x9.gif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9C50A07E-FB68-4851-A64A-F16693293E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0" y="2266950"/>
          <a:ext cx="152400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152400</xdr:colOff>
      <xdr:row>15</xdr:row>
      <xdr:rowOff>85725</xdr:rowOff>
    </xdr:to>
    <xdr:pic>
      <xdr:nvPicPr>
        <xdr:cNvPr id="55" name="Imagem 54" descr="https://www.formula1.com/etc/designs/fom-website/images/temp-16x9.gif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63E7C1FC-33E9-433C-8FB6-52EF06663F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0" y="2428875"/>
          <a:ext cx="152400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152400</xdr:colOff>
      <xdr:row>16</xdr:row>
      <xdr:rowOff>85725</xdr:rowOff>
    </xdr:to>
    <xdr:pic>
      <xdr:nvPicPr>
        <xdr:cNvPr id="56" name="Imagem 55" descr="https://www.formula1.com/etc/designs/fom-website/images/temp-16x9.gif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B850C4B9-871E-4CE0-9289-E76D90AC53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0" y="2590800"/>
          <a:ext cx="152400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152400</xdr:colOff>
      <xdr:row>17</xdr:row>
      <xdr:rowOff>85725</xdr:rowOff>
    </xdr:to>
    <xdr:pic>
      <xdr:nvPicPr>
        <xdr:cNvPr id="57" name="Imagem 56" descr="https://www.formula1.com/etc/designs/fom-website/images/temp-16x9.gif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897A68D9-D715-42DE-8FF9-DCB149047C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0" y="2752725"/>
          <a:ext cx="152400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152400</xdr:colOff>
      <xdr:row>18</xdr:row>
      <xdr:rowOff>85725</xdr:rowOff>
    </xdr:to>
    <xdr:pic>
      <xdr:nvPicPr>
        <xdr:cNvPr id="58" name="Imagem 57" descr="https://www.formula1.com/etc/designs/fom-website/images/temp-16x9.gif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FBB25107-BFF6-4F5C-ADF0-3BD5091CDD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0" y="2914650"/>
          <a:ext cx="152400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152400</xdr:colOff>
      <xdr:row>19</xdr:row>
      <xdr:rowOff>85725</xdr:rowOff>
    </xdr:to>
    <xdr:pic>
      <xdr:nvPicPr>
        <xdr:cNvPr id="59" name="Imagem 58" descr="https://www.formula1.com/etc/designs/fom-website/images/temp-16x9.gif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FC657928-622F-4A40-98BD-5DB02EC02E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0" y="3076575"/>
          <a:ext cx="152400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152400</xdr:colOff>
      <xdr:row>20</xdr:row>
      <xdr:rowOff>85725</xdr:rowOff>
    </xdr:to>
    <xdr:pic>
      <xdr:nvPicPr>
        <xdr:cNvPr id="60" name="Imagem 59" descr="https://www.formula1.com/etc/designs/fom-website/images/temp-16x9.gif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2618782A-D326-49B0-8E1C-3D77ED7E47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0" y="3238500"/>
          <a:ext cx="152400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152400</xdr:colOff>
      <xdr:row>21</xdr:row>
      <xdr:rowOff>85725</xdr:rowOff>
    </xdr:to>
    <xdr:pic>
      <xdr:nvPicPr>
        <xdr:cNvPr id="61" name="Imagem 60" descr="https://www.formula1.com/etc/designs/fom-website/images/temp-16x9.gif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97AB78CD-7FCF-4319-BD52-51EBEB1B9D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0" y="3400425"/>
          <a:ext cx="152400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3</xdr:col>
      <xdr:colOff>0</xdr:colOff>
      <xdr:row>1</xdr:row>
      <xdr:rowOff>0</xdr:rowOff>
    </xdr:from>
    <xdr:ext cx="152400" cy="85725"/>
    <xdr:pic>
      <xdr:nvPicPr>
        <xdr:cNvPr id="62" name="Imagem 61" descr="https://www.formula1.com/etc/designs/fom-website/images/temp-16x9.gif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D814D8-BE12-4F40-A5E9-CDAB8351E2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0" y="161925"/>
          <a:ext cx="152400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17</xdr:row>
      <xdr:rowOff>0</xdr:rowOff>
    </xdr:from>
    <xdr:ext cx="152400" cy="85725"/>
    <xdr:pic>
      <xdr:nvPicPr>
        <xdr:cNvPr id="63" name="Imagem 62" descr="https://www.formula1.com/etc/designs/fom-website/images/temp-16x9.gif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B82FB57-C613-42B3-81B0-8155EE1EC6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0" y="2752725"/>
          <a:ext cx="152400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20</xdr:row>
      <xdr:rowOff>0</xdr:rowOff>
    </xdr:from>
    <xdr:ext cx="152400" cy="85725"/>
    <xdr:pic>
      <xdr:nvPicPr>
        <xdr:cNvPr id="64" name="Imagem 63" descr="https://www.formula1.com/etc/designs/fom-website/images/temp-16x9.gif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9272AC67-56D4-4467-866E-B5CDE154F6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0" y="3238500"/>
          <a:ext cx="152400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20</xdr:row>
      <xdr:rowOff>0</xdr:rowOff>
    </xdr:from>
    <xdr:ext cx="152400" cy="85725"/>
    <xdr:pic>
      <xdr:nvPicPr>
        <xdr:cNvPr id="65" name="Imagem 64" descr="https://www.formula1.com/etc/designs/fom-website/images/temp-16x9.gif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2376F4A-79BE-4611-B5CC-FC50668F27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0" y="3238500"/>
          <a:ext cx="152400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152400" cy="85725"/>
    <xdr:pic>
      <xdr:nvPicPr>
        <xdr:cNvPr id="66" name="Imagem 65" descr="https://www.formula1.com/etc/designs/fom-website/images/temp-16x9.gif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742E677-E998-475A-95EC-5556FCCB53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0" y="323850"/>
          <a:ext cx="152400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152400" cy="85725"/>
    <xdr:pic>
      <xdr:nvPicPr>
        <xdr:cNvPr id="67" name="Imagem 66" descr="https://www.formula1.com/etc/designs/fom-website/images/temp-16x9.gif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79462A3C-3805-44FC-BAF2-5E56B1E264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0" y="323850"/>
          <a:ext cx="152400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52400" cy="85725"/>
    <xdr:pic>
      <xdr:nvPicPr>
        <xdr:cNvPr id="68" name="Imagem 67" descr="https://www.formula1.com/etc/designs/fom-website/images/temp-16x9.gif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CFBF5291-BB73-4576-8EBD-0975FBCDF2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0" y="485775"/>
          <a:ext cx="152400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18</xdr:row>
      <xdr:rowOff>0</xdr:rowOff>
    </xdr:from>
    <xdr:ext cx="152400" cy="85725"/>
    <xdr:pic>
      <xdr:nvPicPr>
        <xdr:cNvPr id="69" name="Imagem 68" descr="https://www.formula1.com/etc/designs/fom-website/images/temp-16x9.gif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352927DF-3394-44BC-AE2F-0EDAA3F338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0" y="2914650"/>
          <a:ext cx="152400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19</xdr:row>
      <xdr:rowOff>0</xdr:rowOff>
    </xdr:from>
    <xdr:ext cx="152400" cy="85725"/>
    <xdr:pic>
      <xdr:nvPicPr>
        <xdr:cNvPr id="70" name="Imagem 69" descr="https://www.formula1.com/etc/designs/fom-website/images/temp-16x9.gif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2776BDC5-2184-4172-8E6C-EA68ABF171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0" y="3076575"/>
          <a:ext cx="152400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52400" cy="85725"/>
    <xdr:pic>
      <xdr:nvPicPr>
        <xdr:cNvPr id="71" name="Imagem 70" descr="https://www.formula1.com/etc/designs/fom-website/images/temp-16x9.gif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10559393-3C7E-4E55-9508-3912167658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0" y="647700"/>
          <a:ext cx="152400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6</xdr:row>
      <xdr:rowOff>0</xdr:rowOff>
    </xdr:from>
    <xdr:ext cx="152400" cy="85725"/>
    <xdr:pic>
      <xdr:nvPicPr>
        <xdr:cNvPr id="72" name="Imagem 71" descr="https://www.formula1.com/etc/designs/fom-website/images/temp-16x9.gif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6FF8EF09-B9DB-4D72-9206-B5EBBD2213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0" y="971550"/>
          <a:ext cx="152400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6</xdr:row>
      <xdr:rowOff>0</xdr:rowOff>
    </xdr:from>
    <xdr:ext cx="152400" cy="85725"/>
    <xdr:pic>
      <xdr:nvPicPr>
        <xdr:cNvPr id="73" name="Imagem 72" descr="https://www.formula1.com/etc/designs/fom-website/images/temp-16x9.gif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ED67FD15-E39A-40C9-BC65-31EA1AE585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0" y="971550"/>
          <a:ext cx="152400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7</xdr:row>
      <xdr:rowOff>0</xdr:rowOff>
    </xdr:from>
    <xdr:ext cx="152400" cy="85725"/>
    <xdr:pic>
      <xdr:nvPicPr>
        <xdr:cNvPr id="74" name="Imagem 73" descr="https://www.formula1.com/etc/designs/fom-website/images/temp-16x9.gif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98201A99-EF20-490C-86E2-A648ACD8E2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0" y="1133475"/>
          <a:ext cx="152400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8</xdr:row>
      <xdr:rowOff>0</xdr:rowOff>
    </xdr:from>
    <xdr:ext cx="152400" cy="85725"/>
    <xdr:pic>
      <xdr:nvPicPr>
        <xdr:cNvPr id="75" name="Imagem 74" descr="https://www.formula1.com/etc/designs/fom-website/images/temp-16x9.gif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EC26296F-36FD-433B-9D90-2FA565624F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0" y="1295400"/>
          <a:ext cx="152400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</xdr:row>
      <xdr:rowOff>0</xdr:rowOff>
    </xdr:from>
    <xdr:ext cx="152400" cy="85725"/>
    <xdr:pic>
      <xdr:nvPicPr>
        <xdr:cNvPr id="76" name="Imagem 75" descr="https://www.formula1.com/etc/designs/fom-website/images/temp-16x9.gif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6EAB5CC4-8C5C-4FDE-9DB5-3321CC158A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0" y="2428875"/>
          <a:ext cx="152400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</xdr:row>
      <xdr:rowOff>0</xdr:rowOff>
    </xdr:from>
    <xdr:ext cx="152400" cy="85725"/>
    <xdr:pic>
      <xdr:nvPicPr>
        <xdr:cNvPr id="77" name="Imagem 76" descr="https://www.formula1.com/etc/designs/fom-website/images/temp-16x9.gif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1ACAD3E9-7D3C-4C28-A0BA-250C3AC4BE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0" y="2428875"/>
          <a:ext cx="152400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</xdr:row>
      <xdr:rowOff>0</xdr:rowOff>
    </xdr:from>
    <xdr:ext cx="152400" cy="85725"/>
    <xdr:pic>
      <xdr:nvPicPr>
        <xdr:cNvPr id="78" name="Imagem 77" descr="https://www.formula1.com/etc/designs/fom-website/images/temp-16x9.gif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E8CB3AC-0765-47F9-A08D-5C5D2CB28B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0" y="2428875"/>
          <a:ext cx="152400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17</xdr:row>
      <xdr:rowOff>0</xdr:rowOff>
    </xdr:from>
    <xdr:ext cx="152400" cy="85725"/>
    <xdr:pic>
      <xdr:nvPicPr>
        <xdr:cNvPr id="79" name="Imagem 78" descr="https://www.formula1.com/etc/designs/fom-website/images/temp-16x9.gif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6DA89A1A-70BB-43BC-8AE4-B816B4434E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0" y="2752725"/>
          <a:ext cx="152400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7</xdr:row>
      <xdr:rowOff>0</xdr:rowOff>
    </xdr:from>
    <xdr:ext cx="152400" cy="85725"/>
    <xdr:pic>
      <xdr:nvPicPr>
        <xdr:cNvPr id="80" name="Imagem 79" descr="https://www.formula1.com/etc/designs/fom-website/images/temp-16x9.gif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98CC6E1E-1E91-4DCC-9BC7-20D279249F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0" y="1133475"/>
          <a:ext cx="152400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10</xdr:row>
      <xdr:rowOff>0</xdr:rowOff>
    </xdr:from>
    <xdr:ext cx="152400" cy="85725"/>
    <xdr:pic>
      <xdr:nvPicPr>
        <xdr:cNvPr id="81" name="Imagem 80" descr="https://www.formula1.com/etc/designs/fom-website/images/temp-16x9.gif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28571252-CEC7-4EFB-A413-CE08756FC8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0" y="1619250"/>
          <a:ext cx="152400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11</xdr:row>
      <xdr:rowOff>0</xdr:rowOff>
    </xdr:from>
    <xdr:ext cx="152400" cy="85725"/>
    <xdr:pic>
      <xdr:nvPicPr>
        <xdr:cNvPr id="82" name="Imagem 81" descr="https://www.formula1.com/etc/designs/fom-website/images/temp-16x9.gif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8BE9766A-89B3-4404-8031-8A40781687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0" y="1781175"/>
          <a:ext cx="152400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12</xdr:row>
      <xdr:rowOff>0</xdr:rowOff>
    </xdr:from>
    <xdr:ext cx="152400" cy="85725"/>
    <xdr:pic>
      <xdr:nvPicPr>
        <xdr:cNvPr id="83" name="Imagem 82" descr="https://www.formula1.com/etc/designs/fom-website/images/temp-16x9.gif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018EA664-1ACE-413D-9ED7-30A959BA38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0" y="1943100"/>
          <a:ext cx="152400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13</xdr:row>
      <xdr:rowOff>0</xdr:rowOff>
    </xdr:from>
    <xdr:ext cx="152400" cy="85725"/>
    <xdr:pic>
      <xdr:nvPicPr>
        <xdr:cNvPr id="84" name="Imagem 83" descr="https://www.formula1.com/etc/designs/fom-website/images/temp-16x9.gif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B00A37F2-1D23-41D3-9643-B44A08377E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0" y="2105025"/>
          <a:ext cx="152400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14</xdr:row>
      <xdr:rowOff>0</xdr:rowOff>
    </xdr:from>
    <xdr:ext cx="152400" cy="85725"/>
    <xdr:pic>
      <xdr:nvPicPr>
        <xdr:cNvPr id="85" name="Imagem 84" descr="https://www.formula1.com/etc/designs/fom-website/images/temp-16x9.gif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E7313338-061F-42EB-84D0-F6C7635EDC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0" y="2266950"/>
          <a:ext cx="152400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</xdr:row>
      <xdr:rowOff>0</xdr:rowOff>
    </xdr:from>
    <xdr:ext cx="152400" cy="85725"/>
    <xdr:pic>
      <xdr:nvPicPr>
        <xdr:cNvPr id="86" name="Imagem 85" descr="https://www.formula1.com/etc/designs/fom-website/images/temp-16x9.gif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3BF66AAD-3D20-4A31-9F14-4862E2AD9B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0" y="2428875"/>
          <a:ext cx="152400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14</xdr:row>
      <xdr:rowOff>0</xdr:rowOff>
    </xdr:from>
    <xdr:ext cx="152400" cy="85725"/>
    <xdr:pic>
      <xdr:nvPicPr>
        <xdr:cNvPr id="87" name="Imagem 86" descr="https://www.formula1.com/etc/designs/fom-website/images/temp-16x9.gif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990BDD72-F1B8-4881-83A0-8352DA2D08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0" y="2266950"/>
          <a:ext cx="152400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14</xdr:row>
      <xdr:rowOff>0</xdr:rowOff>
    </xdr:from>
    <xdr:ext cx="152400" cy="85725"/>
    <xdr:pic>
      <xdr:nvPicPr>
        <xdr:cNvPr id="88" name="Imagem 87" descr="https://www.formula1.com/etc/designs/fom-website/images/temp-16x9.gif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2A938D62-EDAD-4432-B4BB-9177911A43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0" y="2266950"/>
          <a:ext cx="152400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14</xdr:row>
      <xdr:rowOff>0</xdr:rowOff>
    </xdr:from>
    <xdr:ext cx="152400" cy="85725"/>
    <xdr:pic>
      <xdr:nvPicPr>
        <xdr:cNvPr id="89" name="Imagem 88" descr="https://www.formula1.com/etc/designs/fom-website/images/temp-16x9.gif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7F154D4-6418-4D6D-B23C-33B27C336E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0" y="2266950"/>
          <a:ext cx="152400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49</xdr:row>
      <xdr:rowOff>0</xdr:rowOff>
    </xdr:from>
    <xdr:to>
      <xdr:col>2</xdr:col>
      <xdr:colOff>304800</xdr:colOff>
      <xdr:row>50</xdr:row>
      <xdr:rowOff>142875</xdr:rowOff>
    </xdr:to>
    <xdr:sp macro="" textlink="">
      <xdr:nvSpPr>
        <xdr:cNvPr id="1025" name="AutoShape 1" descr="Formula">
          <a:extLst>
            <a:ext uri="{FF2B5EF4-FFF2-40B4-BE49-F238E27FC236}">
              <a16:creationId xmlns:a16="http://schemas.microsoft.com/office/drawing/2014/main" id="{00000000-0008-0000-0200-000001040000}"/>
            </a:ext>
          </a:extLst>
        </xdr:cNvPr>
        <xdr:cNvSpPr>
          <a:spLocks noChangeAspect="1" noChangeArrowheads="1"/>
        </xdr:cNvSpPr>
      </xdr:nvSpPr>
      <xdr:spPr bwMode="auto">
        <a:xfrm>
          <a:off x="790575" y="87249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49</xdr:row>
      <xdr:rowOff>0</xdr:rowOff>
    </xdr:from>
    <xdr:to>
      <xdr:col>4</xdr:col>
      <xdr:colOff>57150</xdr:colOff>
      <xdr:row>49</xdr:row>
      <xdr:rowOff>9525</xdr:rowOff>
    </xdr:to>
    <xdr:sp macro="" textlink="">
      <xdr:nvSpPr>
        <xdr:cNvPr id="1026" name="AutoShape 2" descr="Formula">
          <a:extLst>
            <a:ext uri="{FF2B5EF4-FFF2-40B4-BE49-F238E27FC236}">
              <a16:creationId xmlns:a16="http://schemas.microsoft.com/office/drawing/2014/main" id="{00000000-0008-0000-0200-000002040000}"/>
            </a:ext>
          </a:extLst>
        </xdr:cNvPr>
        <xdr:cNvSpPr>
          <a:spLocks noChangeAspect="1" noChangeArrowheads="1"/>
        </xdr:cNvSpPr>
      </xdr:nvSpPr>
      <xdr:spPr bwMode="auto">
        <a:xfrm>
          <a:off x="3086100" y="8724900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304800</xdr:colOff>
      <xdr:row>50</xdr:row>
      <xdr:rowOff>142875</xdr:rowOff>
    </xdr:to>
    <xdr:sp macro="" textlink="">
      <xdr:nvSpPr>
        <xdr:cNvPr id="1028" name="AutoShape 4" descr="Formula">
          <a:extLst>
            <a:ext uri="{FF2B5EF4-FFF2-40B4-BE49-F238E27FC236}">
              <a16:creationId xmlns:a16="http://schemas.microsoft.com/office/drawing/2014/main" id="{00000000-0008-0000-0200-000004040000}"/>
            </a:ext>
          </a:extLst>
        </xdr:cNvPr>
        <xdr:cNvSpPr>
          <a:spLocks noChangeAspect="1" noChangeArrowheads="1"/>
        </xdr:cNvSpPr>
      </xdr:nvSpPr>
      <xdr:spPr bwMode="auto">
        <a:xfrm>
          <a:off x="790575" y="87249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49</xdr:row>
      <xdr:rowOff>0</xdr:rowOff>
    </xdr:from>
    <xdr:to>
      <xdr:col>4</xdr:col>
      <xdr:colOff>57150</xdr:colOff>
      <xdr:row>49</xdr:row>
      <xdr:rowOff>9525</xdr:rowOff>
    </xdr:to>
    <xdr:sp macro="" textlink="">
      <xdr:nvSpPr>
        <xdr:cNvPr id="1029" name="AutoShape 5" descr="Formula">
          <a:extLst>
            <a:ext uri="{FF2B5EF4-FFF2-40B4-BE49-F238E27FC236}">
              <a16:creationId xmlns:a16="http://schemas.microsoft.com/office/drawing/2014/main" id="{00000000-0008-0000-0200-000005040000}"/>
            </a:ext>
          </a:extLst>
        </xdr:cNvPr>
        <xdr:cNvSpPr>
          <a:spLocks noChangeAspect="1" noChangeArrowheads="1"/>
        </xdr:cNvSpPr>
      </xdr:nvSpPr>
      <xdr:spPr bwMode="auto">
        <a:xfrm>
          <a:off x="3086100" y="8724900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304800</xdr:colOff>
      <xdr:row>50</xdr:row>
      <xdr:rowOff>142875</xdr:rowOff>
    </xdr:to>
    <xdr:sp macro="" textlink="">
      <xdr:nvSpPr>
        <xdr:cNvPr id="1031" name="AutoShape 7" descr="Formula">
          <a:extLst>
            <a:ext uri="{FF2B5EF4-FFF2-40B4-BE49-F238E27FC236}">
              <a16:creationId xmlns:a16="http://schemas.microsoft.com/office/drawing/2014/main" id="{00000000-0008-0000-0200-000007040000}"/>
            </a:ext>
          </a:extLst>
        </xdr:cNvPr>
        <xdr:cNvSpPr>
          <a:spLocks noChangeAspect="1" noChangeArrowheads="1"/>
        </xdr:cNvSpPr>
      </xdr:nvSpPr>
      <xdr:spPr bwMode="auto">
        <a:xfrm>
          <a:off x="790575" y="87249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49</xdr:row>
      <xdr:rowOff>0</xdr:rowOff>
    </xdr:from>
    <xdr:to>
      <xdr:col>4</xdr:col>
      <xdr:colOff>57150</xdr:colOff>
      <xdr:row>49</xdr:row>
      <xdr:rowOff>9525</xdr:rowOff>
    </xdr:to>
    <xdr:sp macro="" textlink="">
      <xdr:nvSpPr>
        <xdr:cNvPr id="1032" name="AutoShape 8" descr="Formula">
          <a:extLst>
            <a:ext uri="{FF2B5EF4-FFF2-40B4-BE49-F238E27FC236}">
              <a16:creationId xmlns:a16="http://schemas.microsoft.com/office/drawing/2014/main" id="{00000000-0008-0000-0200-000008040000}"/>
            </a:ext>
          </a:extLst>
        </xdr:cNvPr>
        <xdr:cNvSpPr>
          <a:spLocks noChangeAspect="1" noChangeArrowheads="1"/>
        </xdr:cNvSpPr>
      </xdr:nvSpPr>
      <xdr:spPr bwMode="auto">
        <a:xfrm>
          <a:off x="3086100" y="8724900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304800</xdr:colOff>
      <xdr:row>50</xdr:row>
      <xdr:rowOff>142875</xdr:rowOff>
    </xdr:to>
    <xdr:sp macro="" textlink="">
      <xdr:nvSpPr>
        <xdr:cNvPr id="1034" name="AutoShape 10" descr="Formula">
          <a:extLst>
            <a:ext uri="{FF2B5EF4-FFF2-40B4-BE49-F238E27FC236}">
              <a16:creationId xmlns:a16="http://schemas.microsoft.com/office/drawing/2014/main" id="{00000000-0008-0000-0200-00000A040000}"/>
            </a:ext>
          </a:extLst>
        </xdr:cNvPr>
        <xdr:cNvSpPr>
          <a:spLocks noChangeAspect="1" noChangeArrowheads="1"/>
        </xdr:cNvSpPr>
      </xdr:nvSpPr>
      <xdr:spPr bwMode="auto">
        <a:xfrm>
          <a:off x="790575" y="87249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49</xdr:row>
      <xdr:rowOff>0</xdr:rowOff>
    </xdr:from>
    <xdr:to>
      <xdr:col>4</xdr:col>
      <xdr:colOff>57150</xdr:colOff>
      <xdr:row>49</xdr:row>
      <xdr:rowOff>9525</xdr:rowOff>
    </xdr:to>
    <xdr:sp macro="" textlink="">
      <xdr:nvSpPr>
        <xdr:cNvPr id="1035" name="AutoShape 11" descr="Formula">
          <a:extLst>
            <a:ext uri="{FF2B5EF4-FFF2-40B4-BE49-F238E27FC236}">
              <a16:creationId xmlns:a16="http://schemas.microsoft.com/office/drawing/2014/main" id="{00000000-0008-0000-0200-00000B040000}"/>
            </a:ext>
          </a:extLst>
        </xdr:cNvPr>
        <xdr:cNvSpPr>
          <a:spLocks noChangeAspect="1" noChangeArrowheads="1"/>
        </xdr:cNvSpPr>
      </xdr:nvSpPr>
      <xdr:spPr bwMode="auto">
        <a:xfrm>
          <a:off x="3086100" y="8724900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304800</xdr:colOff>
      <xdr:row>50</xdr:row>
      <xdr:rowOff>142875</xdr:rowOff>
    </xdr:to>
    <xdr:sp macro="" textlink="">
      <xdr:nvSpPr>
        <xdr:cNvPr id="1037" name="AutoShape 13" descr="Formula">
          <a:extLst>
            <a:ext uri="{FF2B5EF4-FFF2-40B4-BE49-F238E27FC236}">
              <a16:creationId xmlns:a16="http://schemas.microsoft.com/office/drawing/2014/main" id="{00000000-0008-0000-0200-00000D040000}"/>
            </a:ext>
          </a:extLst>
        </xdr:cNvPr>
        <xdr:cNvSpPr>
          <a:spLocks noChangeAspect="1" noChangeArrowheads="1"/>
        </xdr:cNvSpPr>
      </xdr:nvSpPr>
      <xdr:spPr bwMode="auto">
        <a:xfrm>
          <a:off x="790575" y="87249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49</xdr:row>
      <xdr:rowOff>0</xdr:rowOff>
    </xdr:from>
    <xdr:to>
      <xdr:col>4</xdr:col>
      <xdr:colOff>57150</xdr:colOff>
      <xdr:row>49</xdr:row>
      <xdr:rowOff>9525</xdr:rowOff>
    </xdr:to>
    <xdr:sp macro="" textlink="">
      <xdr:nvSpPr>
        <xdr:cNvPr id="1038" name="AutoShape 14" descr="Formula">
          <a:extLst>
            <a:ext uri="{FF2B5EF4-FFF2-40B4-BE49-F238E27FC236}">
              <a16:creationId xmlns:a16="http://schemas.microsoft.com/office/drawing/2014/main" id="{00000000-0008-0000-0200-00000E040000}"/>
            </a:ext>
          </a:extLst>
        </xdr:cNvPr>
        <xdr:cNvSpPr>
          <a:spLocks noChangeAspect="1" noChangeArrowheads="1"/>
        </xdr:cNvSpPr>
      </xdr:nvSpPr>
      <xdr:spPr bwMode="auto">
        <a:xfrm>
          <a:off x="3086100" y="8724900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304800</xdr:colOff>
      <xdr:row>50</xdr:row>
      <xdr:rowOff>142875</xdr:rowOff>
    </xdr:to>
    <xdr:sp macro="" textlink="">
      <xdr:nvSpPr>
        <xdr:cNvPr id="1040" name="AutoShape 16" descr="Formula">
          <a:extLst>
            <a:ext uri="{FF2B5EF4-FFF2-40B4-BE49-F238E27FC236}">
              <a16:creationId xmlns:a16="http://schemas.microsoft.com/office/drawing/2014/main" id="{00000000-0008-0000-0200-000010040000}"/>
            </a:ext>
          </a:extLst>
        </xdr:cNvPr>
        <xdr:cNvSpPr>
          <a:spLocks noChangeAspect="1" noChangeArrowheads="1"/>
        </xdr:cNvSpPr>
      </xdr:nvSpPr>
      <xdr:spPr bwMode="auto">
        <a:xfrm>
          <a:off x="790575" y="87249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49</xdr:row>
      <xdr:rowOff>0</xdr:rowOff>
    </xdr:from>
    <xdr:to>
      <xdr:col>4</xdr:col>
      <xdr:colOff>57150</xdr:colOff>
      <xdr:row>49</xdr:row>
      <xdr:rowOff>9525</xdr:rowOff>
    </xdr:to>
    <xdr:sp macro="" textlink="">
      <xdr:nvSpPr>
        <xdr:cNvPr id="1041" name="AutoShape 17" descr="Formula">
          <a:extLst>
            <a:ext uri="{FF2B5EF4-FFF2-40B4-BE49-F238E27FC236}">
              <a16:creationId xmlns:a16="http://schemas.microsoft.com/office/drawing/2014/main" id="{00000000-0008-0000-0200-000011040000}"/>
            </a:ext>
          </a:extLst>
        </xdr:cNvPr>
        <xdr:cNvSpPr>
          <a:spLocks noChangeAspect="1" noChangeArrowheads="1"/>
        </xdr:cNvSpPr>
      </xdr:nvSpPr>
      <xdr:spPr bwMode="auto">
        <a:xfrm>
          <a:off x="3086100" y="8724900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304800</xdr:colOff>
      <xdr:row>50</xdr:row>
      <xdr:rowOff>142875</xdr:rowOff>
    </xdr:to>
    <xdr:sp macro="" textlink="">
      <xdr:nvSpPr>
        <xdr:cNvPr id="1043" name="AutoShape 19" descr="Formula">
          <a:extLst>
            <a:ext uri="{FF2B5EF4-FFF2-40B4-BE49-F238E27FC236}">
              <a16:creationId xmlns:a16="http://schemas.microsoft.com/office/drawing/2014/main" id="{00000000-0008-0000-0200-000013040000}"/>
            </a:ext>
          </a:extLst>
        </xdr:cNvPr>
        <xdr:cNvSpPr>
          <a:spLocks noChangeAspect="1" noChangeArrowheads="1"/>
        </xdr:cNvSpPr>
      </xdr:nvSpPr>
      <xdr:spPr bwMode="auto">
        <a:xfrm>
          <a:off x="790575" y="87249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49</xdr:row>
      <xdr:rowOff>0</xdr:rowOff>
    </xdr:from>
    <xdr:to>
      <xdr:col>4</xdr:col>
      <xdr:colOff>57150</xdr:colOff>
      <xdr:row>49</xdr:row>
      <xdr:rowOff>9525</xdr:rowOff>
    </xdr:to>
    <xdr:sp macro="" textlink="">
      <xdr:nvSpPr>
        <xdr:cNvPr id="1044" name="AutoShape 20" descr="Formula">
          <a:extLst>
            <a:ext uri="{FF2B5EF4-FFF2-40B4-BE49-F238E27FC236}">
              <a16:creationId xmlns:a16="http://schemas.microsoft.com/office/drawing/2014/main" id="{00000000-0008-0000-0200-000014040000}"/>
            </a:ext>
          </a:extLst>
        </xdr:cNvPr>
        <xdr:cNvSpPr>
          <a:spLocks noChangeAspect="1" noChangeArrowheads="1"/>
        </xdr:cNvSpPr>
      </xdr:nvSpPr>
      <xdr:spPr bwMode="auto">
        <a:xfrm>
          <a:off x="3086100" y="8724900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304800</xdr:colOff>
      <xdr:row>50</xdr:row>
      <xdr:rowOff>142875</xdr:rowOff>
    </xdr:to>
    <xdr:sp macro="" textlink="">
      <xdr:nvSpPr>
        <xdr:cNvPr id="1046" name="AutoShape 22" descr="Formula">
          <a:extLst>
            <a:ext uri="{FF2B5EF4-FFF2-40B4-BE49-F238E27FC236}">
              <a16:creationId xmlns:a16="http://schemas.microsoft.com/office/drawing/2014/main" id="{00000000-0008-0000-0200-000016040000}"/>
            </a:ext>
          </a:extLst>
        </xdr:cNvPr>
        <xdr:cNvSpPr>
          <a:spLocks noChangeAspect="1" noChangeArrowheads="1"/>
        </xdr:cNvSpPr>
      </xdr:nvSpPr>
      <xdr:spPr bwMode="auto">
        <a:xfrm>
          <a:off x="790575" y="87249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49</xdr:row>
      <xdr:rowOff>0</xdr:rowOff>
    </xdr:from>
    <xdr:to>
      <xdr:col>4</xdr:col>
      <xdr:colOff>57150</xdr:colOff>
      <xdr:row>49</xdr:row>
      <xdr:rowOff>9525</xdr:rowOff>
    </xdr:to>
    <xdr:sp macro="" textlink="">
      <xdr:nvSpPr>
        <xdr:cNvPr id="1047" name="AutoShape 23" descr="Formula">
          <a:extLst>
            <a:ext uri="{FF2B5EF4-FFF2-40B4-BE49-F238E27FC236}">
              <a16:creationId xmlns:a16="http://schemas.microsoft.com/office/drawing/2014/main" id="{00000000-0008-0000-0200-000017040000}"/>
            </a:ext>
          </a:extLst>
        </xdr:cNvPr>
        <xdr:cNvSpPr>
          <a:spLocks noChangeAspect="1" noChangeArrowheads="1"/>
        </xdr:cNvSpPr>
      </xdr:nvSpPr>
      <xdr:spPr bwMode="auto">
        <a:xfrm>
          <a:off x="3086100" y="8724900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304800</xdr:colOff>
      <xdr:row>50</xdr:row>
      <xdr:rowOff>142875</xdr:rowOff>
    </xdr:to>
    <xdr:sp macro="" textlink="">
      <xdr:nvSpPr>
        <xdr:cNvPr id="1049" name="AutoShape 25" descr="Formula">
          <a:extLst>
            <a:ext uri="{FF2B5EF4-FFF2-40B4-BE49-F238E27FC236}">
              <a16:creationId xmlns:a16="http://schemas.microsoft.com/office/drawing/2014/main" id="{00000000-0008-0000-0200-000019040000}"/>
            </a:ext>
          </a:extLst>
        </xdr:cNvPr>
        <xdr:cNvSpPr>
          <a:spLocks noChangeAspect="1" noChangeArrowheads="1"/>
        </xdr:cNvSpPr>
      </xdr:nvSpPr>
      <xdr:spPr bwMode="auto">
        <a:xfrm>
          <a:off x="790575" y="87249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49</xdr:row>
      <xdr:rowOff>0</xdr:rowOff>
    </xdr:from>
    <xdr:to>
      <xdr:col>4</xdr:col>
      <xdr:colOff>57150</xdr:colOff>
      <xdr:row>49</xdr:row>
      <xdr:rowOff>9525</xdr:rowOff>
    </xdr:to>
    <xdr:sp macro="" textlink="">
      <xdr:nvSpPr>
        <xdr:cNvPr id="1050" name="AutoShape 26" descr="Formula">
          <a:extLst>
            <a:ext uri="{FF2B5EF4-FFF2-40B4-BE49-F238E27FC236}">
              <a16:creationId xmlns:a16="http://schemas.microsoft.com/office/drawing/2014/main" id="{00000000-0008-0000-0200-00001A040000}"/>
            </a:ext>
          </a:extLst>
        </xdr:cNvPr>
        <xdr:cNvSpPr>
          <a:spLocks noChangeAspect="1" noChangeArrowheads="1"/>
        </xdr:cNvSpPr>
      </xdr:nvSpPr>
      <xdr:spPr bwMode="auto">
        <a:xfrm>
          <a:off x="3086100" y="8724900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304800</xdr:colOff>
      <xdr:row>50</xdr:row>
      <xdr:rowOff>142875</xdr:rowOff>
    </xdr:to>
    <xdr:sp macro="" textlink="">
      <xdr:nvSpPr>
        <xdr:cNvPr id="1052" name="AutoShape 28" descr="Formula">
          <a:extLst>
            <a:ext uri="{FF2B5EF4-FFF2-40B4-BE49-F238E27FC236}">
              <a16:creationId xmlns:a16="http://schemas.microsoft.com/office/drawing/2014/main" id="{00000000-0008-0000-0200-00001C040000}"/>
            </a:ext>
          </a:extLst>
        </xdr:cNvPr>
        <xdr:cNvSpPr>
          <a:spLocks noChangeAspect="1" noChangeArrowheads="1"/>
        </xdr:cNvSpPr>
      </xdr:nvSpPr>
      <xdr:spPr bwMode="auto">
        <a:xfrm>
          <a:off x="790575" y="87249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49</xdr:row>
      <xdr:rowOff>0</xdr:rowOff>
    </xdr:from>
    <xdr:to>
      <xdr:col>4</xdr:col>
      <xdr:colOff>57150</xdr:colOff>
      <xdr:row>49</xdr:row>
      <xdr:rowOff>9525</xdr:rowOff>
    </xdr:to>
    <xdr:sp macro="" textlink="">
      <xdr:nvSpPr>
        <xdr:cNvPr id="1053" name="AutoShape 29" descr="Formula">
          <a:extLst>
            <a:ext uri="{FF2B5EF4-FFF2-40B4-BE49-F238E27FC236}">
              <a16:creationId xmlns:a16="http://schemas.microsoft.com/office/drawing/2014/main" id="{00000000-0008-0000-0200-00001D040000}"/>
            </a:ext>
          </a:extLst>
        </xdr:cNvPr>
        <xdr:cNvSpPr>
          <a:spLocks noChangeAspect="1" noChangeArrowheads="1"/>
        </xdr:cNvSpPr>
      </xdr:nvSpPr>
      <xdr:spPr bwMode="auto">
        <a:xfrm>
          <a:off x="3086100" y="8724900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304800</xdr:colOff>
      <xdr:row>50</xdr:row>
      <xdr:rowOff>142875</xdr:rowOff>
    </xdr:to>
    <xdr:sp macro="" textlink="">
      <xdr:nvSpPr>
        <xdr:cNvPr id="1055" name="AutoShape 31" descr="Formula">
          <a:extLst>
            <a:ext uri="{FF2B5EF4-FFF2-40B4-BE49-F238E27FC236}">
              <a16:creationId xmlns:a16="http://schemas.microsoft.com/office/drawing/2014/main" id="{00000000-0008-0000-0200-00001F040000}"/>
            </a:ext>
          </a:extLst>
        </xdr:cNvPr>
        <xdr:cNvSpPr>
          <a:spLocks noChangeAspect="1" noChangeArrowheads="1"/>
        </xdr:cNvSpPr>
      </xdr:nvSpPr>
      <xdr:spPr bwMode="auto">
        <a:xfrm>
          <a:off x="790575" y="87249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49</xdr:row>
      <xdr:rowOff>0</xdr:rowOff>
    </xdr:from>
    <xdr:to>
      <xdr:col>4</xdr:col>
      <xdr:colOff>57150</xdr:colOff>
      <xdr:row>49</xdr:row>
      <xdr:rowOff>9525</xdr:rowOff>
    </xdr:to>
    <xdr:sp macro="" textlink="">
      <xdr:nvSpPr>
        <xdr:cNvPr id="1056" name="AutoShape 32" descr="Formula">
          <a:extLst>
            <a:ext uri="{FF2B5EF4-FFF2-40B4-BE49-F238E27FC236}">
              <a16:creationId xmlns:a16="http://schemas.microsoft.com/office/drawing/2014/main" id="{00000000-0008-0000-0200-000020040000}"/>
            </a:ext>
          </a:extLst>
        </xdr:cNvPr>
        <xdr:cNvSpPr>
          <a:spLocks noChangeAspect="1" noChangeArrowheads="1"/>
        </xdr:cNvSpPr>
      </xdr:nvSpPr>
      <xdr:spPr bwMode="auto">
        <a:xfrm>
          <a:off x="3086100" y="8724900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304800</xdr:colOff>
      <xdr:row>50</xdr:row>
      <xdr:rowOff>142875</xdr:rowOff>
    </xdr:to>
    <xdr:sp macro="" textlink="">
      <xdr:nvSpPr>
        <xdr:cNvPr id="1058" name="AutoShape 34" descr="Formula">
          <a:extLst>
            <a:ext uri="{FF2B5EF4-FFF2-40B4-BE49-F238E27FC236}">
              <a16:creationId xmlns:a16="http://schemas.microsoft.com/office/drawing/2014/main" id="{00000000-0008-0000-0200-000022040000}"/>
            </a:ext>
          </a:extLst>
        </xdr:cNvPr>
        <xdr:cNvSpPr>
          <a:spLocks noChangeAspect="1" noChangeArrowheads="1"/>
        </xdr:cNvSpPr>
      </xdr:nvSpPr>
      <xdr:spPr bwMode="auto">
        <a:xfrm>
          <a:off x="790575" y="87249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49</xdr:row>
      <xdr:rowOff>0</xdr:rowOff>
    </xdr:from>
    <xdr:to>
      <xdr:col>4</xdr:col>
      <xdr:colOff>57150</xdr:colOff>
      <xdr:row>49</xdr:row>
      <xdr:rowOff>9525</xdr:rowOff>
    </xdr:to>
    <xdr:sp macro="" textlink="">
      <xdr:nvSpPr>
        <xdr:cNvPr id="1059" name="AutoShape 35" descr="Formula">
          <a:extLst>
            <a:ext uri="{FF2B5EF4-FFF2-40B4-BE49-F238E27FC236}">
              <a16:creationId xmlns:a16="http://schemas.microsoft.com/office/drawing/2014/main" id="{00000000-0008-0000-0200-000023040000}"/>
            </a:ext>
          </a:extLst>
        </xdr:cNvPr>
        <xdr:cNvSpPr>
          <a:spLocks noChangeAspect="1" noChangeArrowheads="1"/>
        </xdr:cNvSpPr>
      </xdr:nvSpPr>
      <xdr:spPr bwMode="auto">
        <a:xfrm>
          <a:off x="3086100" y="8724900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304800</xdr:colOff>
      <xdr:row>50</xdr:row>
      <xdr:rowOff>142875</xdr:rowOff>
    </xdr:to>
    <xdr:sp macro="" textlink="">
      <xdr:nvSpPr>
        <xdr:cNvPr id="1061" name="AutoShape 37" descr="Formula">
          <a:extLst>
            <a:ext uri="{FF2B5EF4-FFF2-40B4-BE49-F238E27FC236}">
              <a16:creationId xmlns:a16="http://schemas.microsoft.com/office/drawing/2014/main" id="{00000000-0008-0000-0200-000025040000}"/>
            </a:ext>
          </a:extLst>
        </xdr:cNvPr>
        <xdr:cNvSpPr>
          <a:spLocks noChangeAspect="1" noChangeArrowheads="1"/>
        </xdr:cNvSpPr>
      </xdr:nvSpPr>
      <xdr:spPr bwMode="auto">
        <a:xfrm>
          <a:off x="790575" y="87249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49</xdr:row>
      <xdr:rowOff>0</xdr:rowOff>
    </xdr:from>
    <xdr:to>
      <xdr:col>4</xdr:col>
      <xdr:colOff>57150</xdr:colOff>
      <xdr:row>49</xdr:row>
      <xdr:rowOff>9525</xdr:rowOff>
    </xdr:to>
    <xdr:sp macro="" textlink="">
      <xdr:nvSpPr>
        <xdr:cNvPr id="1062" name="AutoShape 38" descr="Formula">
          <a:extLst>
            <a:ext uri="{FF2B5EF4-FFF2-40B4-BE49-F238E27FC236}">
              <a16:creationId xmlns:a16="http://schemas.microsoft.com/office/drawing/2014/main" id="{00000000-0008-0000-0200-000026040000}"/>
            </a:ext>
          </a:extLst>
        </xdr:cNvPr>
        <xdr:cNvSpPr>
          <a:spLocks noChangeAspect="1" noChangeArrowheads="1"/>
        </xdr:cNvSpPr>
      </xdr:nvSpPr>
      <xdr:spPr bwMode="auto">
        <a:xfrm>
          <a:off x="3086100" y="8724900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304800</xdr:colOff>
      <xdr:row>50</xdr:row>
      <xdr:rowOff>142875</xdr:rowOff>
    </xdr:to>
    <xdr:sp macro="" textlink="">
      <xdr:nvSpPr>
        <xdr:cNvPr id="1064" name="AutoShape 40" descr="Formula">
          <a:extLst>
            <a:ext uri="{FF2B5EF4-FFF2-40B4-BE49-F238E27FC236}">
              <a16:creationId xmlns:a16="http://schemas.microsoft.com/office/drawing/2014/main" id="{00000000-0008-0000-0200-000028040000}"/>
            </a:ext>
          </a:extLst>
        </xdr:cNvPr>
        <xdr:cNvSpPr>
          <a:spLocks noChangeAspect="1" noChangeArrowheads="1"/>
        </xdr:cNvSpPr>
      </xdr:nvSpPr>
      <xdr:spPr bwMode="auto">
        <a:xfrm>
          <a:off x="790575" y="87249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49</xdr:row>
      <xdr:rowOff>0</xdr:rowOff>
    </xdr:from>
    <xdr:to>
      <xdr:col>4</xdr:col>
      <xdr:colOff>57150</xdr:colOff>
      <xdr:row>49</xdr:row>
      <xdr:rowOff>9525</xdr:rowOff>
    </xdr:to>
    <xdr:sp macro="" textlink="">
      <xdr:nvSpPr>
        <xdr:cNvPr id="1065" name="AutoShape 41" descr="Formula">
          <a:extLst>
            <a:ext uri="{FF2B5EF4-FFF2-40B4-BE49-F238E27FC236}">
              <a16:creationId xmlns:a16="http://schemas.microsoft.com/office/drawing/2014/main" id="{00000000-0008-0000-0200-000029040000}"/>
            </a:ext>
          </a:extLst>
        </xdr:cNvPr>
        <xdr:cNvSpPr>
          <a:spLocks noChangeAspect="1" noChangeArrowheads="1"/>
        </xdr:cNvSpPr>
      </xdr:nvSpPr>
      <xdr:spPr bwMode="auto">
        <a:xfrm>
          <a:off x="3086100" y="8724900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304800</xdr:colOff>
      <xdr:row>50</xdr:row>
      <xdr:rowOff>142875</xdr:rowOff>
    </xdr:to>
    <xdr:sp macro="" textlink="">
      <xdr:nvSpPr>
        <xdr:cNvPr id="1067" name="AutoShape 43" descr="Formula">
          <a:extLst>
            <a:ext uri="{FF2B5EF4-FFF2-40B4-BE49-F238E27FC236}">
              <a16:creationId xmlns:a16="http://schemas.microsoft.com/office/drawing/2014/main" id="{00000000-0008-0000-0200-00002B040000}"/>
            </a:ext>
          </a:extLst>
        </xdr:cNvPr>
        <xdr:cNvSpPr>
          <a:spLocks noChangeAspect="1" noChangeArrowheads="1"/>
        </xdr:cNvSpPr>
      </xdr:nvSpPr>
      <xdr:spPr bwMode="auto">
        <a:xfrm>
          <a:off x="790575" y="87249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49</xdr:row>
      <xdr:rowOff>0</xdr:rowOff>
    </xdr:from>
    <xdr:to>
      <xdr:col>4</xdr:col>
      <xdr:colOff>57150</xdr:colOff>
      <xdr:row>49</xdr:row>
      <xdr:rowOff>9525</xdr:rowOff>
    </xdr:to>
    <xdr:sp macro="" textlink="">
      <xdr:nvSpPr>
        <xdr:cNvPr id="1068" name="AutoShape 44" descr="Formula">
          <a:extLst>
            <a:ext uri="{FF2B5EF4-FFF2-40B4-BE49-F238E27FC236}">
              <a16:creationId xmlns:a16="http://schemas.microsoft.com/office/drawing/2014/main" id="{00000000-0008-0000-0200-00002C040000}"/>
            </a:ext>
          </a:extLst>
        </xdr:cNvPr>
        <xdr:cNvSpPr>
          <a:spLocks noChangeAspect="1" noChangeArrowheads="1"/>
        </xdr:cNvSpPr>
      </xdr:nvSpPr>
      <xdr:spPr bwMode="auto">
        <a:xfrm>
          <a:off x="3086100" y="8724900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304800</xdr:colOff>
      <xdr:row>50</xdr:row>
      <xdr:rowOff>142875</xdr:rowOff>
    </xdr:to>
    <xdr:sp macro="" textlink="">
      <xdr:nvSpPr>
        <xdr:cNvPr id="1070" name="AutoShape 46" descr="Formula">
          <a:extLst>
            <a:ext uri="{FF2B5EF4-FFF2-40B4-BE49-F238E27FC236}">
              <a16:creationId xmlns:a16="http://schemas.microsoft.com/office/drawing/2014/main" id="{00000000-0008-0000-0200-00002E040000}"/>
            </a:ext>
          </a:extLst>
        </xdr:cNvPr>
        <xdr:cNvSpPr>
          <a:spLocks noChangeAspect="1" noChangeArrowheads="1"/>
        </xdr:cNvSpPr>
      </xdr:nvSpPr>
      <xdr:spPr bwMode="auto">
        <a:xfrm>
          <a:off x="790575" y="87249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49</xdr:row>
      <xdr:rowOff>0</xdr:rowOff>
    </xdr:from>
    <xdr:to>
      <xdr:col>4</xdr:col>
      <xdr:colOff>57150</xdr:colOff>
      <xdr:row>49</xdr:row>
      <xdr:rowOff>9525</xdr:rowOff>
    </xdr:to>
    <xdr:sp macro="" textlink="">
      <xdr:nvSpPr>
        <xdr:cNvPr id="1071" name="AutoShape 47" descr="Formula">
          <a:extLst>
            <a:ext uri="{FF2B5EF4-FFF2-40B4-BE49-F238E27FC236}">
              <a16:creationId xmlns:a16="http://schemas.microsoft.com/office/drawing/2014/main" id="{00000000-0008-0000-0200-00002F040000}"/>
            </a:ext>
          </a:extLst>
        </xdr:cNvPr>
        <xdr:cNvSpPr>
          <a:spLocks noChangeAspect="1" noChangeArrowheads="1"/>
        </xdr:cNvSpPr>
      </xdr:nvSpPr>
      <xdr:spPr bwMode="auto">
        <a:xfrm>
          <a:off x="3086100" y="8724900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304800</xdr:colOff>
      <xdr:row>50</xdr:row>
      <xdr:rowOff>142875</xdr:rowOff>
    </xdr:to>
    <xdr:sp macro="" textlink="">
      <xdr:nvSpPr>
        <xdr:cNvPr id="1073" name="AutoShape 49" descr="Formula">
          <a:extLst>
            <a:ext uri="{FF2B5EF4-FFF2-40B4-BE49-F238E27FC236}">
              <a16:creationId xmlns:a16="http://schemas.microsoft.com/office/drawing/2014/main" id="{00000000-0008-0000-0200-000031040000}"/>
            </a:ext>
          </a:extLst>
        </xdr:cNvPr>
        <xdr:cNvSpPr>
          <a:spLocks noChangeAspect="1" noChangeArrowheads="1"/>
        </xdr:cNvSpPr>
      </xdr:nvSpPr>
      <xdr:spPr bwMode="auto">
        <a:xfrm>
          <a:off x="790575" y="87249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49</xdr:row>
      <xdr:rowOff>0</xdr:rowOff>
    </xdr:from>
    <xdr:to>
      <xdr:col>4</xdr:col>
      <xdr:colOff>57150</xdr:colOff>
      <xdr:row>49</xdr:row>
      <xdr:rowOff>9525</xdr:rowOff>
    </xdr:to>
    <xdr:sp macro="" textlink="">
      <xdr:nvSpPr>
        <xdr:cNvPr id="1074" name="AutoShape 50" descr="Formula">
          <a:extLst>
            <a:ext uri="{FF2B5EF4-FFF2-40B4-BE49-F238E27FC236}">
              <a16:creationId xmlns:a16="http://schemas.microsoft.com/office/drawing/2014/main" id="{00000000-0008-0000-0200-000032040000}"/>
            </a:ext>
          </a:extLst>
        </xdr:cNvPr>
        <xdr:cNvSpPr>
          <a:spLocks noChangeAspect="1" noChangeArrowheads="1"/>
        </xdr:cNvSpPr>
      </xdr:nvSpPr>
      <xdr:spPr bwMode="auto">
        <a:xfrm>
          <a:off x="3086100" y="8724900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304800</xdr:colOff>
      <xdr:row>50</xdr:row>
      <xdr:rowOff>142875</xdr:rowOff>
    </xdr:to>
    <xdr:sp macro="" textlink="">
      <xdr:nvSpPr>
        <xdr:cNvPr id="1076" name="AutoShape 52" descr="Formula">
          <a:extLst>
            <a:ext uri="{FF2B5EF4-FFF2-40B4-BE49-F238E27FC236}">
              <a16:creationId xmlns:a16="http://schemas.microsoft.com/office/drawing/2014/main" id="{00000000-0008-0000-0200-000034040000}"/>
            </a:ext>
          </a:extLst>
        </xdr:cNvPr>
        <xdr:cNvSpPr>
          <a:spLocks noChangeAspect="1" noChangeArrowheads="1"/>
        </xdr:cNvSpPr>
      </xdr:nvSpPr>
      <xdr:spPr bwMode="auto">
        <a:xfrm>
          <a:off x="790575" y="87249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49</xdr:row>
      <xdr:rowOff>0</xdr:rowOff>
    </xdr:from>
    <xdr:to>
      <xdr:col>4</xdr:col>
      <xdr:colOff>57150</xdr:colOff>
      <xdr:row>49</xdr:row>
      <xdr:rowOff>9525</xdr:rowOff>
    </xdr:to>
    <xdr:sp macro="" textlink="">
      <xdr:nvSpPr>
        <xdr:cNvPr id="1077" name="AutoShape 53" descr="Formula">
          <a:extLst>
            <a:ext uri="{FF2B5EF4-FFF2-40B4-BE49-F238E27FC236}">
              <a16:creationId xmlns:a16="http://schemas.microsoft.com/office/drawing/2014/main" id="{00000000-0008-0000-0200-000035040000}"/>
            </a:ext>
          </a:extLst>
        </xdr:cNvPr>
        <xdr:cNvSpPr>
          <a:spLocks noChangeAspect="1" noChangeArrowheads="1"/>
        </xdr:cNvSpPr>
      </xdr:nvSpPr>
      <xdr:spPr bwMode="auto">
        <a:xfrm>
          <a:off x="3086100" y="8724900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57150</xdr:colOff>
      <xdr:row>49</xdr:row>
      <xdr:rowOff>9525</xdr:rowOff>
    </xdr:to>
    <xdr:sp macro="" textlink="">
      <xdr:nvSpPr>
        <xdr:cNvPr id="1079" name="AutoShape 55" descr="Formula">
          <a:extLst>
            <a:ext uri="{FF2B5EF4-FFF2-40B4-BE49-F238E27FC236}">
              <a16:creationId xmlns:a16="http://schemas.microsoft.com/office/drawing/2014/main" id="{00000000-0008-0000-0200-000037040000}"/>
            </a:ext>
          </a:extLst>
        </xdr:cNvPr>
        <xdr:cNvSpPr>
          <a:spLocks noChangeAspect="1" noChangeArrowheads="1"/>
        </xdr:cNvSpPr>
      </xdr:nvSpPr>
      <xdr:spPr bwMode="auto">
        <a:xfrm>
          <a:off x="790575" y="8724900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57150</xdr:colOff>
      <xdr:row>49</xdr:row>
      <xdr:rowOff>9525</xdr:rowOff>
    </xdr:to>
    <xdr:sp macro="" textlink="">
      <xdr:nvSpPr>
        <xdr:cNvPr id="1080" name="AutoShape 56" descr="Formula">
          <a:extLst>
            <a:ext uri="{FF2B5EF4-FFF2-40B4-BE49-F238E27FC236}">
              <a16:creationId xmlns:a16="http://schemas.microsoft.com/office/drawing/2014/main" id="{00000000-0008-0000-0200-000038040000}"/>
            </a:ext>
          </a:extLst>
        </xdr:cNvPr>
        <xdr:cNvSpPr>
          <a:spLocks noChangeAspect="1" noChangeArrowheads="1"/>
        </xdr:cNvSpPr>
      </xdr:nvSpPr>
      <xdr:spPr bwMode="auto">
        <a:xfrm>
          <a:off x="790575" y="8724900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57150</xdr:colOff>
      <xdr:row>49</xdr:row>
      <xdr:rowOff>9525</xdr:rowOff>
    </xdr:to>
    <xdr:sp macro="" textlink="">
      <xdr:nvSpPr>
        <xdr:cNvPr id="1081" name="AutoShape 57" descr="Formula">
          <a:extLst>
            <a:ext uri="{FF2B5EF4-FFF2-40B4-BE49-F238E27FC236}">
              <a16:creationId xmlns:a16="http://schemas.microsoft.com/office/drawing/2014/main" id="{00000000-0008-0000-0200-000039040000}"/>
            </a:ext>
          </a:extLst>
        </xdr:cNvPr>
        <xdr:cNvSpPr>
          <a:spLocks noChangeAspect="1" noChangeArrowheads="1"/>
        </xdr:cNvSpPr>
      </xdr:nvSpPr>
      <xdr:spPr bwMode="auto">
        <a:xfrm>
          <a:off x="790575" y="8724900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57150</xdr:colOff>
      <xdr:row>49</xdr:row>
      <xdr:rowOff>9525</xdr:rowOff>
    </xdr:to>
    <xdr:sp macro="" textlink="">
      <xdr:nvSpPr>
        <xdr:cNvPr id="1082" name="AutoShape 58" descr="Formula">
          <a:extLst>
            <a:ext uri="{FF2B5EF4-FFF2-40B4-BE49-F238E27FC236}">
              <a16:creationId xmlns:a16="http://schemas.microsoft.com/office/drawing/2014/main" id="{00000000-0008-0000-0200-00003A040000}"/>
            </a:ext>
          </a:extLst>
        </xdr:cNvPr>
        <xdr:cNvSpPr>
          <a:spLocks noChangeAspect="1" noChangeArrowheads="1"/>
        </xdr:cNvSpPr>
      </xdr:nvSpPr>
      <xdr:spPr bwMode="auto">
        <a:xfrm>
          <a:off x="790575" y="8724900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57150</xdr:colOff>
      <xdr:row>49</xdr:row>
      <xdr:rowOff>9525</xdr:rowOff>
    </xdr:to>
    <xdr:sp macro="" textlink="">
      <xdr:nvSpPr>
        <xdr:cNvPr id="1083" name="AutoShape 59" descr="Formula">
          <a:extLst>
            <a:ext uri="{FF2B5EF4-FFF2-40B4-BE49-F238E27FC236}">
              <a16:creationId xmlns:a16="http://schemas.microsoft.com/office/drawing/2014/main" id="{00000000-0008-0000-0200-00003B040000}"/>
            </a:ext>
          </a:extLst>
        </xdr:cNvPr>
        <xdr:cNvSpPr>
          <a:spLocks noChangeAspect="1" noChangeArrowheads="1"/>
        </xdr:cNvSpPr>
      </xdr:nvSpPr>
      <xdr:spPr bwMode="auto">
        <a:xfrm>
          <a:off x="790575" y="8724900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57150</xdr:colOff>
      <xdr:row>49</xdr:row>
      <xdr:rowOff>9525</xdr:rowOff>
    </xdr:to>
    <xdr:sp macro="" textlink="">
      <xdr:nvSpPr>
        <xdr:cNvPr id="1084" name="AutoShape 60" descr="Formula">
          <a:extLst>
            <a:ext uri="{FF2B5EF4-FFF2-40B4-BE49-F238E27FC236}">
              <a16:creationId xmlns:a16="http://schemas.microsoft.com/office/drawing/2014/main" id="{00000000-0008-0000-0200-00003C040000}"/>
            </a:ext>
          </a:extLst>
        </xdr:cNvPr>
        <xdr:cNvSpPr>
          <a:spLocks noChangeAspect="1" noChangeArrowheads="1"/>
        </xdr:cNvSpPr>
      </xdr:nvSpPr>
      <xdr:spPr bwMode="auto">
        <a:xfrm>
          <a:off x="790575" y="8724900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57150</xdr:colOff>
      <xdr:row>49</xdr:row>
      <xdr:rowOff>9525</xdr:rowOff>
    </xdr:to>
    <xdr:sp macro="" textlink="">
      <xdr:nvSpPr>
        <xdr:cNvPr id="1085" name="AutoShape 61" descr="Formula">
          <a:extLst>
            <a:ext uri="{FF2B5EF4-FFF2-40B4-BE49-F238E27FC236}">
              <a16:creationId xmlns:a16="http://schemas.microsoft.com/office/drawing/2014/main" id="{00000000-0008-0000-0200-00003D040000}"/>
            </a:ext>
          </a:extLst>
        </xdr:cNvPr>
        <xdr:cNvSpPr>
          <a:spLocks noChangeAspect="1" noChangeArrowheads="1"/>
        </xdr:cNvSpPr>
      </xdr:nvSpPr>
      <xdr:spPr bwMode="auto">
        <a:xfrm>
          <a:off x="790575" y="8724900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57150</xdr:colOff>
      <xdr:row>49</xdr:row>
      <xdr:rowOff>9525</xdr:rowOff>
    </xdr:to>
    <xdr:sp macro="" textlink="">
      <xdr:nvSpPr>
        <xdr:cNvPr id="1086" name="AutoShape 62" descr="Formula">
          <a:extLst>
            <a:ext uri="{FF2B5EF4-FFF2-40B4-BE49-F238E27FC236}">
              <a16:creationId xmlns:a16="http://schemas.microsoft.com/office/drawing/2014/main" id="{00000000-0008-0000-0200-00003E040000}"/>
            </a:ext>
          </a:extLst>
        </xdr:cNvPr>
        <xdr:cNvSpPr>
          <a:spLocks noChangeAspect="1" noChangeArrowheads="1"/>
        </xdr:cNvSpPr>
      </xdr:nvSpPr>
      <xdr:spPr bwMode="auto">
        <a:xfrm>
          <a:off x="790575" y="8724900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57150</xdr:colOff>
      <xdr:row>49</xdr:row>
      <xdr:rowOff>9525</xdr:rowOff>
    </xdr:to>
    <xdr:sp macro="" textlink="">
      <xdr:nvSpPr>
        <xdr:cNvPr id="1087" name="AutoShape 63" descr="Formula">
          <a:extLst>
            <a:ext uri="{FF2B5EF4-FFF2-40B4-BE49-F238E27FC236}">
              <a16:creationId xmlns:a16="http://schemas.microsoft.com/office/drawing/2014/main" id="{00000000-0008-0000-0200-00003F040000}"/>
            </a:ext>
          </a:extLst>
        </xdr:cNvPr>
        <xdr:cNvSpPr>
          <a:spLocks noChangeAspect="1" noChangeArrowheads="1"/>
        </xdr:cNvSpPr>
      </xdr:nvSpPr>
      <xdr:spPr bwMode="auto">
        <a:xfrm>
          <a:off x="790575" y="8724900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57150</xdr:colOff>
      <xdr:row>49</xdr:row>
      <xdr:rowOff>9525</xdr:rowOff>
    </xdr:to>
    <xdr:sp macro="" textlink="">
      <xdr:nvSpPr>
        <xdr:cNvPr id="1088" name="AutoShape 64" descr="Formula">
          <a:extLst>
            <a:ext uri="{FF2B5EF4-FFF2-40B4-BE49-F238E27FC236}">
              <a16:creationId xmlns:a16="http://schemas.microsoft.com/office/drawing/2014/main" id="{00000000-0008-0000-0200-000040040000}"/>
            </a:ext>
          </a:extLst>
        </xdr:cNvPr>
        <xdr:cNvSpPr>
          <a:spLocks noChangeAspect="1" noChangeArrowheads="1"/>
        </xdr:cNvSpPr>
      </xdr:nvSpPr>
      <xdr:spPr bwMode="auto">
        <a:xfrm>
          <a:off x="790575" y="8724900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57150</xdr:colOff>
      <xdr:row>49</xdr:row>
      <xdr:rowOff>9525</xdr:rowOff>
    </xdr:to>
    <xdr:sp macro="" textlink="">
      <xdr:nvSpPr>
        <xdr:cNvPr id="1089" name="AutoShape 65" descr="Formula">
          <a:extLst>
            <a:ext uri="{FF2B5EF4-FFF2-40B4-BE49-F238E27FC236}">
              <a16:creationId xmlns:a16="http://schemas.microsoft.com/office/drawing/2014/main" id="{00000000-0008-0000-0200-000041040000}"/>
            </a:ext>
          </a:extLst>
        </xdr:cNvPr>
        <xdr:cNvSpPr>
          <a:spLocks noChangeAspect="1" noChangeArrowheads="1"/>
        </xdr:cNvSpPr>
      </xdr:nvSpPr>
      <xdr:spPr bwMode="auto">
        <a:xfrm>
          <a:off x="790575" y="8724900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57150</xdr:colOff>
      <xdr:row>49</xdr:row>
      <xdr:rowOff>9525</xdr:rowOff>
    </xdr:to>
    <xdr:sp macro="" textlink="">
      <xdr:nvSpPr>
        <xdr:cNvPr id="1090" name="AutoShape 66" descr="Formula">
          <a:extLst>
            <a:ext uri="{FF2B5EF4-FFF2-40B4-BE49-F238E27FC236}">
              <a16:creationId xmlns:a16="http://schemas.microsoft.com/office/drawing/2014/main" id="{00000000-0008-0000-0200-000042040000}"/>
            </a:ext>
          </a:extLst>
        </xdr:cNvPr>
        <xdr:cNvSpPr>
          <a:spLocks noChangeAspect="1" noChangeArrowheads="1"/>
        </xdr:cNvSpPr>
      </xdr:nvSpPr>
      <xdr:spPr bwMode="auto">
        <a:xfrm>
          <a:off x="790575" y="8724900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57150</xdr:colOff>
      <xdr:row>49</xdr:row>
      <xdr:rowOff>9525</xdr:rowOff>
    </xdr:to>
    <xdr:sp macro="" textlink="">
      <xdr:nvSpPr>
        <xdr:cNvPr id="1091" name="AutoShape 67" descr="Formula">
          <a:extLst>
            <a:ext uri="{FF2B5EF4-FFF2-40B4-BE49-F238E27FC236}">
              <a16:creationId xmlns:a16="http://schemas.microsoft.com/office/drawing/2014/main" id="{00000000-0008-0000-0200-000043040000}"/>
            </a:ext>
          </a:extLst>
        </xdr:cNvPr>
        <xdr:cNvSpPr>
          <a:spLocks noChangeAspect="1" noChangeArrowheads="1"/>
        </xdr:cNvSpPr>
      </xdr:nvSpPr>
      <xdr:spPr bwMode="auto">
        <a:xfrm>
          <a:off x="790575" y="8724900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57150</xdr:colOff>
      <xdr:row>49</xdr:row>
      <xdr:rowOff>9525</xdr:rowOff>
    </xdr:to>
    <xdr:sp macro="" textlink="">
      <xdr:nvSpPr>
        <xdr:cNvPr id="1092" name="AutoShape 68" descr="Formula">
          <a:extLst>
            <a:ext uri="{FF2B5EF4-FFF2-40B4-BE49-F238E27FC236}">
              <a16:creationId xmlns:a16="http://schemas.microsoft.com/office/drawing/2014/main" id="{00000000-0008-0000-0200-000044040000}"/>
            </a:ext>
          </a:extLst>
        </xdr:cNvPr>
        <xdr:cNvSpPr>
          <a:spLocks noChangeAspect="1" noChangeArrowheads="1"/>
        </xdr:cNvSpPr>
      </xdr:nvSpPr>
      <xdr:spPr bwMode="auto">
        <a:xfrm>
          <a:off x="790575" y="8724900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57150</xdr:colOff>
      <xdr:row>49</xdr:row>
      <xdr:rowOff>9525</xdr:rowOff>
    </xdr:to>
    <xdr:sp macro="" textlink="">
      <xdr:nvSpPr>
        <xdr:cNvPr id="1093" name="AutoShape 69" descr="Formula">
          <a:extLst>
            <a:ext uri="{FF2B5EF4-FFF2-40B4-BE49-F238E27FC236}">
              <a16:creationId xmlns:a16="http://schemas.microsoft.com/office/drawing/2014/main" id="{00000000-0008-0000-0200-000045040000}"/>
            </a:ext>
          </a:extLst>
        </xdr:cNvPr>
        <xdr:cNvSpPr>
          <a:spLocks noChangeAspect="1" noChangeArrowheads="1"/>
        </xdr:cNvSpPr>
      </xdr:nvSpPr>
      <xdr:spPr bwMode="auto">
        <a:xfrm>
          <a:off x="790575" y="8724900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57150</xdr:colOff>
      <xdr:row>49</xdr:row>
      <xdr:rowOff>9525</xdr:rowOff>
    </xdr:to>
    <xdr:sp macro="" textlink="">
      <xdr:nvSpPr>
        <xdr:cNvPr id="1094" name="AutoShape 70" descr="Formula">
          <a:extLst>
            <a:ext uri="{FF2B5EF4-FFF2-40B4-BE49-F238E27FC236}">
              <a16:creationId xmlns:a16="http://schemas.microsoft.com/office/drawing/2014/main" id="{00000000-0008-0000-0200-000046040000}"/>
            </a:ext>
          </a:extLst>
        </xdr:cNvPr>
        <xdr:cNvSpPr>
          <a:spLocks noChangeAspect="1" noChangeArrowheads="1"/>
        </xdr:cNvSpPr>
      </xdr:nvSpPr>
      <xdr:spPr bwMode="auto">
        <a:xfrm>
          <a:off x="790575" y="8724900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57150</xdr:colOff>
      <xdr:row>49</xdr:row>
      <xdr:rowOff>9525</xdr:rowOff>
    </xdr:to>
    <xdr:sp macro="" textlink="">
      <xdr:nvSpPr>
        <xdr:cNvPr id="1095" name="AutoShape 71" descr="Formula">
          <a:extLst>
            <a:ext uri="{FF2B5EF4-FFF2-40B4-BE49-F238E27FC236}">
              <a16:creationId xmlns:a16="http://schemas.microsoft.com/office/drawing/2014/main" id="{00000000-0008-0000-0200-000047040000}"/>
            </a:ext>
          </a:extLst>
        </xdr:cNvPr>
        <xdr:cNvSpPr>
          <a:spLocks noChangeAspect="1" noChangeArrowheads="1"/>
        </xdr:cNvSpPr>
      </xdr:nvSpPr>
      <xdr:spPr bwMode="auto">
        <a:xfrm>
          <a:off x="790575" y="8724900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57150</xdr:colOff>
      <xdr:row>49</xdr:row>
      <xdr:rowOff>9525</xdr:rowOff>
    </xdr:to>
    <xdr:sp macro="" textlink="">
      <xdr:nvSpPr>
        <xdr:cNvPr id="1096" name="AutoShape 72" descr="Formula">
          <a:extLst>
            <a:ext uri="{FF2B5EF4-FFF2-40B4-BE49-F238E27FC236}">
              <a16:creationId xmlns:a16="http://schemas.microsoft.com/office/drawing/2014/main" id="{00000000-0008-0000-0200-000048040000}"/>
            </a:ext>
          </a:extLst>
        </xdr:cNvPr>
        <xdr:cNvSpPr>
          <a:spLocks noChangeAspect="1" noChangeArrowheads="1"/>
        </xdr:cNvSpPr>
      </xdr:nvSpPr>
      <xdr:spPr bwMode="auto">
        <a:xfrm>
          <a:off x="790575" y="8724900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57150</xdr:colOff>
      <xdr:row>49</xdr:row>
      <xdr:rowOff>9525</xdr:rowOff>
    </xdr:to>
    <xdr:sp macro="" textlink="">
      <xdr:nvSpPr>
        <xdr:cNvPr id="1115" name="AutoShape 91" descr="Formula">
          <a:extLst>
            <a:ext uri="{FF2B5EF4-FFF2-40B4-BE49-F238E27FC236}">
              <a16:creationId xmlns:a16="http://schemas.microsoft.com/office/drawing/2014/main" id="{00000000-0008-0000-0200-00005B040000}"/>
            </a:ext>
          </a:extLst>
        </xdr:cNvPr>
        <xdr:cNvSpPr>
          <a:spLocks noChangeAspect="1" noChangeArrowheads="1"/>
        </xdr:cNvSpPr>
      </xdr:nvSpPr>
      <xdr:spPr bwMode="auto">
        <a:xfrm>
          <a:off x="0" y="8724900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57150</xdr:colOff>
      <xdr:row>49</xdr:row>
      <xdr:rowOff>9525</xdr:rowOff>
    </xdr:to>
    <xdr:sp macro="" textlink="">
      <xdr:nvSpPr>
        <xdr:cNvPr id="1116" name="AutoShape 92" descr="Formula">
          <a:extLst>
            <a:ext uri="{FF2B5EF4-FFF2-40B4-BE49-F238E27FC236}">
              <a16:creationId xmlns:a16="http://schemas.microsoft.com/office/drawing/2014/main" id="{00000000-0008-0000-0200-00005C040000}"/>
            </a:ext>
          </a:extLst>
        </xdr:cNvPr>
        <xdr:cNvSpPr>
          <a:spLocks noChangeAspect="1" noChangeArrowheads="1"/>
        </xdr:cNvSpPr>
      </xdr:nvSpPr>
      <xdr:spPr bwMode="auto">
        <a:xfrm>
          <a:off x="0" y="8724900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57150</xdr:colOff>
      <xdr:row>49</xdr:row>
      <xdr:rowOff>9525</xdr:rowOff>
    </xdr:to>
    <xdr:sp macro="" textlink="">
      <xdr:nvSpPr>
        <xdr:cNvPr id="1117" name="AutoShape 93" descr="Formula">
          <a:extLst>
            <a:ext uri="{FF2B5EF4-FFF2-40B4-BE49-F238E27FC236}">
              <a16:creationId xmlns:a16="http://schemas.microsoft.com/office/drawing/2014/main" id="{00000000-0008-0000-0200-00005D040000}"/>
            </a:ext>
          </a:extLst>
        </xdr:cNvPr>
        <xdr:cNvSpPr>
          <a:spLocks noChangeAspect="1" noChangeArrowheads="1"/>
        </xdr:cNvSpPr>
      </xdr:nvSpPr>
      <xdr:spPr bwMode="auto">
        <a:xfrm>
          <a:off x="0" y="8724900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57150</xdr:colOff>
      <xdr:row>49</xdr:row>
      <xdr:rowOff>9525</xdr:rowOff>
    </xdr:to>
    <xdr:sp macro="" textlink="">
      <xdr:nvSpPr>
        <xdr:cNvPr id="1118" name="AutoShape 94" descr="Formula">
          <a:extLst>
            <a:ext uri="{FF2B5EF4-FFF2-40B4-BE49-F238E27FC236}">
              <a16:creationId xmlns:a16="http://schemas.microsoft.com/office/drawing/2014/main" id="{00000000-0008-0000-0200-00005E040000}"/>
            </a:ext>
          </a:extLst>
        </xdr:cNvPr>
        <xdr:cNvSpPr>
          <a:spLocks noChangeAspect="1" noChangeArrowheads="1"/>
        </xdr:cNvSpPr>
      </xdr:nvSpPr>
      <xdr:spPr bwMode="auto">
        <a:xfrm>
          <a:off x="0" y="8724900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57150</xdr:colOff>
      <xdr:row>49</xdr:row>
      <xdr:rowOff>9525</xdr:rowOff>
    </xdr:to>
    <xdr:sp macro="" textlink="">
      <xdr:nvSpPr>
        <xdr:cNvPr id="1119" name="AutoShape 95" descr="Formula">
          <a:extLst>
            <a:ext uri="{FF2B5EF4-FFF2-40B4-BE49-F238E27FC236}">
              <a16:creationId xmlns:a16="http://schemas.microsoft.com/office/drawing/2014/main" id="{00000000-0008-0000-0200-00005F040000}"/>
            </a:ext>
          </a:extLst>
        </xdr:cNvPr>
        <xdr:cNvSpPr>
          <a:spLocks noChangeAspect="1" noChangeArrowheads="1"/>
        </xdr:cNvSpPr>
      </xdr:nvSpPr>
      <xdr:spPr bwMode="auto">
        <a:xfrm>
          <a:off x="0" y="8724900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57150</xdr:colOff>
      <xdr:row>49</xdr:row>
      <xdr:rowOff>9525</xdr:rowOff>
    </xdr:to>
    <xdr:sp macro="" textlink="">
      <xdr:nvSpPr>
        <xdr:cNvPr id="1120" name="AutoShape 96" descr="Formula">
          <a:extLst>
            <a:ext uri="{FF2B5EF4-FFF2-40B4-BE49-F238E27FC236}">
              <a16:creationId xmlns:a16="http://schemas.microsoft.com/office/drawing/2014/main" id="{00000000-0008-0000-0200-000060040000}"/>
            </a:ext>
          </a:extLst>
        </xdr:cNvPr>
        <xdr:cNvSpPr>
          <a:spLocks noChangeAspect="1" noChangeArrowheads="1"/>
        </xdr:cNvSpPr>
      </xdr:nvSpPr>
      <xdr:spPr bwMode="auto">
        <a:xfrm>
          <a:off x="0" y="8724900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57150</xdr:colOff>
      <xdr:row>49</xdr:row>
      <xdr:rowOff>9525</xdr:rowOff>
    </xdr:to>
    <xdr:sp macro="" textlink="">
      <xdr:nvSpPr>
        <xdr:cNvPr id="1121" name="AutoShape 97" descr="Formula">
          <a:extLst>
            <a:ext uri="{FF2B5EF4-FFF2-40B4-BE49-F238E27FC236}">
              <a16:creationId xmlns:a16="http://schemas.microsoft.com/office/drawing/2014/main" id="{00000000-0008-0000-0200-000061040000}"/>
            </a:ext>
          </a:extLst>
        </xdr:cNvPr>
        <xdr:cNvSpPr>
          <a:spLocks noChangeAspect="1" noChangeArrowheads="1"/>
        </xdr:cNvSpPr>
      </xdr:nvSpPr>
      <xdr:spPr bwMode="auto">
        <a:xfrm>
          <a:off x="0" y="8724900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57150</xdr:colOff>
      <xdr:row>49</xdr:row>
      <xdr:rowOff>9525</xdr:rowOff>
    </xdr:to>
    <xdr:sp macro="" textlink="">
      <xdr:nvSpPr>
        <xdr:cNvPr id="1122" name="AutoShape 98" descr="Formula">
          <a:extLst>
            <a:ext uri="{FF2B5EF4-FFF2-40B4-BE49-F238E27FC236}">
              <a16:creationId xmlns:a16="http://schemas.microsoft.com/office/drawing/2014/main" id="{00000000-0008-0000-0200-000062040000}"/>
            </a:ext>
          </a:extLst>
        </xdr:cNvPr>
        <xdr:cNvSpPr>
          <a:spLocks noChangeAspect="1" noChangeArrowheads="1"/>
        </xdr:cNvSpPr>
      </xdr:nvSpPr>
      <xdr:spPr bwMode="auto">
        <a:xfrm>
          <a:off x="0" y="8724900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57150</xdr:colOff>
      <xdr:row>49</xdr:row>
      <xdr:rowOff>9525</xdr:rowOff>
    </xdr:to>
    <xdr:sp macro="" textlink="">
      <xdr:nvSpPr>
        <xdr:cNvPr id="1123" name="AutoShape 99" descr="Formula">
          <a:extLst>
            <a:ext uri="{FF2B5EF4-FFF2-40B4-BE49-F238E27FC236}">
              <a16:creationId xmlns:a16="http://schemas.microsoft.com/office/drawing/2014/main" id="{00000000-0008-0000-0200-000063040000}"/>
            </a:ext>
          </a:extLst>
        </xdr:cNvPr>
        <xdr:cNvSpPr>
          <a:spLocks noChangeAspect="1" noChangeArrowheads="1"/>
        </xdr:cNvSpPr>
      </xdr:nvSpPr>
      <xdr:spPr bwMode="auto">
        <a:xfrm>
          <a:off x="0" y="8724900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57150</xdr:colOff>
      <xdr:row>49</xdr:row>
      <xdr:rowOff>9525</xdr:rowOff>
    </xdr:to>
    <xdr:sp macro="" textlink="">
      <xdr:nvSpPr>
        <xdr:cNvPr id="1124" name="AutoShape 100" descr="Formula">
          <a:extLst>
            <a:ext uri="{FF2B5EF4-FFF2-40B4-BE49-F238E27FC236}">
              <a16:creationId xmlns:a16="http://schemas.microsoft.com/office/drawing/2014/main" id="{00000000-0008-0000-0200-000064040000}"/>
            </a:ext>
          </a:extLst>
        </xdr:cNvPr>
        <xdr:cNvSpPr>
          <a:spLocks noChangeAspect="1" noChangeArrowheads="1"/>
        </xdr:cNvSpPr>
      </xdr:nvSpPr>
      <xdr:spPr bwMode="auto">
        <a:xfrm>
          <a:off x="0" y="8724900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57150</xdr:colOff>
      <xdr:row>49</xdr:row>
      <xdr:rowOff>9525</xdr:rowOff>
    </xdr:to>
    <xdr:sp macro="" textlink="">
      <xdr:nvSpPr>
        <xdr:cNvPr id="1125" name="AutoShape 101" descr="Formula">
          <a:extLst>
            <a:ext uri="{FF2B5EF4-FFF2-40B4-BE49-F238E27FC236}">
              <a16:creationId xmlns:a16="http://schemas.microsoft.com/office/drawing/2014/main" id="{00000000-0008-0000-0200-000065040000}"/>
            </a:ext>
          </a:extLst>
        </xdr:cNvPr>
        <xdr:cNvSpPr>
          <a:spLocks noChangeAspect="1" noChangeArrowheads="1"/>
        </xdr:cNvSpPr>
      </xdr:nvSpPr>
      <xdr:spPr bwMode="auto">
        <a:xfrm>
          <a:off x="0" y="8724900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57150</xdr:colOff>
      <xdr:row>49</xdr:row>
      <xdr:rowOff>9525</xdr:rowOff>
    </xdr:to>
    <xdr:sp macro="" textlink="">
      <xdr:nvSpPr>
        <xdr:cNvPr id="1126" name="AutoShape 102" descr="Formula">
          <a:extLst>
            <a:ext uri="{FF2B5EF4-FFF2-40B4-BE49-F238E27FC236}">
              <a16:creationId xmlns:a16="http://schemas.microsoft.com/office/drawing/2014/main" id="{00000000-0008-0000-0200-000066040000}"/>
            </a:ext>
          </a:extLst>
        </xdr:cNvPr>
        <xdr:cNvSpPr>
          <a:spLocks noChangeAspect="1" noChangeArrowheads="1"/>
        </xdr:cNvSpPr>
      </xdr:nvSpPr>
      <xdr:spPr bwMode="auto">
        <a:xfrm>
          <a:off x="0" y="8724900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57150</xdr:colOff>
      <xdr:row>49</xdr:row>
      <xdr:rowOff>9525</xdr:rowOff>
    </xdr:to>
    <xdr:sp macro="" textlink="">
      <xdr:nvSpPr>
        <xdr:cNvPr id="1127" name="AutoShape 103" descr="Formula">
          <a:extLst>
            <a:ext uri="{FF2B5EF4-FFF2-40B4-BE49-F238E27FC236}">
              <a16:creationId xmlns:a16="http://schemas.microsoft.com/office/drawing/2014/main" id="{00000000-0008-0000-0200-000067040000}"/>
            </a:ext>
          </a:extLst>
        </xdr:cNvPr>
        <xdr:cNvSpPr>
          <a:spLocks noChangeAspect="1" noChangeArrowheads="1"/>
        </xdr:cNvSpPr>
      </xdr:nvSpPr>
      <xdr:spPr bwMode="auto">
        <a:xfrm>
          <a:off x="0" y="8724900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57150</xdr:colOff>
      <xdr:row>49</xdr:row>
      <xdr:rowOff>9525</xdr:rowOff>
    </xdr:to>
    <xdr:sp macro="" textlink="">
      <xdr:nvSpPr>
        <xdr:cNvPr id="1128" name="AutoShape 104" descr="Formula">
          <a:extLst>
            <a:ext uri="{FF2B5EF4-FFF2-40B4-BE49-F238E27FC236}">
              <a16:creationId xmlns:a16="http://schemas.microsoft.com/office/drawing/2014/main" id="{00000000-0008-0000-0200-000068040000}"/>
            </a:ext>
          </a:extLst>
        </xdr:cNvPr>
        <xdr:cNvSpPr>
          <a:spLocks noChangeAspect="1" noChangeArrowheads="1"/>
        </xdr:cNvSpPr>
      </xdr:nvSpPr>
      <xdr:spPr bwMode="auto">
        <a:xfrm>
          <a:off x="0" y="8724900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57150</xdr:colOff>
      <xdr:row>49</xdr:row>
      <xdr:rowOff>9525</xdr:rowOff>
    </xdr:to>
    <xdr:sp macro="" textlink="">
      <xdr:nvSpPr>
        <xdr:cNvPr id="1129" name="AutoShape 105" descr="Formula">
          <a:extLst>
            <a:ext uri="{FF2B5EF4-FFF2-40B4-BE49-F238E27FC236}">
              <a16:creationId xmlns:a16="http://schemas.microsoft.com/office/drawing/2014/main" id="{00000000-0008-0000-0200-000069040000}"/>
            </a:ext>
          </a:extLst>
        </xdr:cNvPr>
        <xdr:cNvSpPr>
          <a:spLocks noChangeAspect="1" noChangeArrowheads="1"/>
        </xdr:cNvSpPr>
      </xdr:nvSpPr>
      <xdr:spPr bwMode="auto">
        <a:xfrm>
          <a:off x="0" y="8724900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57150</xdr:colOff>
      <xdr:row>49</xdr:row>
      <xdr:rowOff>9525</xdr:rowOff>
    </xdr:to>
    <xdr:sp macro="" textlink="">
      <xdr:nvSpPr>
        <xdr:cNvPr id="1130" name="AutoShape 106" descr="Formula">
          <a:extLst>
            <a:ext uri="{FF2B5EF4-FFF2-40B4-BE49-F238E27FC236}">
              <a16:creationId xmlns:a16="http://schemas.microsoft.com/office/drawing/2014/main" id="{00000000-0008-0000-0200-00006A040000}"/>
            </a:ext>
          </a:extLst>
        </xdr:cNvPr>
        <xdr:cNvSpPr>
          <a:spLocks noChangeAspect="1" noChangeArrowheads="1"/>
        </xdr:cNvSpPr>
      </xdr:nvSpPr>
      <xdr:spPr bwMode="auto">
        <a:xfrm>
          <a:off x="0" y="8724900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57150</xdr:colOff>
      <xdr:row>49</xdr:row>
      <xdr:rowOff>9525</xdr:rowOff>
    </xdr:to>
    <xdr:sp macro="" textlink="">
      <xdr:nvSpPr>
        <xdr:cNvPr id="1131" name="AutoShape 107" descr="Formula">
          <a:extLst>
            <a:ext uri="{FF2B5EF4-FFF2-40B4-BE49-F238E27FC236}">
              <a16:creationId xmlns:a16="http://schemas.microsoft.com/office/drawing/2014/main" id="{00000000-0008-0000-0200-00006B040000}"/>
            </a:ext>
          </a:extLst>
        </xdr:cNvPr>
        <xdr:cNvSpPr>
          <a:spLocks noChangeAspect="1" noChangeArrowheads="1"/>
        </xdr:cNvSpPr>
      </xdr:nvSpPr>
      <xdr:spPr bwMode="auto">
        <a:xfrm>
          <a:off x="0" y="8724900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57150</xdr:colOff>
      <xdr:row>49</xdr:row>
      <xdr:rowOff>9525</xdr:rowOff>
    </xdr:to>
    <xdr:sp macro="" textlink="">
      <xdr:nvSpPr>
        <xdr:cNvPr id="1132" name="AutoShape 108" descr="Formula">
          <a:extLst>
            <a:ext uri="{FF2B5EF4-FFF2-40B4-BE49-F238E27FC236}">
              <a16:creationId xmlns:a16="http://schemas.microsoft.com/office/drawing/2014/main" id="{00000000-0008-0000-0200-00006C040000}"/>
            </a:ext>
          </a:extLst>
        </xdr:cNvPr>
        <xdr:cNvSpPr>
          <a:spLocks noChangeAspect="1" noChangeArrowheads="1"/>
        </xdr:cNvSpPr>
      </xdr:nvSpPr>
      <xdr:spPr bwMode="auto">
        <a:xfrm>
          <a:off x="0" y="8724900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57150</xdr:colOff>
      <xdr:row>49</xdr:row>
      <xdr:rowOff>9525</xdr:rowOff>
    </xdr:to>
    <xdr:sp macro="" textlink="">
      <xdr:nvSpPr>
        <xdr:cNvPr id="1135" name="AutoShape 111" descr="Formula">
          <a:extLst>
            <a:ext uri="{FF2B5EF4-FFF2-40B4-BE49-F238E27FC236}">
              <a16:creationId xmlns:a16="http://schemas.microsoft.com/office/drawing/2014/main" id="{00000000-0008-0000-0200-00006F040000}"/>
            </a:ext>
          </a:extLst>
        </xdr:cNvPr>
        <xdr:cNvSpPr>
          <a:spLocks noChangeAspect="1" noChangeArrowheads="1"/>
        </xdr:cNvSpPr>
      </xdr:nvSpPr>
      <xdr:spPr bwMode="auto">
        <a:xfrm>
          <a:off x="0" y="8724900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57150</xdr:colOff>
      <xdr:row>49</xdr:row>
      <xdr:rowOff>9525</xdr:rowOff>
    </xdr:to>
    <xdr:sp macro="" textlink="">
      <xdr:nvSpPr>
        <xdr:cNvPr id="1136" name="AutoShape 112" descr="Formula">
          <a:extLst>
            <a:ext uri="{FF2B5EF4-FFF2-40B4-BE49-F238E27FC236}">
              <a16:creationId xmlns:a16="http://schemas.microsoft.com/office/drawing/2014/main" id="{00000000-0008-0000-0200-000070040000}"/>
            </a:ext>
          </a:extLst>
        </xdr:cNvPr>
        <xdr:cNvSpPr>
          <a:spLocks noChangeAspect="1" noChangeArrowheads="1"/>
        </xdr:cNvSpPr>
      </xdr:nvSpPr>
      <xdr:spPr bwMode="auto">
        <a:xfrm>
          <a:off x="0" y="8724900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57150</xdr:colOff>
      <xdr:row>49</xdr:row>
      <xdr:rowOff>9525</xdr:rowOff>
    </xdr:to>
    <xdr:sp macro="" textlink="">
      <xdr:nvSpPr>
        <xdr:cNvPr id="1139" name="AutoShape 115" descr="Formula">
          <a:extLst>
            <a:ext uri="{FF2B5EF4-FFF2-40B4-BE49-F238E27FC236}">
              <a16:creationId xmlns:a16="http://schemas.microsoft.com/office/drawing/2014/main" id="{00000000-0008-0000-0200-000073040000}"/>
            </a:ext>
          </a:extLst>
        </xdr:cNvPr>
        <xdr:cNvSpPr>
          <a:spLocks noChangeAspect="1" noChangeArrowheads="1"/>
        </xdr:cNvSpPr>
      </xdr:nvSpPr>
      <xdr:spPr bwMode="auto">
        <a:xfrm>
          <a:off x="0" y="8724900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57150</xdr:colOff>
      <xdr:row>49</xdr:row>
      <xdr:rowOff>9525</xdr:rowOff>
    </xdr:to>
    <xdr:sp macro="" textlink="">
      <xdr:nvSpPr>
        <xdr:cNvPr id="1140" name="AutoShape 116" descr="Formula">
          <a:extLst>
            <a:ext uri="{FF2B5EF4-FFF2-40B4-BE49-F238E27FC236}">
              <a16:creationId xmlns:a16="http://schemas.microsoft.com/office/drawing/2014/main" id="{00000000-0008-0000-0200-000074040000}"/>
            </a:ext>
          </a:extLst>
        </xdr:cNvPr>
        <xdr:cNvSpPr>
          <a:spLocks noChangeAspect="1" noChangeArrowheads="1"/>
        </xdr:cNvSpPr>
      </xdr:nvSpPr>
      <xdr:spPr bwMode="auto">
        <a:xfrm>
          <a:off x="0" y="8724900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57150</xdr:colOff>
      <xdr:row>49</xdr:row>
      <xdr:rowOff>9525</xdr:rowOff>
    </xdr:to>
    <xdr:sp macro="" textlink="">
      <xdr:nvSpPr>
        <xdr:cNvPr id="1143" name="AutoShape 119" descr="Formula">
          <a:extLst>
            <a:ext uri="{FF2B5EF4-FFF2-40B4-BE49-F238E27FC236}">
              <a16:creationId xmlns:a16="http://schemas.microsoft.com/office/drawing/2014/main" id="{00000000-0008-0000-0200-000077040000}"/>
            </a:ext>
          </a:extLst>
        </xdr:cNvPr>
        <xdr:cNvSpPr>
          <a:spLocks noChangeAspect="1" noChangeArrowheads="1"/>
        </xdr:cNvSpPr>
      </xdr:nvSpPr>
      <xdr:spPr bwMode="auto">
        <a:xfrm>
          <a:off x="0" y="8724900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57150</xdr:colOff>
      <xdr:row>49</xdr:row>
      <xdr:rowOff>9525</xdr:rowOff>
    </xdr:to>
    <xdr:sp macro="" textlink="">
      <xdr:nvSpPr>
        <xdr:cNvPr id="1144" name="AutoShape 120" descr="Formula">
          <a:extLst>
            <a:ext uri="{FF2B5EF4-FFF2-40B4-BE49-F238E27FC236}">
              <a16:creationId xmlns:a16="http://schemas.microsoft.com/office/drawing/2014/main" id="{00000000-0008-0000-0200-000078040000}"/>
            </a:ext>
          </a:extLst>
        </xdr:cNvPr>
        <xdr:cNvSpPr>
          <a:spLocks noChangeAspect="1" noChangeArrowheads="1"/>
        </xdr:cNvSpPr>
      </xdr:nvSpPr>
      <xdr:spPr bwMode="auto">
        <a:xfrm>
          <a:off x="0" y="8724900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57150</xdr:colOff>
      <xdr:row>49</xdr:row>
      <xdr:rowOff>9525</xdr:rowOff>
    </xdr:to>
    <xdr:sp macro="" textlink="">
      <xdr:nvSpPr>
        <xdr:cNvPr id="1147" name="AutoShape 123" descr="Formula">
          <a:extLst>
            <a:ext uri="{FF2B5EF4-FFF2-40B4-BE49-F238E27FC236}">
              <a16:creationId xmlns:a16="http://schemas.microsoft.com/office/drawing/2014/main" id="{00000000-0008-0000-0200-00007B040000}"/>
            </a:ext>
          </a:extLst>
        </xdr:cNvPr>
        <xdr:cNvSpPr>
          <a:spLocks noChangeAspect="1" noChangeArrowheads="1"/>
        </xdr:cNvSpPr>
      </xdr:nvSpPr>
      <xdr:spPr bwMode="auto">
        <a:xfrm>
          <a:off x="0" y="8724900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57150</xdr:colOff>
      <xdr:row>49</xdr:row>
      <xdr:rowOff>9525</xdr:rowOff>
    </xdr:to>
    <xdr:sp macro="" textlink="">
      <xdr:nvSpPr>
        <xdr:cNvPr id="1148" name="AutoShape 124" descr="Formula">
          <a:extLst>
            <a:ext uri="{FF2B5EF4-FFF2-40B4-BE49-F238E27FC236}">
              <a16:creationId xmlns:a16="http://schemas.microsoft.com/office/drawing/2014/main" id="{00000000-0008-0000-0200-00007C040000}"/>
            </a:ext>
          </a:extLst>
        </xdr:cNvPr>
        <xdr:cNvSpPr>
          <a:spLocks noChangeAspect="1" noChangeArrowheads="1"/>
        </xdr:cNvSpPr>
      </xdr:nvSpPr>
      <xdr:spPr bwMode="auto">
        <a:xfrm>
          <a:off x="0" y="8724900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57150</xdr:colOff>
      <xdr:row>49</xdr:row>
      <xdr:rowOff>9525</xdr:rowOff>
    </xdr:to>
    <xdr:sp macro="" textlink="">
      <xdr:nvSpPr>
        <xdr:cNvPr id="1151" name="AutoShape 127" descr="Formula">
          <a:extLst>
            <a:ext uri="{FF2B5EF4-FFF2-40B4-BE49-F238E27FC236}">
              <a16:creationId xmlns:a16="http://schemas.microsoft.com/office/drawing/2014/main" id="{00000000-0008-0000-0200-00007F040000}"/>
            </a:ext>
          </a:extLst>
        </xdr:cNvPr>
        <xdr:cNvSpPr>
          <a:spLocks noChangeAspect="1" noChangeArrowheads="1"/>
        </xdr:cNvSpPr>
      </xdr:nvSpPr>
      <xdr:spPr bwMode="auto">
        <a:xfrm>
          <a:off x="0" y="8724900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57150</xdr:colOff>
      <xdr:row>49</xdr:row>
      <xdr:rowOff>9525</xdr:rowOff>
    </xdr:to>
    <xdr:sp macro="" textlink="">
      <xdr:nvSpPr>
        <xdr:cNvPr id="1152" name="AutoShape 128" descr="Formula">
          <a:extLst>
            <a:ext uri="{FF2B5EF4-FFF2-40B4-BE49-F238E27FC236}">
              <a16:creationId xmlns:a16="http://schemas.microsoft.com/office/drawing/2014/main" id="{00000000-0008-0000-0200-000080040000}"/>
            </a:ext>
          </a:extLst>
        </xdr:cNvPr>
        <xdr:cNvSpPr>
          <a:spLocks noChangeAspect="1" noChangeArrowheads="1"/>
        </xdr:cNvSpPr>
      </xdr:nvSpPr>
      <xdr:spPr bwMode="auto">
        <a:xfrm>
          <a:off x="0" y="8724900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57150</xdr:colOff>
      <xdr:row>49</xdr:row>
      <xdr:rowOff>9525</xdr:rowOff>
    </xdr:to>
    <xdr:sp macro="" textlink="">
      <xdr:nvSpPr>
        <xdr:cNvPr id="1155" name="AutoShape 131" descr="Formula">
          <a:extLst>
            <a:ext uri="{FF2B5EF4-FFF2-40B4-BE49-F238E27FC236}">
              <a16:creationId xmlns:a16="http://schemas.microsoft.com/office/drawing/2014/main" id="{00000000-0008-0000-0200-000083040000}"/>
            </a:ext>
          </a:extLst>
        </xdr:cNvPr>
        <xdr:cNvSpPr>
          <a:spLocks noChangeAspect="1" noChangeArrowheads="1"/>
        </xdr:cNvSpPr>
      </xdr:nvSpPr>
      <xdr:spPr bwMode="auto">
        <a:xfrm>
          <a:off x="0" y="8724900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57150</xdr:colOff>
      <xdr:row>49</xdr:row>
      <xdr:rowOff>9525</xdr:rowOff>
    </xdr:to>
    <xdr:sp macro="" textlink="">
      <xdr:nvSpPr>
        <xdr:cNvPr id="1156" name="AutoShape 132" descr="Formula">
          <a:extLst>
            <a:ext uri="{FF2B5EF4-FFF2-40B4-BE49-F238E27FC236}">
              <a16:creationId xmlns:a16="http://schemas.microsoft.com/office/drawing/2014/main" id="{00000000-0008-0000-0200-000084040000}"/>
            </a:ext>
          </a:extLst>
        </xdr:cNvPr>
        <xdr:cNvSpPr>
          <a:spLocks noChangeAspect="1" noChangeArrowheads="1"/>
        </xdr:cNvSpPr>
      </xdr:nvSpPr>
      <xdr:spPr bwMode="auto">
        <a:xfrm>
          <a:off x="0" y="8724900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57150</xdr:colOff>
      <xdr:row>49</xdr:row>
      <xdr:rowOff>9525</xdr:rowOff>
    </xdr:to>
    <xdr:sp macro="" textlink="">
      <xdr:nvSpPr>
        <xdr:cNvPr id="1159" name="AutoShape 135" descr="Formula">
          <a:extLst>
            <a:ext uri="{FF2B5EF4-FFF2-40B4-BE49-F238E27FC236}">
              <a16:creationId xmlns:a16="http://schemas.microsoft.com/office/drawing/2014/main" id="{00000000-0008-0000-0200-000087040000}"/>
            </a:ext>
          </a:extLst>
        </xdr:cNvPr>
        <xdr:cNvSpPr>
          <a:spLocks noChangeAspect="1" noChangeArrowheads="1"/>
        </xdr:cNvSpPr>
      </xdr:nvSpPr>
      <xdr:spPr bwMode="auto">
        <a:xfrm>
          <a:off x="0" y="8724900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57150</xdr:colOff>
      <xdr:row>49</xdr:row>
      <xdr:rowOff>9525</xdr:rowOff>
    </xdr:to>
    <xdr:sp macro="" textlink="">
      <xdr:nvSpPr>
        <xdr:cNvPr id="1160" name="AutoShape 136" descr="Formula">
          <a:extLst>
            <a:ext uri="{FF2B5EF4-FFF2-40B4-BE49-F238E27FC236}">
              <a16:creationId xmlns:a16="http://schemas.microsoft.com/office/drawing/2014/main" id="{00000000-0008-0000-0200-000088040000}"/>
            </a:ext>
          </a:extLst>
        </xdr:cNvPr>
        <xdr:cNvSpPr>
          <a:spLocks noChangeAspect="1" noChangeArrowheads="1"/>
        </xdr:cNvSpPr>
      </xdr:nvSpPr>
      <xdr:spPr bwMode="auto">
        <a:xfrm>
          <a:off x="0" y="8724900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50</xdr:row>
      <xdr:rowOff>0</xdr:rowOff>
    </xdr:from>
    <xdr:to>
      <xdr:col>4</xdr:col>
      <xdr:colOff>57150</xdr:colOff>
      <xdr:row>50</xdr:row>
      <xdr:rowOff>9525</xdr:rowOff>
    </xdr:to>
    <xdr:sp macro="" textlink="">
      <xdr:nvSpPr>
        <xdr:cNvPr id="93" name="AutoShape 2" descr="Formula">
          <a:extLst>
            <a:ext uri="{FF2B5EF4-FFF2-40B4-BE49-F238E27FC236}">
              <a16:creationId xmlns:a16="http://schemas.microsoft.com/office/drawing/2014/main" id="{00000000-0008-0000-0200-00005D000000}"/>
            </a:ext>
          </a:extLst>
        </xdr:cNvPr>
        <xdr:cNvSpPr>
          <a:spLocks noChangeAspect="1" noChangeArrowheads="1"/>
        </xdr:cNvSpPr>
      </xdr:nvSpPr>
      <xdr:spPr bwMode="auto">
        <a:xfrm>
          <a:off x="2743200" y="8039100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50</xdr:row>
      <xdr:rowOff>0</xdr:rowOff>
    </xdr:from>
    <xdr:to>
      <xdr:col>4</xdr:col>
      <xdr:colOff>57150</xdr:colOff>
      <xdr:row>50</xdr:row>
      <xdr:rowOff>9525</xdr:rowOff>
    </xdr:to>
    <xdr:sp macro="" textlink="">
      <xdr:nvSpPr>
        <xdr:cNvPr id="94" name="AutoShape 5" descr="Formula">
          <a:extLst>
            <a:ext uri="{FF2B5EF4-FFF2-40B4-BE49-F238E27FC236}">
              <a16:creationId xmlns:a16="http://schemas.microsoft.com/office/drawing/2014/main" id="{00000000-0008-0000-0200-00005E000000}"/>
            </a:ext>
          </a:extLst>
        </xdr:cNvPr>
        <xdr:cNvSpPr>
          <a:spLocks noChangeAspect="1" noChangeArrowheads="1"/>
        </xdr:cNvSpPr>
      </xdr:nvSpPr>
      <xdr:spPr bwMode="auto">
        <a:xfrm>
          <a:off x="2743200" y="8039100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50</xdr:row>
      <xdr:rowOff>0</xdr:rowOff>
    </xdr:from>
    <xdr:to>
      <xdr:col>4</xdr:col>
      <xdr:colOff>57150</xdr:colOff>
      <xdr:row>50</xdr:row>
      <xdr:rowOff>9525</xdr:rowOff>
    </xdr:to>
    <xdr:sp macro="" textlink="">
      <xdr:nvSpPr>
        <xdr:cNvPr id="95" name="AutoShape 8" descr="Formula">
          <a:extLst>
            <a:ext uri="{FF2B5EF4-FFF2-40B4-BE49-F238E27FC236}">
              <a16:creationId xmlns:a16="http://schemas.microsoft.com/office/drawing/2014/main" id="{00000000-0008-0000-0200-00005F000000}"/>
            </a:ext>
          </a:extLst>
        </xdr:cNvPr>
        <xdr:cNvSpPr>
          <a:spLocks noChangeAspect="1" noChangeArrowheads="1"/>
        </xdr:cNvSpPr>
      </xdr:nvSpPr>
      <xdr:spPr bwMode="auto">
        <a:xfrm>
          <a:off x="2743200" y="8039100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50</xdr:row>
      <xdr:rowOff>0</xdr:rowOff>
    </xdr:from>
    <xdr:to>
      <xdr:col>4</xdr:col>
      <xdr:colOff>57150</xdr:colOff>
      <xdr:row>50</xdr:row>
      <xdr:rowOff>9525</xdr:rowOff>
    </xdr:to>
    <xdr:sp macro="" textlink="">
      <xdr:nvSpPr>
        <xdr:cNvPr id="97" name="AutoShape 11" descr="Formula">
          <a:extLst>
            <a:ext uri="{FF2B5EF4-FFF2-40B4-BE49-F238E27FC236}">
              <a16:creationId xmlns:a16="http://schemas.microsoft.com/office/drawing/2014/main" id="{00000000-0008-0000-0200-000061000000}"/>
            </a:ext>
          </a:extLst>
        </xdr:cNvPr>
        <xdr:cNvSpPr>
          <a:spLocks noChangeAspect="1" noChangeArrowheads="1"/>
        </xdr:cNvSpPr>
      </xdr:nvSpPr>
      <xdr:spPr bwMode="auto">
        <a:xfrm>
          <a:off x="2743200" y="8039100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50</xdr:row>
      <xdr:rowOff>0</xdr:rowOff>
    </xdr:from>
    <xdr:to>
      <xdr:col>4</xdr:col>
      <xdr:colOff>57150</xdr:colOff>
      <xdr:row>50</xdr:row>
      <xdr:rowOff>9525</xdr:rowOff>
    </xdr:to>
    <xdr:sp macro="" textlink="">
      <xdr:nvSpPr>
        <xdr:cNvPr id="98" name="AutoShape 14" descr="Formula">
          <a:extLst>
            <a:ext uri="{FF2B5EF4-FFF2-40B4-BE49-F238E27FC236}">
              <a16:creationId xmlns:a16="http://schemas.microsoft.com/office/drawing/2014/main" id="{00000000-0008-0000-0200-000062000000}"/>
            </a:ext>
          </a:extLst>
        </xdr:cNvPr>
        <xdr:cNvSpPr>
          <a:spLocks noChangeAspect="1" noChangeArrowheads="1"/>
        </xdr:cNvSpPr>
      </xdr:nvSpPr>
      <xdr:spPr bwMode="auto">
        <a:xfrm>
          <a:off x="2743200" y="8039100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50</xdr:row>
      <xdr:rowOff>0</xdr:rowOff>
    </xdr:from>
    <xdr:to>
      <xdr:col>4</xdr:col>
      <xdr:colOff>57150</xdr:colOff>
      <xdr:row>50</xdr:row>
      <xdr:rowOff>9525</xdr:rowOff>
    </xdr:to>
    <xdr:sp macro="" textlink="">
      <xdr:nvSpPr>
        <xdr:cNvPr id="99" name="AutoShape 17" descr="Formula">
          <a:extLst>
            <a:ext uri="{FF2B5EF4-FFF2-40B4-BE49-F238E27FC236}">
              <a16:creationId xmlns:a16="http://schemas.microsoft.com/office/drawing/2014/main" id="{00000000-0008-0000-0200-000063000000}"/>
            </a:ext>
          </a:extLst>
        </xdr:cNvPr>
        <xdr:cNvSpPr>
          <a:spLocks noChangeAspect="1" noChangeArrowheads="1"/>
        </xdr:cNvSpPr>
      </xdr:nvSpPr>
      <xdr:spPr bwMode="auto">
        <a:xfrm>
          <a:off x="2743200" y="8039100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50</xdr:row>
      <xdr:rowOff>0</xdr:rowOff>
    </xdr:from>
    <xdr:to>
      <xdr:col>4</xdr:col>
      <xdr:colOff>57150</xdr:colOff>
      <xdr:row>50</xdr:row>
      <xdr:rowOff>9525</xdr:rowOff>
    </xdr:to>
    <xdr:sp macro="" textlink="">
      <xdr:nvSpPr>
        <xdr:cNvPr id="100" name="AutoShape 20" descr="Formula">
          <a:extLst>
            <a:ext uri="{FF2B5EF4-FFF2-40B4-BE49-F238E27FC236}">
              <a16:creationId xmlns:a16="http://schemas.microsoft.com/office/drawing/2014/main" id="{00000000-0008-0000-0200-000064000000}"/>
            </a:ext>
          </a:extLst>
        </xdr:cNvPr>
        <xdr:cNvSpPr>
          <a:spLocks noChangeAspect="1" noChangeArrowheads="1"/>
        </xdr:cNvSpPr>
      </xdr:nvSpPr>
      <xdr:spPr bwMode="auto">
        <a:xfrm>
          <a:off x="2743200" y="8039100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50</xdr:row>
      <xdr:rowOff>0</xdr:rowOff>
    </xdr:from>
    <xdr:to>
      <xdr:col>4</xdr:col>
      <xdr:colOff>57150</xdr:colOff>
      <xdr:row>50</xdr:row>
      <xdr:rowOff>9525</xdr:rowOff>
    </xdr:to>
    <xdr:sp macro="" textlink="">
      <xdr:nvSpPr>
        <xdr:cNvPr id="101" name="AutoShape 23" descr="Formula">
          <a:extLst>
            <a:ext uri="{FF2B5EF4-FFF2-40B4-BE49-F238E27FC236}">
              <a16:creationId xmlns:a16="http://schemas.microsoft.com/office/drawing/2014/main" id="{00000000-0008-0000-0200-000065000000}"/>
            </a:ext>
          </a:extLst>
        </xdr:cNvPr>
        <xdr:cNvSpPr>
          <a:spLocks noChangeAspect="1" noChangeArrowheads="1"/>
        </xdr:cNvSpPr>
      </xdr:nvSpPr>
      <xdr:spPr bwMode="auto">
        <a:xfrm>
          <a:off x="2743200" y="8039100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50</xdr:row>
      <xdr:rowOff>0</xdr:rowOff>
    </xdr:from>
    <xdr:to>
      <xdr:col>4</xdr:col>
      <xdr:colOff>57150</xdr:colOff>
      <xdr:row>50</xdr:row>
      <xdr:rowOff>9525</xdr:rowOff>
    </xdr:to>
    <xdr:sp macro="" textlink="">
      <xdr:nvSpPr>
        <xdr:cNvPr id="102" name="AutoShape 26" descr="Formula">
          <a:extLst>
            <a:ext uri="{FF2B5EF4-FFF2-40B4-BE49-F238E27FC236}">
              <a16:creationId xmlns:a16="http://schemas.microsoft.com/office/drawing/2014/main" id="{00000000-0008-0000-0200-000066000000}"/>
            </a:ext>
          </a:extLst>
        </xdr:cNvPr>
        <xdr:cNvSpPr>
          <a:spLocks noChangeAspect="1" noChangeArrowheads="1"/>
        </xdr:cNvSpPr>
      </xdr:nvSpPr>
      <xdr:spPr bwMode="auto">
        <a:xfrm>
          <a:off x="2743200" y="8039100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50</xdr:row>
      <xdr:rowOff>0</xdr:rowOff>
    </xdr:from>
    <xdr:to>
      <xdr:col>4</xdr:col>
      <xdr:colOff>57150</xdr:colOff>
      <xdr:row>50</xdr:row>
      <xdr:rowOff>9525</xdr:rowOff>
    </xdr:to>
    <xdr:sp macro="" textlink="">
      <xdr:nvSpPr>
        <xdr:cNvPr id="103" name="AutoShape 29" descr="Formula">
          <a:extLst>
            <a:ext uri="{FF2B5EF4-FFF2-40B4-BE49-F238E27FC236}">
              <a16:creationId xmlns:a16="http://schemas.microsoft.com/office/drawing/2014/main" id="{00000000-0008-0000-0200-000067000000}"/>
            </a:ext>
          </a:extLst>
        </xdr:cNvPr>
        <xdr:cNvSpPr>
          <a:spLocks noChangeAspect="1" noChangeArrowheads="1"/>
        </xdr:cNvSpPr>
      </xdr:nvSpPr>
      <xdr:spPr bwMode="auto">
        <a:xfrm>
          <a:off x="2743200" y="8039100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50</xdr:row>
      <xdr:rowOff>0</xdr:rowOff>
    </xdr:from>
    <xdr:to>
      <xdr:col>4</xdr:col>
      <xdr:colOff>57150</xdr:colOff>
      <xdr:row>50</xdr:row>
      <xdr:rowOff>9525</xdr:rowOff>
    </xdr:to>
    <xdr:sp macro="" textlink="">
      <xdr:nvSpPr>
        <xdr:cNvPr id="104" name="AutoShape 32" descr="Formula">
          <a:extLst>
            <a:ext uri="{FF2B5EF4-FFF2-40B4-BE49-F238E27FC236}">
              <a16:creationId xmlns:a16="http://schemas.microsoft.com/office/drawing/2014/main" id="{00000000-0008-0000-0200-000068000000}"/>
            </a:ext>
          </a:extLst>
        </xdr:cNvPr>
        <xdr:cNvSpPr>
          <a:spLocks noChangeAspect="1" noChangeArrowheads="1"/>
        </xdr:cNvSpPr>
      </xdr:nvSpPr>
      <xdr:spPr bwMode="auto">
        <a:xfrm>
          <a:off x="2743200" y="8039100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50</xdr:row>
      <xdr:rowOff>0</xdr:rowOff>
    </xdr:from>
    <xdr:to>
      <xdr:col>4</xdr:col>
      <xdr:colOff>57150</xdr:colOff>
      <xdr:row>50</xdr:row>
      <xdr:rowOff>9525</xdr:rowOff>
    </xdr:to>
    <xdr:sp macro="" textlink="">
      <xdr:nvSpPr>
        <xdr:cNvPr id="105" name="AutoShape 35" descr="Formula">
          <a:extLst>
            <a:ext uri="{FF2B5EF4-FFF2-40B4-BE49-F238E27FC236}">
              <a16:creationId xmlns:a16="http://schemas.microsoft.com/office/drawing/2014/main" id="{00000000-0008-0000-0200-000069000000}"/>
            </a:ext>
          </a:extLst>
        </xdr:cNvPr>
        <xdr:cNvSpPr>
          <a:spLocks noChangeAspect="1" noChangeArrowheads="1"/>
        </xdr:cNvSpPr>
      </xdr:nvSpPr>
      <xdr:spPr bwMode="auto">
        <a:xfrm>
          <a:off x="2743200" y="8039100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50</xdr:row>
      <xdr:rowOff>0</xdr:rowOff>
    </xdr:from>
    <xdr:to>
      <xdr:col>4</xdr:col>
      <xdr:colOff>57150</xdr:colOff>
      <xdr:row>50</xdr:row>
      <xdr:rowOff>9525</xdr:rowOff>
    </xdr:to>
    <xdr:sp macro="" textlink="">
      <xdr:nvSpPr>
        <xdr:cNvPr id="106" name="AutoShape 38" descr="Formula">
          <a:extLst>
            <a:ext uri="{FF2B5EF4-FFF2-40B4-BE49-F238E27FC236}">
              <a16:creationId xmlns:a16="http://schemas.microsoft.com/office/drawing/2014/main" id="{00000000-0008-0000-0200-00006A000000}"/>
            </a:ext>
          </a:extLst>
        </xdr:cNvPr>
        <xdr:cNvSpPr>
          <a:spLocks noChangeAspect="1" noChangeArrowheads="1"/>
        </xdr:cNvSpPr>
      </xdr:nvSpPr>
      <xdr:spPr bwMode="auto">
        <a:xfrm>
          <a:off x="2743200" y="8039100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50</xdr:row>
      <xdr:rowOff>0</xdr:rowOff>
    </xdr:from>
    <xdr:to>
      <xdr:col>4</xdr:col>
      <xdr:colOff>57150</xdr:colOff>
      <xdr:row>50</xdr:row>
      <xdr:rowOff>9525</xdr:rowOff>
    </xdr:to>
    <xdr:sp macro="" textlink="">
      <xdr:nvSpPr>
        <xdr:cNvPr id="107" name="AutoShape 41" descr="Formula">
          <a:extLst>
            <a:ext uri="{FF2B5EF4-FFF2-40B4-BE49-F238E27FC236}">
              <a16:creationId xmlns:a16="http://schemas.microsoft.com/office/drawing/2014/main" id="{00000000-0008-0000-0200-00006B000000}"/>
            </a:ext>
          </a:extLst>
        </xdr:cNvPr>
        <xdr:cNvSpPr>
          <a:spLocks noChangeAspect="1" noChangeArrowheads="1"/>
        </xdr:cNvSpPr>
      </xdr:nvSpPr>
      <xdr:spPr bwMode="auto">
        <a:xfrm>
          <a:off x="2743200" y="8039100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50</xdr:row>
      <xdr:rowOff>0</xdr:rowOff>
    </xdr:from>
    <xdr:to>
      <xdr:col>4</xdr:col>
      <xdr:colOff>57150</xdr:colOff>
      <xdr:row>50</xdr:row>
      <xdr:rowOff>9525</xdr:rowOff>
    </xdr:to>
    <xdr:sp macro="" textlink="">
      <xdr:nvSpPr>
        <xdr:cNvPr id="108" name="AutoShape 44" descr="Formula">
          <a:extLst>
            <a:ext uri="{FF2B5EF4-FFF2-40B4-BE49-F238E27FC236}">
              <a16:creationId xmlns:a16="http://schemas.microsoft.com/office/drawing/2014/main" id="{00000000-0008-0000-0200-00006C000000}"/>
            </a:ext>
          </a:extLst>
        </xdr:cNvPr>
        <xdr:cNvSpPr>
          <a:spLocks noChangeAspect="1" noChangeArrowheads="1"/>
        </xdr:cNvSpPr>
      </xdr:nvSpPr>
      <xdr:spPr bwMode="auto">
        <a:xfrm>
          <a:off x="2743200" y="8039100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50</xdr:row>
      <xdr:rowOff>0</xdr:rowOff>
    </xdr:from>
    <xdr:to>
      <xdr:col>4</xdr:col>
      <xdr:colOff>57150</xdr:colOff>
      <xdr:row>50</xdr:row>
      <xdr:rowOff>9525</xdr:rowOff>
    </xdr:to>
    <xdr:sp macro="" textlink="">
      <xdr:nvSpPr>
        <xdr:cNvPr id="109" name="AutoShape 47" descr="Formula">
          <a:extLst>
            <a:ext uri="{FF2B5EF4-FFF2-40B4-BE49-F238E27FC236}">
              <a16:creationId xmlns:a16="http://schemas.microsoft.com/office/drawing/2014/main" id="{00000000-0008-0000-0200-00006D000000}"/>
            </a:ext>
          </a:extLst>
        </xdr:cNvPr>
        <xdr:cNvSpPr>
          <a:spLocks noChangeAspect="1" noChangeArrowheads="1"/>
        </xdr:cNvSpPr>
      </xdr:nvSpPr>
      <xdr:spPr bwMode="auto">
        <a:xfrm>
          <a:off x="2743200" y="8039100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50</xdr:row>
      <xdr:rowOff>0</xdr:rowOff>
    </xdr:from>
    <xdr:to>
      <xdr:col>4</xdr:col>
      <xdr:colOff>57150</xdr:colOff>
      <xdr:row>50</xdr:row>
      <xdr:rowOff>9525</xdr:rowOff>
    </xdr:to>
    <xdr:sp macro="" textlink="">
      <xdr:nvSpPr>
        <xdr:cNvPr id="110" name="AutoShape 50" descr="Formula">
          <a:extLst>
            <a:ext uri="{FF2B5EF4-FFF2-40B4-BE49-F238E27FC236}">
              <a16:creationId xmlns:a16="http://schemas.microsoft.com/office/drawing/2014/main" id="{00000000-0008-0000-0200-00006E000000}"/>
            </a:ext>
          </a:extLst>
        </xdr:cNvPr>
        <xdr:cNvSpPr>
          <a:spLocks noChangeAspect="1" noChangeArrowheads="1"/>
        </xdr:cNvSpPr>
      </xdr:nvSpPr>
      <xdr:spPr bwMode="auto">
        <a:xfrm>
          <a:off x="2743200" y="8039100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50</xdr:row>
      <xdr:rowOff>0</xdr:rowOff>
    </xdr:from>
    <xdr:to>
      <xdr:col>4</xdr:col>
      <xdr:colOff>57150</xdr:colOff>
      <xdr:row>50</xdr:row>
      <xdr:rowOff>9525</xdr:rowOff>
    </xdr:to>
    <xdr:sp macro="" textlink="">
      <xdr:nvSpPr>
        <xdr:cNvPr id="111" name="AutoShape 53" descr="Formula">
          <a:extLst>
            <a:ext uri="{FF2B5EF4-FFF2-40B4-BE49-F238E27FC236}">
              <a16:creationId xmlns:a16="http://schemas.microsoft.com/office/drawing/2014/main" id="{00000000-0008-0000-0200-00006F000000}"/>
            </a:ext>
          </a:extLst>
        </xdr:cNvPr>
        <xdr:cNvSpPr>
          <a:spLocks noChangeAspect="1" noChangeArrowheads="1"/>
        </xdr:cNvSpPr>
      </xdr:nvSpPr>
      <xdr:spPr bwMode="auto">
        <a:xfrm>
          <a:off x="2743200" y="8039100"/>
          <a:ext cx="57150" cy="9525"/>
        </a:xfrm>
        <a:prstGeom prst="rect">
          <a:avLst/>
        </a:prstGeom>
        <a:noFill/>
      </xdr:spPr>
    </xdr:sp>
    <xdr:clientData/>
  </xdr:twoCellAnchor>
  <xdr:twoCellAnchor>
    <xdr:from>
      <xdr:col>3</xdr:col>
      <xdr:colOff>752475</xdr:colOff>
      <xdr:row>3</xdr:row>
      <xdr:rowOff>95250</xdr:rowOff>
    </xdr:from>
    <xdr:to>
      <xdr:col>4</xdr:col>
      <xdr:colOff>123825</xdr:colOff>
      <xdr:row>4</xdr:row>
      <xdr:rowOff>9525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57475" y="581025"/>
          <a:ext cx="209550" cy="123825"/>
        </a:xfrm>
        <a:prstGeom prst="rect">
          <a:avLst/>
        </a:prstGeom>
      </xdr:spPr>
    </xdr:pic>
    <xdr:clientData/>
  </xdr:twoCellAnchor>
  <xdr:twoCellAnchor>
    <xdr:from>
      <xdr:col>6</xdr:col>
      <xdr:colOff>352425</xdr:colOff>
      <xdr:row>3</xdr:row>
      <xdr:rowOff>76200</xdr:rowOff>
    </xdr:from>
    <xdr:to>
      <xdr:col>7</xdr:col>
      <xdr:colOff>133350</xdr:colOff>
      <xdr:row>4</xdr:row>
      <xdr:rowOff>9525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00550" y="561975"/>
          <a:ext cx="209550" cy="142875"/>
        </a:xfrm>
        <a:prstGeom prst="rect">
          <a:avLst/>
        </a:prstGeom>
      </xdr:spPr>
    </xdr:pic>
    <xdr:clientData/>
  </xdr:twoCellAnchor>
  <xdr:twoCellAnchor>
    <xdr:from>
      <xdr:col>9</xdr:col>
      <xdr:colOff>123825</xdr:colOff>
      <xdr:row>3</xdr:row>
      <xdr:rowOff>76200</xdr:rowOff>
    </xdr:from>
    <xdr:to>
      <xdr:col>10</xdr:col>
      <xdr:colOff>85725</xdr:colOff>
      <xdr:row>4</xdr:row>
      <xdr:rowOff>9525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91150" y="561975"/>
          <a:ext cx="209550" cy="142875"/>
        </a:xfrm>
        <a:prstGeom prst="rect">
          <a:avLst/>
        </a:prstGeom>
      </xdr:spPr>
    </xdr:pic>
    <xdr:clientData/>
  </xdr:twoCellAnchor>
  <xdr:twoCellAnchor>
    <xdr:from>
      <xdr:col>26</xdr:col>
      <xdr:colOff>38100</xdr:colOff>
      <xdr:row>3</xdr:row>
      <xdr:rowOff>114300</xdr:rowOff>
    </xdr:from>
    <xdr:to>
      <xdr:col>27</xdr:col>
      <xdr:colOff>0</xdr:colOff>
      <xdr:row>4</xdr:row>
      <xdr:rowOff>9525</xdr:rowOff>
    </xdr:to>
    <xdr:pic>
      <xdr:nvPicPr>
        <xdr:cNvPr id="18" name="Imagem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15475" y="600075"/>
          <a:ext cx="209550" cy="104775"/>
        </a:xfrm>
        <a:prstGeom prst="rect">
          <a:avLst/>
        </a:prstGeom>
      </xdr:spPr>
    </xdr:pic>
    <xdr:clientData/>
  </xdr:twoCellAnchor>
  <xdr:twoCellAnchor>
    <xdr:from>
      <xdr:col>7</xdr:col>
      <xdr:colOff>266700</xdr:colOff>
      <xdr:row>3</xdr:row>
      <xdr:rowOff>76200</xdr:rowOff>
    </xdr:from>
    <xdr:to>
      <xdr:col>8</xdr:col>
      <xdr:colOff>47625</xdr:colOff>
      <xdr:row>4</xdr:row>
      <xdr:rowOff>9525</xdr:rowOff>
    </xdr:to>
    <xdr:pic>
      <xdr:nvPicPr>
        <xdr:cNvPr id="131" name="Imagem 130" descr="22px-Flag_of_Austria.svg.png">
          <a:extLst>
            <a:ext uri="{FF2B5EF4-FFF2-40B4-BE49-F238E27FC236}">
              <a16:creationId xmlns:a16="http://schemas.microsoft.com/office/drawing/2014/main" id="{00000000-0008-0000-0200-00008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4743450" y="561975"/>
          <a:ext cx="209550" cy="1428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9525</xdr:rowOff>
    </xdr:from>
    <xdr:to>
      <xdr:col>2</xdr:col>
      <xdr:colOff>428624</xdr:colOff>
      <xdr:row>4</xdr:row>
      <xdr:rowOff>219074</xdr:rowOff>
    </xdr:to>
    <xdr:pic>
      <xdr:nvPicPr>
        <xdr:cNvPr id="136" name="Imagem 135" descr="bg-checkered_flag.jpg">
          <a:extLst>
            <a:ext uri="{FF2B5EF4-FFF2-40B4-BE49-F238E27FC236}">
              <a16:creationId xmlns:a16="http://schemas.microsoft.com/office/drawing/2014/main" id="{00000000-0008-0000-0200-00008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114300" y="171450"/>
          <a:ext cx="742949" cy="742949"/>
        </a:xfrm>
        <a:prstGeom prst="rect">
          <a:avLst/>
        </a:prstGeom>
      </xdr:spPr>
    </xdr:pic>
    <xdr:clientData/>
  </xdr:twoCellAnchor>
  <xdr:twoCellAnchor>
    <xdr:from>
      <xdr:col>8</xdr:col>
      <xdr:colOff>161925</xdr:colOff>
      <xdr:row>3</xdr:row>
      <xdr:rowOff>95250</xdr:rowOff>
    </xdr:from>
    <xdr:to>
      <xdr:col>9</xdr:col>
      <xdr:colOff>9525</xdr:colOff>
      <xdr:row>3</xdr:row>
      <xdr:rowOff>200025</xdr:rowOff>
    </xdr:to>
    <xdr:pic>
      <xdr:nvPicPr>
        <xdr:cNvPr id="137" name="Imagem 136">
          <a:extLst>
            <a:ext uri="{FF2B5EF4-FFF2-40B4-BE49-F238E27FC236}">
              <a16:creationId xmlns:a16="http://schemas.microsoft.com/office/drawing/2014/main" id="{00000000-0008-0000-0200-00008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581025"/>
          <a:ext cx="209550" cy="104775"/>
        </a:xfrm>
        <a:prstGeom prst="rect">
          <a:avLst/>
        </a:prstGeom>
      </xdr:spPr>
    </xdr:pic>
    <xdr:clientData/>
  </xdr:twoCellAnchor>
  <xdr:twoCellAnchor>
    <xdr:from>
      <xdr:col>15</xdr:col>
      <xdr:colOff>0</xdr:colOff>
      <xdr:row>3</xdr:row>
      <xdr:rowOff>95250</xdr:rowOff>
    </xdr:from>
    <xdr:to>
      <xdr:col>15</xdr:col>
      <xdr:colOff>209550</xdr:colOff>
      <xdr:row>4</xdr:row>
      <xdr:rowOff>28575</xdr:rowOff>
    </xdr:to>
    <xdr:pic>
      <xdr:nvPicPr>
        <xdr:cNvPr id="141" name="Imagem 140">
          <a:extLst>
            <a:ext uri="{FF2B5EF4-FFF2-40B4-BE49-F238E27FC236}">
              <a16:creationId xmlns:a16="http://schemas.microsoft.com/office/drawing/2014/main" id="{00000000-0008-0000-0200-00008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53225" y="581025"/>
          <a:ext cx="209550" cy="142875"/>
        </a:xfrm>
        <a:prstGeom prst="rect">
          <a:avLst/>
        </a:prstGeom>
      </xdr:spPr>
    </xdr:pic>
    <xdr:clientData/>
  </xdr:twoCellAnchor>
  <xdr:twoCellAnchor editAs="oneCell">
    <xdr:from>
      <xdr:col>10</xdr:col>
      <xdr:colOff>209550</xdr:colOff>
      <xdr:row>3</xdr:row>
      <xdr:rowOff>76200</xdr:rowOff>
    </xdr:from>
    <xdr:to>
      <xdr:col>11</xdr:col>
      <xdr:colOff>171450</xdr:colOff>
      <xdr:row>4</xdr:row>
      <xdr:rowOff>9525</xdr:rowOff>
    </xdr:to>
    <xdr:pic>
      <xdr:nvPicPr>
        <xdr:cNvPr id="144" name="Imagem 143" descr="Turquia">
          <a:extLst>
            <a:ext uri="{FF2B5EF4-FFF2-40B4-BE49-F238E27FC236}">
              <a16:creationId xmlns:a16="http://schemas.microsoft.com/office/drawing/2014/main" id="{00000000-0008-0000-0200-00009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24525" y="5619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30</xdr:col>
      <xdr:colOff>197491</xdr:colOff>
      <xdr:row>1</xdr:row>
      <xdr:rowOff>0</xdr:rowOff>
    </xdr:from>
    <xdr:to>
      <xdr:col>33</xdr:col>
      <xdr:colOff>1966</xdr:colOff>
      <xdr:row>4</xdr:row>
      <xdr:rowOff>42600</xdr:rowOff>
    </xdr:to>
    <xdr:pic>
      <xdr:nvPicPr>
        <xdr:cNvPr id="2" name="Imagem 1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55B2DEE1-CDB5-4486-8C45-E91717980A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0255891" y="161925"/>
          <a:ext cx="576000" cy="576000"/>
        </a:xfrm>
        <a:prstGeom prst="rect">
          <a:avLst/>
        </a:prstGeom>
        <a:ln>
          <a:noFill/>
        </a:ln>
        <a:effectLst>
          <a:reflection blurRad="6350" stA="52000" endA="300" endPos="35000" dir="5400000" sy="-100000" algn="bl" rotWithShape="0"/>
        </a:effectLst>
      </xdr:spPr>
    </xdr:pic>
    <xdr:clientData/>
  </xdr:twoCellAnchor>
  <xdr:twoCellAnchor editAs="oneCell">
    <xdr:from>
      <xdr:col>2</xdr:col>
      <xdr:colOff>1257300</xdr:colOff>
      <xdr:row>3</xdr:row>
      <xdr:rowOff>95250</xdr:rowOff>
    </xdr:from>
    <xdr:to>
      <xdr:col>2</xdr:col>
      <xdr:colOff>1466100</xdr:colOff>
      <xdr:row>3</xdr:row>
      <xdr:rowOff>199650</xdr:rowOff>
    </xdr:to>
    <xdr:pic>
      <xdr:nvPicPr>
        <xdr:cNvPr id="127" name="Imagem 126" descr="Austrália">
          <a:extLst>
            <a:ext uri="{FF2B5EF4-FFF2-40B4-BE49-F238E27FC236}">
              <a16:creationId xmlns:a16="http://schemas.microsoft.com/office/drawing/2014/main" id="{EA8BE181-D6E4-47E7-9C61-453EF8402F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5925" y="581025"/>
          <a:ext cx="208800" cy="104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600075</xdr:colOff>
      <xdr:row>3</xdr:row>
      <xdr:rowOff>95250</xdr:rowOff>
    </xdr:from>
    <xdr:to>
      <xdr:col>4</xdr:col>
      <xdr:colOff>808875</xdr:colOff>
      <xdr:row>3</xdr:row>
      <xdr:rowOff>209141</xdr:rowOff>
    </xdr:to>
    <xdr:pic>
      <xdr:nvPicPr>
        <xdr:cNvPr id="128" name="Imagem 127" descr="Estados Unidos">
          <a:extLst>
            <a:ext uri="{FF2B5EF4-FFF2-40B4-BE49-F238E27FC236}">
              <a16:creationId xmlns:a16="http://schemas.microsoft.com/office/drawing/2014/main" id="{9E22464A-DA3C-45BA-844E-F09DBD1461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43275" y="581025"/>
          <a:ext cx="208800" cy="1138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0</xdr:colOff>
      <xdr:row>3</xdr:row>
      <xdr:rowOff>114300</xdr:rowOff>
    </xdr:from>
    <xdr:to>
      <xdr:col>19</xdr:col>
      <xdr:colOff>208800</xdr:colOff>
      <xdr:row>4</xdr:row>
      <xdr:rowOff>18641</xdr:rowOff>
    </xdr:to>
    <xdr:pic>
      <xdr:nvPicPr>
        <xdr:cNvPr id="129" name="Imagem 128" descr="Estados Unidos">
          <a:extLst>
            <a:ext uri="{FF2B5EF4-FFF2-40B4-BE49-F238E27FC236}">
              <a16:creationId xmlns:a16="http://schemas.microsoft.com/office/drawing/2014/main" id="{5722F771-554C-4684-8A75-1EF373568D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43825" y="600075"/>
          <a:ext cx="208800" cy="1138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85725</xdr:colOff>
      <xdr:row>3</xdr:row>
      <xdr:rowOff>104775</xdr:rowOff>
    </xdr:from>
    <xdr:to>
      <xdr:col>24</xdr:col>
      <xdr:colOff>46875</xdr:colOff>
      <xdr:row>4</xdr:row>
      <xdr:rowOff>9116</xdr:rowOff>
    </xdr:to>
    <xdr:pic>
      <xdr:nvPicPr>
        <xdr:cNvPr id="133" name="Imagem 132" descr="Estados Unidos">
          <a:extLst>
            <a:ext uri="{FF2B5EF4-FFF2-40B4-BE49-F238E27FC236}">
              <a16:creationId xmlns:a16="http://schemas.microsoft.com/office/drawing/2014/main" id="{FE45D4F3-57CB-4D8C-A541-70F8396096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0150" y="590550"/>
          <a:ext cx="208800" cy="1138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228600</xdr:colOff>
      <xdr:row>3</xdr:row>
      <xdr:rowOff>95249</xdr:rowOff>
    </xdr:from>
    <xdr:to>
      <xdr:col>22</xdr:col>
      <xdr:colOff>189750</xdr:colOff>
      <xdr:row>4</xdr:row>
      <xdr:rowOff>37553</xdr:rowOff>
    </xdr:to>
    <xdr:pic>
      <xdr:nvPicPr>
        <xdr:cNvPr id="134" name="Imagem 133" descr="Brasil">
          <a:extLst>
            <a:ext uri="{FF2B5EF4-FFF2-40B4-BE49-F238E27FC236}">
              <a16:creationId xmlns:a16="http://schemas.microsoft.com/office/drawing/2014/main" id="{2A3A2F3D-27BE-4123-9756-73B8598B33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67725" y="581024"/>
          <a:ext cx="208800" cy="1518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114300</xdr:colOff>
      <xdr:row>3</xdr:row>
      <xdr:rowOff>85725</xdr:rowOff>
    </xdr:from>
    <xdr:to>
      <xdr:col>3</xdr:col>
      <xdr:colOff>323850</xdr:colOff>
      <xdr:row>4</xdr:row>
      <xdr:rowOff>19050</xdr:rowOff>
    </xdr:to>
    <xdr:pic>
      <xdr:nvPicPr>
        <xdr:cNvPr id="135" name="Imagem 134" descr="China">
          <a:extLst>
            <a:ext uri="{FF2B5EF4-FFF2-40B4-BE49-F238E27FC236}">
              <a16:creationId xmlns:a16="http://schemas.microsoft.com/office/drawing/2014/main" id="{C9A11970-EBFC-4B55-8AF7-BECBB09107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9300" y="5715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428625</xdr:colOff>
      <xdr:row>3</xdr:row>
      <xdr:rowOff>85725</xdr:rowOff>
    </xdr:from>
    <xdr:to>
      <xdr:col>3</xdr:col>
      <xdr:colOff>637425</xdr:colOff>
      <xdr:row>4</xdr:row>
      <xdr:rowOff>17115</xdr:rowOff>
    </xdr:to>
    <xdr:pic>
      <xdr:nvPicPr>
        <xdr:cNvPr id="145" name="Imagem 144" descr="Japão">
          <a:extLst>
            <a:ext uri="{FF2B5EF4-FFF2-40B4-BE49-F238E27FC236}">
              <a16:creationId xmlns:a16="http://schemas.microsoft.com/office/drawing/2014/main" id="{7AEFE0A7-FFC0-406F-8AF5-F6035D55D3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33625" y="571500"/>
          <a:ext cx="208800" cy="140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266700</xdr:colOff>
      <xdr:row>3</xdr:row>
      <xdr:rowOff>76200</xdr:rowOff>
    </xdr:from>
    <xdr:to>
      <xdr:col>4</xdr:col>
      <xdr:colOff>475500</xdr:colOff>
      <xdr:row>4</xdr:row>
      <xdr:rowOff>7590</xdr:rowOff>
    </xdr:to>
    <xdr:pic>
      <xdr:nvPicPr>
        <xdr:cNvPr id="146" name="Imagem 145" descr="Arábia Saudita">
          <a:extLst>
            <a:ext uri="{FF2B5EF4-FFF2-40B4-BE49-F238E27FC236}">
              <a16:creationId xmlns:a16="http://schemas.microsoft.com/office/drawing/2014/main" id="{6A76A5BE-27E9-4BE8-AAB6-7C5AD549CA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09900" y="561975"/>
          <a:ext cx="208800" cy="140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</xdr:row>
      <xdr:rowOff>76200</xdr:rowOff>
    </xdr:from>
    <xdr:to>
      <xdr:col>6</xdr:col>
      <xdr:colOff>209550</xdr:colOff>
      <xdr:row>4</xdr:row>
      <xdr:rowOff>38100</xdr:rowOff>
    </xdr:to>
    <xdr:pic>
      <xdr:nvPicPr>
        <xdr:cNvPr id="147" name="Imagem 146" descr="Mónaco">
          <a:extLst>
            <a:ext uri="{FF2B5EF4-FFF2-40B4-BE49-F238E27FC236}">
              <a16:creationId xmlns:a16="http://schemas.microsoft.com/office/drawing/2014/main" id="{5AA1F4EE-DC6D-408E-B411-35AE4CB2EF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561975"/>
          <a:ext cx="2095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952500</xdr:colOff>
      <xdr:row>3</xdr:row>
      <xdr:rowOff>95250</xdr:rowOff>
    </xdr:from>
    <xdr:to>
      <xdr:col>5</xdr:col>
      <xdr:colOff>47625</xdr:colOff>
      <xdr:row>3</xdr:row>
      <xdr:rowOff>200025</xdr:rowOff>
    </xdr:to>
    <xdr:pic>
      <xdr:nvPicPr>
        <xdr:cNvPr id="148" name="Imagem 147" descr="Canadá">
          <a:extLst>
            <a:ext uri="{FF2B5EF4-FFF2-40B4-BE49-F238E27FC236}">
              <a16:creationId xmlns:a16="http://schemas.microsoft.com/office/drawing/2014/main" id="{50747D64-C08C-4684-A9D0-768D8C1A57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95700" y="581025"/>
          <a:ext cx="2095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57150</xdr:colOff>
      <xdr:row>3</xdr:row>
      <xdr:rowOff>114300</xdr:rowOff>
    </xdr:from>
    <xdr:to>
      <xdr:col>13</xdr:col>
      <xdr:colOff>18300</xdr:colOff>
      <xdr:row>4</xdr:row>
      <xdr:rowOff>9150</xdr:rowOff>
    </xdr:to>
    <xdr:pic>
      <xdr:nvPicPr>
        <xdr:cNvPr id="149" name="Imagem 148" descr="Hungria">
          <a:extLst>
            <a:ext uri="{FF2B5EF4-FFF2-40B4-BE49-F238E27FC236}">
              <a16:creationId xmlns:a16="http://schemas.microsoft.com/office/drawing/2014/main" id="{2A3890D0-A9CD-4F87-A5BC-AC244C35EA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600075"/>
          <a:ext cx="208800" cy="104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85725</xdr:colOff>
      <xdr:row>3</xdr:row>
      <xdr:rowOff>104775</xdr:rowOff>
    </xdr:from>
    <xdr:to>
      <xdr:col>17</xdr:col>
      <xdr:colOff>46875</xdr:colOff>
      <xdr:row>3</xdr:row>
      <xdr:rowOff>209175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E82CE802-F11B-4CA7-A9F5-9829AD12DB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7086600" y="590550"/>
          <a:ext cx="208800" cy="104400"/>
        </a:xfrm>
        <a:prstGeom prst="rect">
          <a:avLst/>
        </a:prstGeom>
      </xdr:spPr>
    </xdr:pic>
    <xdr:clientData/>
  </xdr:twoCellAnchor>
  <xdr:twoCellAnchor editAs="oneCell">
    <xdr:from>
      <xdr:col>17</xdr:col>
      <xdr:colOff>171450</xdr:colOff>
      <xdr:row>3</xdr:row>
      <xdr:rowOff>104775</xdr:rowOff>
    </xdr:from>
    <xdr:to>
      <xdr:col>18</xdr:col>
      <xdr:colOff>133350</xdr:colOff>
      <xdr:row>4</xdr:row>
      <xdr:rowOff>38100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53D7564B-AB3B-44BE-8CBA-EF87D7E33D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7419975" y="590550"/>
          <a:ext cx="209550" cy="142875"/>
        </a:xfrm>
        <a:prstGeom prst="rect">
          <a:avLst/>
        </a:prstGeom>
      </xdr:spPr>
    </xdr:pic>
    <xdr:clientData/>
  </xdr:twoCellAnchor>
  <xdr:twoCellAnchor editAs="oneCell">
    <xdr:from>
      <xdr:col>20</xdr:col>
      <xdr:colOff>104775</xdr:colOff>
      <xdr:row>3</xdr:row>
      <xdr:rowOff>104775</xdr:rowOff>
    </xdr:from>
    <xdr:to>
      <xdr:col>21</xdr:col>
      <xdr:colOff>66675</xdr:colOff>
      <xdr:row>4</xdr:row>
      <xdr:rowOff>19050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A6988BC4-55D9-4F03-9DF1-5A5B40A9E2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8096250" y="590550"/>
          <a:ext cx="209550" cy="123825"/>
        </a:xfrm>
        <a:prstGeom prst="rect">
          <a:avLst/>
        </a:prstGeom>
      </xdr:spPr>
    </xdr:pic>
    <xdr:clientData/>
  </xdr:twoCellAnchor>
  <xdr:twoCellAnchor editAs="oneCell">
    <xdr:from>
      <xdr:col>24</xdr:col>
      <xdr:colOff>180975</xdr:colOff>
      <xdr:row>3</xdr:row>
      <xdr:rowOff>123825</xdr:rowOff>
    </xdr:from>
    <xdr:to>
      <xdr:col>25</xdr:col>
      <xdr:colOff>142875</xdr:colOff>
      <xdr:row>4</xdr:row>
      <xdr:rowOff>0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6225398C-95C5-4D68-9FD2-FFE8124DDA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9163050" y="609600"/>
          <a:ext cx="209550" cy="85725"/>
        </a:xfrm>
        <a:prstGeom prst="rect">
          <a:avLst/>
        </a:prstGeom>
      </xdr:spPr>
    </xdr:pic>
    <xdr:clientData/>
  </xdr:twoCellAnchor>
  <xdr:twoCellAnchor>
    <xdr:from>
      <xdr:col>13</xdr:col>
      <xdr:colOff>152400</xdr:colOff>
      <xdr:row>3</xdr:row>
      <xdr:rowOff>95250</xdr:rowOff>
    </xdr:from>
    <xdr:to>
      <xdr:col>14</xdr:col>
      <xdr:colOff>114300</xdr:colOff>
      <xdr:row>4</xdr:row>
      <xdr:rowOff>28575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544D6896-8560-41FA-AD52-7A3B599A06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10325" y="581025"/>
          <a:ext cx="209550" cy="142875"/>
        </a:xfrm>
        <a:prstGeom prst="rect">
          <a:avLst/>
        </a:prstGeom>
      </xdr:spPr>
    </xdr:pic>
    <xdr:clientData/>
  </xdr:twoCellAnchor>
  <xdr:twoCellAnchor>
    <xdr:from>
      <xdr:col>20</xdr:col>
      <xdr:colOff>235102</xdr:colOff>
      <xdr:row>30</xdr:row>
      <xdr:rowOff>130750</xdr:rowOff>
    </xdr:from>
    <xdr:to>
      <xdr:col>32</xdr:col>
      <xdr:colOff>86156</xdr:colOff>
      <xdr:row>35</xdr:row>
      <xdr:rowOff>178375</xdr:rowOff>
    </xdr:to>
    <xdr:sp macro="" textlink="">
      <xdr:nvSpPr>
        <xdr:cNvPr id="10" name="CaixaDeTexto 9">
          <a:hlinkClick xmlns:r="http://schemas.openxmlformats.org/officeDocument/2006/relationships" r:id="rId25"/>
          <a:extLst>
            <a:ext uri="{FF2B5EF4-FFF2-40B4-BE49-F238E27FC236}">
              <a16:creationId xmlns:a16="http://schemas.microsoft.com/office/drawing/2014/main" id="{1A9DEB6F-740E-35C3-1BD9-886D3E31918C}"/>
            </a:ext>
          </a:extLst>
        </xdr:cNvPr>
        <xdr:cNvSpPr txBox="1"/>
      </xdr:nvSpPr>
      <xdr:spPr>
        <a:xfrm>
          <a:off x="8226577" y="5093275"/>
          <a:ext cx="2860954" cy="209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>
              <a:solidFill>
                <a:schemeClr val="dk1"/>
              </a:solidFill>
              <a:effectLst/>
              <a:latin typeface="Albertus MT Lt" panose="020E0502030304020304" pitchFamily="34" charset="0"/>
              <a:ea typeface="+mn-ea"/>
              <a:cs typeface="+mn-cs"/>
            </a:rPr>
            <a:t>Rei da Pechincha - Promoções &amp;</a:t>
          </a:r>
          <a:r>
            <a:rPr lang="pt-BR" sz="1100" b="1" baseline="0">
              <a:solidFill>
                <a:schemeClr val="dk1"/>
              </a:solidFill>
              <a:effectLst/>
              <a:latin typeface="Albertus MT Lt" panose="020E0502030304020304" pitchFamily="34" charset="0"/>
              <a:ea typeface="+mn-ea"/>
              <a:cs typeface="+mn-cs"/>
            </a:rPr>
            <a:t> Achadinhos</a:t>
          </a:r>
          <a:endParaRPr lang="pt-BR" sz="1100">
            <a:latin typeface="Albertus MT Lt" panose="020E0502030304020304" pitchFamily="34" charset="0"/>
          </a:endParaRPr>
        </a:p>
      </xdr:txBody>
    </xdr:sp>
    <xdr:clientData/>
  </xdr:twoCellAnchor>
  <xdr:twoCellAnchor editAs="oneCell">
    <xdr:from>
      <xdr:col>32</xdr:col>
      <xdr:colOff>75219</xdr:colOff>
      <xdr:row>31</xdr:row>
      <xdr:rowOff>2381</xdr:rowOff>
    </xdr:from>
    <xdr:to>
      <xdr:col>32</xdr:col>
      <xdr:colOff>254120</xdr:colOff>
      <xdr:row>35</xdr:row>
      <xdr:rowOff>189581</xdr:rowOff>
    </xdr:to>
    <xdr:pic>
      <xdr:nvPicPr>
        <xdr:cNvPr id="11" name="Imagem 10">
          <a:hlinkClick xmlns:r="http://schemas.openxmlformats.org/officeDocument/2006/relationships" r:id="rId25"/>
          <a:extLst>
            <a:ext uri="{FF2B5EF4-FFF2-40B4-BE49-F238E27FC236}">
              <a16:creationId xmlns:a16="http://schemas.microsoft.com/office/drawing/2014/main" id="{F7E716D9-DA72-4E5E-B57D-759F2C5B6E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BEBA8EAE-BF5A-486C-A8C5-ECC9F3942E4B}">
              <a14:imgProps xmlns:a14="http://schemas.microsoft.com/office/drawing/2010/main">
                <a14:imgLayer r:embed="rId27">
                  <a14:imgEffect>
                    <a14:colorTemperature colorTemp="47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76594" y="5126831"/>
          <a:ext cx="178901" cy="18720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31</xdr:row>
      <xdr:rowOff>2381</xdr:rowOff>
    </xdr:from>
    <xdr:to>
      <xdr:col>20</xdr:col>
      <xdr:colOff>178901</xdr:colOff>
      <xdr:row>35</xdr:row>
      <xdr:rowOff>189581</xdr:rowOff>
    </xdr:to>
    <xdr:pic>
      <xdr:nvPicPr>
        <xdr:cNvPr id="12" name="Imagem 11">
          <a:hlinkClick xmlns:r="http://schemas.openxmlformats.org/officeDocument/2006/relationships" r:id="rId25"/>
          <a:extLst>
            <a:ext uri="{FF2B5EF4-FFF2-40B4-BE49-F238E27FC236}">
              <a16:creationId xmlns:a16="http://schemas.microsoft.com/office/drawing/2014/main" id="{C9C48445-CA1E-4D11-96B1-57323C52D3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BEBA8EAE-BF5A-486C-A8C5-ECC9F3942E4B}">
              <a14:imgProps xmlns:a14="http://schemas.microsoft.com/office/drawing/2010/main">
                <a14:imgLayer r:embed="rId27">
                  <a14:imgEffect>
                    <a14:colorTemperature colorTemp="47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91475" y="5126831"/>
          <a:ext cx="178901" cy="1872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34</xdr:row>
      <xdr:rowOff>0</xdr:rowOff>
    </xdr:from>
    <xdr:to>
      <xdr:col>0</xdr:col>
      <xdr:colOff>304800</xdr:colOff>
      <xdr:row>35</xdr:row>
      <xdr:rowOff>142875</xdr:rowOff>
    </xdr:to>
    <xdr:sp macro="" textlink="">
      <xdr:nvSpPr>
        <xdr:cNvPr id="2" name="AutoShape 1" descr="Formula">
          <a:extLst>
            <a:ext uri="{FF2B5EF4-FFF2-40B4-BE49-F238E27FC236}">
              <a16:creationId xmlns:a16="http://schemas.microsoft.com/office/drawing/2014/main" id="{0BA6C909-F751-4F9B-800A-09ABB827E2DD}"/>
            </a:ext>
          </a:extLst>
        </xdr:cNvPr>
        <xdr:cNvSpPr>
          <a:spLocks noChangeAspect="1" noChangeArrowheads="1"/>
        </xdr:cNvSpPr>
      </xdr:nvSpPr>
      <xdr:spPr bwMode="auto">
        <a:xfrm>
          <a:off x="428625" y="741997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57150</xdr:colOff>
      <xdr:row>34</xdr:row>
      <xdr:rowOff>9525</xdr:rowOff>
    </xdr:to>
    <xdr:sp macro="" textlink="">
      <xdr:nvSpPr>
        <xdr:cNvPr id="3" name="AutoShape 2" descr="Formula">
          <a:extLst>
            <a:ext uri="{FF2B5EF4-FFF2-40B4-BE49-F238E27FC236}">
              <a16:creationId xmlns:a16="http://schemas.microsoft.com/office/drawing/2014/main" id="{38BFB3B5-8BC4-4BCB-93EA-A148414690FB}"/>
            </a:ext>
          </a:extLst>
        </xdr:cNvPr>
        <xdr:cNvSpPr>
          <a:spLocks noChangeAspect="1" noChangeArrowheads="1"/>
        </xdr:cNvSpPr>
      </xdr:nvSpPr>
      <xdr:spPr bwMode="auto">
        <a:xfrm>
          <a:off x="2743200" y="7419975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304800</xdr:colOff>
      <xdr:row>35</xdr:row>
      <xdr:rowOff>142875</xdr:rowOff>
    </xdr:to>
    <xdr:sp macro="" textlink="">
      <xdr:nvSpPr>
        <xdr:cNvPr id="4" name="AutoShape 4" descr="Formula">
          <a:extLst>
            <a:ext uri="{FF2B5EF4-FFF2-40B4-BE49-F238E27FC236}">
              <a16:creationId xmlns:a16="http://schemas.microsoft.com/office/drawing/2014/main" id="{109D967A-C610-4055-A1B2-81D3C143E488}"/>
            </a:ext>
          </a:extLst>
        </xdr:cNvPr>
        <xdr:cNvSpPr>
          <a:spLocks noChangeAspect="1" noChangeArrowheads="1"/>
        </xdr:cNvSpPr>
      </xdr:nvSpPr>
      <xdr:spPr bwMode="auto">
        <a:xfrm>
          <a:off x="428625" y="741997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57150</xdr:colOff>
      <xdr:row>34</xdr:row>
      <xdr:rowOff>9525</xdr:rowOff>
    </xdr:to>
    <xdr:sp macro="" textlink="">
      <xdr:nvSpPr>
        <xdr:cNvPr id="5" name="AutoShape 5" descr="Formula">
          <a:extLst>
            <a:ext uri="{FF2B5EF4-FFF2-40B4-BE49-F238E27FC236}">
              <a16:creationId xmlns:a16="http://schemas.microsoft.com/office/drawing/2014/main" id="{B89B7835-4595-410C-A41A-795105083E28}"/>
            </a:ext>
          </a:extLst>
        </xdr:cNvPr>
        <xdr:cNvSpPr>
          <a:spLocks noChangeAspect="1" noChangeArrowheads="1"/>
        </xdr:cNvSpPr>
      </xdr:nvSpPr>
      <xdr:spPr bwMode="auto">
        <a:xfrm>
          <a:off x="2743200" y="7419975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304800</xdr:colOff>
      <xdr:row>35</xdr:row>
      <xdr:rowOff>142875</xdr:rowOff>
    </xdr:to>
    <xdr:sp macro="" textlink="">
      <xdr:nvSpPr>
        <xdr:cNvPr id="6" name="AutoShape 7" descr="Formula">
          <a:extLst>
            <a:ext uri="{FF2B5EF4-FFF2-40B4-BE49-F238E27FC236}">
              <a16:creationId xmlns:a16="http://schemas.microsoft.com/office/drawing/2014/main" id="{4EB1D09B-5234-4407-A718-DD6D616CE5CE}"/>
            </a:ext>
          </a:extLst>
        </xdr:cNvPr>
        <xdr:cNvSpPr>
          <a:spLocks noChangeAspect="1" noChangeArrowheads="1"/>
        </xdr:cNvSpPr>
      </xdr:nvSpPr>
      <xdr:spPr bwMode="auto">
        <a:xfrm>
          <a:off x="428625" y="741997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57150</xdr:colOff>
      <xdr:row>34</xdr:row>
      <xdr:rowOff>9525</xdr:rowOff>
    </xdr:to>
    <xdr:sp macro="" textlink="">
      <xdr:nvSpPr>
        <xdr:cNvPr id="7" name="AutoShape 8" descr="Formula">
          <a:extLst>
            <a:ext uri="{FF2B5EF4-FFF2-40B4-BE49-F238E27FC236}">
              <a16:creationId xmlns:a16="http://schemas.microsoft.com/office/drawing/2014/main" id="{E3102490-CCC1-453C-B3A8-088CE284561C}"/>
            </a:ext>
          </a:extLst>
        </xdr:cNvPr>
        <xdr:cNvSpPr>
          <a:spLocks noChangeAspect="1" noChangeArrowheads="1"/>
        </xdr:cNvSpPr>
      </xdr:nvSpPr>
      <xdr:spPr bwMode="auto">
        <a:xfrm>
          <a:off x="2743200" y="7419975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304800</xdr:colOff>
      <xdr:row>35</xdr:row>
      <xdr:rowOff>142875</xdr:rowOff>
    </xdr:to>
    <xdr:sp macro="" textlink="">
      <xdr:nvSpPr>
        <xdr:cNvPr id="8" name="AutoShape 10" descr="Formula">
          <a:extLst>
            <a:ext uri="{FF2B5EF4-FFF2-40B4-BE49-F238E27FC236}">
              <a16:creationId xmlns:a16="http://schemas.microsoft.com/office/drawing/2014/main" id="{5BD5DBE7-9545-4E64-A17B-71EDF325C088}"/>
            </a:ext>
          </a:extLst>
        </xdr:cNvPr>
        <xdr:cNvSpPr>
          <a:spLocks noChangeAspect="1" noChangeArrowheads="1"/>
        </xdr:cNvSpPr>
      </xdr:nvSpPr>
      <xdr:spPr bwMode="auto">
        <a:xfrm>
          <a:off x="428625" y="741997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57150</xdr:colOff>
      <xdr:row>34</xdr:row>
      <xdr:rowOff>9525</xdr:rowOff>
    </xdr:to>
    <xdr:sp macro="" textlink="">
      <xdr:nvSpPr>
        <xdr:cNvPr id="9" name="AutoShape 11" descr="Formula">
          <a:extLst>
            <a:ext uri="{FF2B5EF4-FFF2-40B4-BE49-F238E27FC236}">
              <a16:creationId xmlns:a16="http://schemas.microsoft.com/office/drawing/2014/main" id="{E930C838-1E2D-4FA1-8D2D-47C0BBDBBC35}"/>
            </a:ext>
          </a:extLst>
        </xdr:cNvPr>
        <xdr:cNvSpPr>
          <a:spLocks noChangeAspect="1" noChangeArrowheads="1"/>
        </xdr:cNvSpPr>
      </xdr:nvSpPr>
      <xdr:spPr bwMode="auto">
        <a:xfrm>
          <a:off x="2743200" y="7419975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304800</xdr:colOff>
      <xdr:row>35</xdr:row>
      <xdr:rowOff>142875</xdr:rowOff>
    </xdr:to>
    <xdr:sp macro="" textlink="">
      <xdr:nvSpPr>
        <xdr:cNvPr id="10" name="AutoShape 13" descr="Formula">
          <a:extLst>
            <a:ext uri="{FF2B5EF4-FFF2-40B4-BE49-F238E27FC236}">
              <a16:creationId xmlns:a16="http://schemas.microsoft.com/office/drawing/2014/main" id="{0227ACBF-0AE3-4F7B-8C84-2486BEA4CD9D}"/>
            </a:ext>
          </a:extLst>
        </xdr:cNvPr>
        <xdr:cNvSpPr>
          <a:spLocks noChangeAspect="1" noChangeArrowheads="1"/>
        </xdr:cNvSpPr>
      </xdr:nvSpPr>
      <xdr:spPr bwMode="auto">
        <a:xfrm>
          <a:off x="428625" y="741997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57150</xdr:colOff>
      <xdr:row>34</xdr:row>
      <xdr:rowOff>9525</xdr:rowOff>
    </xdr:to>
    <xdr:sp macro="" textlink="">
      <xdr:nvSpPr>
        <xdr:cNvPr id="11" name="AutoShape 14" descr="Formula">
          <a:extLst>
            <a:ext uri="{FF2B5EF4-FFF2-40B4-BE49-F238E27FC236}">
              <a16:creationId xmlns:a16="http://schemas.microsoft.com/office/drawing/2014/main" id="{7E231BC8-C255-4C86-8356-5A2FC1F1FCD3}"/>
            </a:ext>
          </a:extLst>
        </xdr:cNvPr>
        <xdr:cNvSpPr>
          <a:spLocks noChangeAspect="1" noChangeArrowheads="1"/>
        </xdr:cNvSpPr>
      </xdr:nvSpPr>
      <xdr:spPr bwMode="auto">
        <a:xfrm>
          <a:off x="2743200" y="7419975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304800</xdr:colOff>
      <xdr:row>35</xdr:row>
      <xdr:rowOff>142875</xdr:rowOff>
    </xdr:to>
    <xdr:sp macro="" textlink="">
      <xdr:nvSpPr>
        <xdr:cNvPr id="12" name="AutoShape 16" descr="Formula">
          <a:extLst>
            <a:ext uri="{FF2B5EF4-FFF2-40B4-BE49-F238E27FC236}">
              <a16:creationId xmlns:a16="http://schemas.microsoft.com/office/drawing/2014/main" id="{37CFCCF4-2A75-474C-82F0-5F079750DEE7}"/>
            </a:ext>
          </a:extLst>
        </xdr:cNvPr>
        <xdr:cNvSpPr>
          <a:spLocks noChangeAspect="1" noChangeArrowheads="1"/>
        </xdr:cNvSpPr>
      </xdr:nvSpPr>
      <xdr:spPr bwMode="auto">
        <a:xfrm>
          <a:off x="428625" y="741997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57150</xdr:colOff>
      <xdr:row>34</xdr:row>
      <xdr:rowOff>9525</xdr:rowOff>
    </xdr:to>
    <xdr:sp macro="" textlink="">
      <xdr:nvSpPr>
        <xdr:cNvPr id="13" name="AutoShape 17" descr="Formula">
          <a:extLst>
            <a:ext uri="{FF2B5EF4-FFF2-40B4-BE49-F238E27FC236}">
              <a16:creationId xmlns:a16="http://schemas.microsoft.com/office/drawing/2014/main" id="{B682C49E-01FD-4C5E-BEB5-24FFD1A1E12D}"/>
            </a:ext>
          </a:extLst>
        </xdr:cNvPr>
        <xdr:cNvSpPr>
          <a:spLocks noChangeAspect="1" noChangeArrowheads="1"/>
        </xdr:cNvSpPr>
      </xdr:nvSpPr>
      <xdr:spPr bwMode="auto">
        <a:xfrm>
          <a:off x="2743200" y="7419975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304800</xdr:colOff>
      <xdr:row>35</xdr:row>
      <xdr:rowOff>142875</xdr:rowOff>
    </xdr:to>
    <xdr:sp macro="" textlink="">
      <xdr:nvSpPr>
        <xdr:cNvPr id="14" name="AutoShape 19" descr="Formula">
          <a:extLst>
            <a:ext uri="{FF2B5EF4-FFF2-40B4-BE49-F238E27FC236}">
              <a16:creationId xmlns:a16="http://schemas.microsoft.com/office/drawing/2014/main" id="{C9B60C0B-E59C-4066-9B84-B67541673A3E}"/>
            </a:ext>
          </a:extLst>
        </xdr:cNvPr>
        <xdr:cNvSpPr>
          <a:spLocks noChangeAspect="1" noChangeArrowheads="1"/>
        </xdr:cNvSpPr>
      </xdr:nvSpPr>
      <xdr:spPr bwMode="auto">
        <a:xfrm>
          <a:off x="428625" y="741997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57150</xdr:colOff>
      <xdr:row>34</xdr:row>
      <xdr:rowOff>9525</xdr:rowOff>
    </xdr:to>
    <xdr:sp macro="" textlink="">
      <xdr:nvSpPr>
        <xdr:cNvPr id="15" name="AutoShape 20" descr="Formula">
          <a:extLst>
            <a:ext uri="{FF2B5EF4-FFF2-40B4-BE49-F238E27FC236}">
              <a16:creationId xmlns:a16="http://schemas.microsoft.com/office/drawing/2014/main" id="{E4F57A85-A655-49D2-86F9-5977F8955F4D}"/>
            </a:ext>
          </a:extLst>
        </xdr:cNvPr>
        <xdr:cNvSpPr>
          <a:spLocks noChangeAspect="1" noChangeArrowheads="1"/>
        </xdr:cNvSpPr>
      </xdr:nvSpPr>
      <xdr:spPr bwMode="auto">
        <a:xfrm>
          <a:off x="2743200" y="7419975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304800</xdr:colOff>
      <xdr:row>35</xdr:row>
      <xdr:rowOff>142875</xdr:rowOff>
    </xdr:to>
    <xdr:sp macro="" textlink="">
      <xdr:nvSpPr>
        <xdr:cNvPr id="16" name="AutoShape 22" descr="Formula">
          <a:extLst>
            <a:ext uri="{FF2B5EF4-FFF2-40B4-BE49-F238E27FC236}">
              <a16:creationId xmlns:a16="http://schemas.microsoft.com/office/drawing/2014/main" id="{1FB2330A-DCB2-465B-980A-BBD8929CD5ED}"/>
            </a:ext>
          </a:extLst>
        </xdr:cNvPr>
        <xdr:cNvSpPr>
          <a:spLocks noChangeAspect="1" noChangeArrowheads="1"/>
        </xdr:cNvSpPr>
      </xdr:nvSpPr>
      <xdr:spPr bwMode="auto">
        <a:xfrm>
          <a:off x="428625" y="741997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57150</xdr:colOff>
      <xdr:row>34</xdr:row>
      <xdr:rowOff>9525</xdr:rowOff>
    </xdr:to>
    <xdr:sp macro="" textlink="">
      <xdr:nvSpPr>
        <xdr:cNvPr id="17" name="AutoShape 23" descr="Formula">
          <a:extLst>
            <a:ext uri="{FF2B5EF4-FFF2-40B4-BE49-F238E27FC236}">
              <a16:creationId xmlns:a16="http://schemas.microsoft.com/office/drawing/2014/main" id="{6D3A2D1A-B46C-435A-A6DC-8D43C43A7872}"/>
            </a:ext>
          </a:extLst>
        </xdr:cNvPr>
        <xdr:cNvSpPr>
          <a:spLocks noChangeAspect="1" noChangeArrowheads="1"/>
        </xdr:cNvSpPr>
      </xdr:nvSpPr>
      <xdr:spPr bwMode="auto">
        <a:xfrm>
          <a:off x="2743200" y="7419975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304800</xdr:colOff>
      <xdr:row>35</xdr:row>
      <xdr:rowOff>142875</xdr:rowOff>
    </xdr:to>
    <xdr:sp macro="" textlink="">
      <xdr:nvSpPr>
        <xdr:cNvPr id="18" name="AutoShape 25" descr="Formula">
          <a:extLst>
            <a:ext uri="{FF2B5EF4-FFF2-40B4-BE49-F238E27FC236}">
              <a16:creationId xmlns:a16="http://schemas.microsoft.com/office/drawing/2014/main" id="{78B9B4DC-2ED1-4B9D-BC3B-22B1255D47DA}"/>
            </a:ext>
          </a:extLst>
        </xdr:cNvPr>
        <xdr:cNvSpPr>
          <a:spLocks noChangeAspect="1" noChangeArrowheads="1"/>
        </xdr:cNvSpPr>
      </xdr:nvSpPr>
      <xdr:spPr bwMode="auto">
        <a:xfrm>
          <a:off x="428625" y="741997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57150</xdr:colOff>
      <xdr:row>34</xdr:row>
      <xdr:rowOff>9525</xdr:rowOff>
    </xdr:to>
    <xdr:sp macro="" textlink="">
      <xdr:nvSpPr>
        <xdr:cNvPr id="19" name="AutoShape 26" descr="Formula">
          <a:extLst>
            <a:ext uri="{FF2B5EF4-FFF2-40B4-BE49-F238E27FC236}">
              <a16:creationId xmlns:a16="http://schemas.microsoft.com/office/drawing/2014/main" id="{3FEAE515-744E-496D-A689-0962A1E8549D}"/>
            </a:ext>
          </a:extLst>
        </xdr:cNvPr>
        <xdr:cNvSpPr>
          <a:spLocks noChangeAspect="1" noChangeArrowheads="1"/>
        </xdr:cNvSpPr>
      </xdr:nvSpPr>
      <xdr:spPr bwMode="auto">
        <a:xfrm>
          <a:off x="2743200" y="7419975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304800</xdr:colOff>
      <xdr:row>35</xdr:row>
      <xdr:rowOff>142875</xdr:rowOff>
    </xdr:to>
    <xdr:sp macro="" textlink="">
      <xdr:nvSpPr>
        <xdr:cNvPr id="20" name="AutoShape 28" descr="Formula">
          <a:extLst>
            <a:ext uri="{FF2B5EF4-FFF2-40B4-BE49-F238E27FC236}">
              <a16:creationId xmlns:a16="http://schemas.microsoft.com/office/drawing/2014/main" id="{47BA00B3-5A1A-42FF-85F3-FFC211D5D958}"/>
            </a:ext>
          </a:extLst>
        </xdr:cNvPr>
        <xdr:cNvSpPr>
          <a:spLocks noChangeAspect="1" noChangeArrowheads="1"/>
        </xdr:cNvSpPr>
      </xdr:nvSpPr>
      <xdr:spPr bwMode="auto">
        <a:xfrm>
          <a:off x="428625" y="741997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57150</xdr:colOff>
      <xdr:row>34</xdr:row>
      <xdr:rowOff>9525</xdr:rowOff>
    </xdr:to>
    <xdr:sp macro="" textlink="">
      <xdr:nvSpPr>
        <xdr:cNvPr id="21" name="AutoShape 29" descr="Formula">
          <a:extLst>
            <a:ext uri="{FF2B5EF4-FFF2-40B4-BE49-F238E27FC236}">
              <a16:creationId xmlns:a16="http://schemas.microsoft.com/office/drawing/2014/main" id="{7323770C-B4D8-4992-BA3C-1F75193B852E}"/>
            </a:ext>
          </a:extLst>
        </xdr:cNvPr>
        <xdr:cNvSpPr>
          <a:spLocks noChangeAspect="1" noChangeArrowheads="1"/>
        </xdr:cNvSpPr>
      </xdr:nvSpPr>
      <xdr:spPr bwMode="auto">
        <a:xfrm>
          <a:off x="2743200" y="7419975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304800</xdr:colOff>
      <xdr:row>35</xdr:row>
      <xdr:rowOff>142875</xdr:rowOff>
    </xdr:to>
    <xdr:sp macro="" textlink="">
      <xdr:nvSpPr>
        <xdr:cNvPr id="22" name="AutoShape 31" descr="Formula">
          <a:extLst>
            <a:ext uri="{FF2B5EF4-FFF2-40B4-BE49-F238E27FC236}">
              <a16:creationId xmlns:a16="http://schemas.microsoft.com/office/drawing/2014/main" id="{5C2C7A24-1429-4397-8917-D003320B3AFB}"/>
            </a:ext>
          </a:extLst>
        </xdr:cNvPr>
        <xdr:cNvSpPr>
          <a:spLocks noChangeAspect="1" noChangeArrowheads="1"/>
        </xdr:cNvSpPr>
      </xdr:nvSpPr>
      <xdr:spPr bwMode="auto">
        <a:xfrm>
          <a:off x="428625" y="741997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57150</xdr:colOff>
      <xdr:row>34</xdr:row>
      <xdr:rowOff>9525</xdr:rowOff>
    </xdr:to>
    <xdr:sp macro="" textlink="">
      <xdr:nvSpPr>
        <xdr:cNvPr id="23" name="AutoShape 32" descr="Formula">
          <a:extLst>
            <a:ext uri="{FF2B5EF4-FFF2-40B4-BE49-F238E27FC236}">
              <a16:creationId xmlns:a16="http://schemas.microsoft.com/office/drawing/2014/main" id="{4E35098F-37AD-4177-BBB1-E9E0FC1BA688}"/>
            </a:ext>
          </a:extLst>
        </xdr:cNvPr>
        <xdr:cNvSpPr>
          <a:spLocks noChangeAspect="1" noChangeArrowheads="1"/>
        </xdr:cNvSpPr>
      </xdr:nvSpPr>
      <xdr:spPr bwMode="auto">
        <a:xfrm>
          <a:off x="2743200" y="7419975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304800</xdr:colOff>
      <xdr:row>35</xdr:row>
      <xdr:rowOff>142875</xdr:rowOff>
    </xdr:to>
    <xdr:sp macro="" textlink="">
      <xdr:nvSpPr>
        <xdr:cNvPr id="24" name="AutoShape 34" descr="Formula">
          <a:extLst>
            <a:ext uri="{FF2B5EF4-FFF2-40B4-BE49-F238E27FC236}">
              <a16:creationId xmlns:a16="http://schemas.microsoft.com/office/drawing/2014/main" id="{1F94E603-81C5-48CB-8FFB-E1002BC48C18}"/>
            </a:ext>
          </a:extLst>
        </xdr:cNvPr>
        <xdr:cNvSpPr>
          <a:spLocks noChangeAspect="1" noChangeArrowheads="1"/>
        </xdr:cNvSpPr>
      </xdr:nvSpPr>
      <xdr:spPr bwMode="auto">
        <a:xfrm>
          <a:off x="428625" y="741997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57150</xdr:colOff>
      <xdr:row>34</xdr:row>
      <xdr:rowOff>9525</xdr:rowOff>
    </xdr:to>
    <xdr:sp macro="" textlink="">
      <xdr:nvSpPr>
        <xdr:cNvPr id="25" name="AutoShape 35" descr="Formula">
          <a:extLst>
            <a:ext uri="{FF2B5EF4-FFF2-40B4-BE49-F238E27FC236}">
              <a16:creationId xmlns:a16="http://schemas.microsoft.com/office/drawing/2014/main" id="{EFAAF9AE-E7A9-48B7-A64F-06F1AEC82EF0}"/>
            </a:ext>
          </a:extLst>
        </xdr:cNvPr>
        <xdr:cNvSpPr>
          <a:spLocks noChangeAspect="1" noChangeArrowheads="1"/>
        </xdr:cNvSpPr>
      </xdr:nvSpPr>
      <xdr:spPr bwMode="auto">
        <a:xfrm>
          <a:off x="2743200" y="7419975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304800</xdr:colOff>
      <xdr:row>35</xdr:row>
      <xdr:rowOff>142875</xdr:rowOff>
    </xdr:to>
    <xdr:sp macro="" textlink="">
      <xdr:nvSpPr>
        <xdr:cNvPr id="26" name="AutoShape 37" descr="Formula">
          <a:extLst>
            <a:ext uri="{FF2B5EF4-FFF2-40B4-BE49-F238E27FC236}">
              <a16:creationId xmlns:a16="http://schemas.microsoft.com/office/drawing/2014/main" id="{781899A8-635C-44FA-B2B1-109D37ED7BE0}"/>
            </a:ext>
          </a:extLst>
        </xdr:cNvPr>
        <xdr:cNvSpPr>
          <a:spLocks noChangeAspect="1" noChangeArrowheads="1"/>
        </xdr:cNvSpPr>
      </xdr:nvSpPr>
      <xdr:spPr bwMode="auto">
        <a:xfrm>
          <a:off x="428625" y="741997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57150</xdr:colOff>
      <xdr:row>34</xdr:row>
      <xdr:rowOff>9525</xdr:rowOff>
    </xdr:to>
    <xdr:sp macro="" textlink="">
      <xdr:nvSpPr>
        <xdr:cNvPr id="27" name="AutoShape 38" descr="Formula">
          <a:extLst>
            <a:ext uri="{FF2B5EF4-FFF2-40B4-BE49-F238E27FC236}">
              <a16:creationId xmlns:a16="http://schemas.microsoft.com/office/drawing/2014/main" id="{142CDD90-4511-48D0-83DC-F26CF82F517B}"/>
            </a:ext>
          </a:extLst>
        </xdr:cNvPr>
        <xdr:cNvSpPr>
          <a:spLocks noChangeAspect="1" noChangeArrowheads="1"/>
        </xdr:cNvSpPr>
      </xdr:nvSpPr>
      <xdr:spPr bwMode="auto">
        <a:xfrm>
          <a:off x="2743200" y="7419975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304800</xdr:colOff>
      <xdr:row>35</xdr:row>
      <xdr:rowOff>142875</xdr:rowOff>
    </xdr:to>
    <xdr:sp macro="" textlink="">
      <xdr:nvSpPr>
        <xdr:cNvPr id="28" name="AutoShape 40" descr="Formula">
          <a:extLst>
            <a:ext uri="{FF2B5EF4-FFF2-40B4-BE49-F238E27FC236}">
              <a16:creationId xmlns:a16="http://schemas.microsoft.com/office/drawing/2014/main" id="{E6943987-4932-4A65-A379-3B48083AF153}"/>
            </a:ext>
          </a:extLst>
        </xdr:cNvPr>
        <xdr:cNvSpPr>
          <a:spLocks noChangeAspect="1" noChangeArrowheads="1"/>
        </xdr:cNvSpPr>
      </xdr:nvSpPr>
      <xdr:spPr bwMode="auto">
        <a:xfrm>
          <a:off x="428625" y="741997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57150</xdr:colOff>
      <xdr:row>34</xdr:row>
      <xdr:rowOff>9525</xdr:rowOff>
    </xdr:to>
    <xdr:sp macro="" textlink="">
      <xdr:nvSpPr>
        <xdr:cNvPr id="29" name="AutoShape 41" descr="Formula">
          <a:extLst>
            <a:ext uri="{FF2B5EF4-FFF2-40B4-BE49-F238E27FC236}">
              <a16:creationId xmlns:a16="http://schemas.microsoft.com/office/drawing/2014/main" id="{B96BB9EE-C1C1-4886-B00F-D2FC4F57433F}"/>
            </a:ext>
          </a:extLst>
        </xdr:cNvPr>
        <xdr:cNvSpPr>
          <a:spLocks noChangeAspect="1" noChangeArrowheads="1"/>
        </xdr:cNvSpPr>
      </xdr:nvSpPr>
      <xdr:spPr bwMode="auto">
        <a:xfrm>
          <a:off x="2743200" y="7419975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304800</xdr:colOff>
      <xdr:row>35</xdr:row>
      <xdr:rowOff>142875</xdr:rowOff>
    </xdr:to>
    <xdr:sp macro="" textlink="">
      <xdr:nvSpPr>
        <xdr:cNvPr id="30" name="AutoShape 43" descr="Formula">
          <a:extLst>
            <a:ext uri="{FF2B5EF4-FFF2-40B4-BE49-F238E27FC236}">
              <a16:creationId xmlns:a16="http://schemas.microsoft.com/office/drawing/2014/main" id="{9ED7BE4E-7E88-4E96-9E6C-972D3F6C0459}"/>
            </a:ext>
          </a:extLst>
        </xdr:cNvPr>
        <xdr:cNvSpPr>
          <a:spLocks noChangeAspect="1" noChangeArrowheads="1"/>
        </xdr:cNvSpPr>
      </xdr:nvSpPr>
      <xdr:spPr bwMode="auto">
        <a:xfrm>
          <a:off x="428625" y="741997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57150</xdr:colOff>
      <xdr:row>34</xdr:row>
      <xdr:rowOff>9525</xdr:rowOff>
    </xdr:to>
    <xdr:sp macro="" textlink="">
      <xdr:nvSpPr>
        <xdr:cNvPr id="31" name="AutoShape 44" descr="Formula">
          <a:extLst>
            <a:ext uri="{FF2B5EF4-FFF2-40B4-BE49-F238E27FC236}">
              <a16:creationId xmlns:a16="http://schemas.microsoft.com/office/drawing/2014/main" id="{3A17E2CB-6882-49B3-9C0F-6F853029C611}"/>
            </a:ext>
          </a:extLst>
        </xdr:cNvPr>
        <xdr:cNvSpPr>
          <a:spLocks noChangeAspect="1" noChangeArrowheads="1"/>
        </xdr:cNvSpPr>
      </xdr:nvSpPr>
      <xdr:spPr bwMode="auto">
        <a:xfrm>
          <a:off x="2743200" y="7419975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304800</xdr:colOff>
      <xdr:row>35</xdr:row>
      <xdr:rowOff>142875</xdr:rowOff>
    </xdr:to>
    <xdr:sp macro="" textlink="">
      <xdr:nvSpPr>
        <xdr:cNvPr id="32" name="AutoShape 46" descr="Formula">
          <a:extLst>
            <a:ext uri="{FF2B5EF4-FFF2-40B4-BE49-F238E27FC236}">
              <a16:creationId xmlns:a16="http://schemas.microsoft.com/office/drawing/2014/main" id="{A4356554-6010-445D-BF1E-74B5B0EA8786}"/>
            </a:ext>
          </a:extLst>
        </xdr:cNvPr>
        <xdr:cNvSpPr>
          <a:spLocks noChangeAspect="1" noChangeArrowheads="1"/>
        </xdr:cNvSpPr>
      </xdr:nvSpPr>
      <xdr:spPr bwMode="auto">
        <a:xfrm>
          <a:off x="428625" y="741997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57150</xdr:colOff>
      <xdr:row>34</xdr:row>
      <xdr:rowOff>9525</xdr:rowOff>
    </xdr:to>
    <xdr:sp macro="" textlink="">
      <xdr:nvSpPr>
        <xdr:cNvPr id="33" name="AutoShape 47" descr="Formula">
          <a:extLst>
            <a:ext uri="{FF2B5EF4-FFF2-40B4-BE49-F238E27FC236}">
              <a16:creationId xmlns:a16="http://schemas.microsoft.com/office/drawing/2014/main" id="{A22E64EC-C5FC-480A-9F15-B43CC53B2D24}"/>
            </a:ext>
          </a:extLst>
        </xdr:cNvPr>
        <xdr:cNvSpPr>
          <a:spLocks noChangeAspect="1" noChangeArrowheads="1"/>
        </xdr:cNvSpPr>
      </xdr:nvSpPr>
      <xdr:spPr bwMode="auto">
        <a:xfrm>
          <a:off x="2743200" y="7419975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304800</xdr:colOff>
      <xdr:row>35</xdr:row>
      <xdr:rowOff>142875</xdr:rowOff>
    </xdr:to>
    <xdr:sp macro="" textlink="">
      <xdr:nvSpPr>
        <xdr:cNvPr id="34" name="AutoShape 49" descr="Formula">
          <a:extLst>
            <a:ext uri="{FF2B5EF4-FFF2-40B4-BE49-F238E27FC236}">
              <a16:creationId xmlns:a16="http://schemas.microsoft.com/office/drawing/2014/main" id="{198F9F84-74F4-4EA1-B295-36C2BB75E9BA}"/>
            </a:ext>
          </a:extLst>
        </xdr:cNvPr>
        <xdr:cNvSpPr>
          <a:spLocks noChangeAspect="1" noChangeArrowheads="1"/>
        </xdr:cNvSpPr>
      </xdr:nvSpPr>
      <xdr:spPr bwMode="auto">
        <a:xfrm>
          <a:off x="428625" y="741997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57150</xdr:colOff>
      <xdr:row>34</xdr:row>
      <xdr:rowOff>9525</xdr:rowOff>
    </xdr:to>
    <xdr:sp macro="" textlink="">
      <xdr:nvSpPr>
        <xdr:cNvPr id="35" name="AutoShape 50" descr="Formula">
          <a:extLst>
            <a:ext uri="{FF2B5EF4-FFF2-40B4-BE49-F238E27FC236}">
              <a16:creationId xmlns:a16="http://schemas.microsoft.com/office/drawing/2014/main" id="{8373C560-B8DF-4225-B3D2-85B65C5B9FCE}"/>
            </a:ext>
          </a:extLst>
        </xdr:cNvPr>
        <xdr:cNvSpPr>
          <a:spLocks noChangeAspect="1" noChangeArrowheads="1"/>
        </xdr:cNvSpPr>
      </xdr:nvSpPr>
      <xdr:spPr bwMode="auto">
        <a:xfrm>
          <a:off x="2743200" y="7419975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304800</xdr:colOff>
      <xdr:row>35</xdr:row>
      <xdr:rowOff>142875</xdr:rowOff>
    </xdr:to>
    <xdr:sp macro="" textlink="">
      <xdr:nvSpPr>
        <xdr:cNvPr id="36" name="AutoShape 52" descr="Formula">
          <a:extLst>
            <a:ext uri="{FF2B5EF4-FFF2-40B4-BE49-F238E27FC236}">
              <a16:creationId xmlns:a16="http://schemas.microsoft.com/office/drawing/2014/main" id="{7A7EF3A6-054D-420C-8CBB-9C4AFB3C6D82}"/>
            </a:ext>
          </a:extLst>
        </xdr:cNvPr>
        <xdr:cNvSpPr>
          <a:spLocks noChangeAspect="1" noChangeArrowheads="1"/>
        </xdr:cNvSpPr>
      </xdr:nvSpPr>
      <xdr:spPr bwMode="auto">
        <a:xfrm>
          <a:off x="428625" y="741997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57150</xdr:colOff>
      <xdr:row>34</xdr:row>
      <xdr:rowOff>9525</xdr:rowOff>
    </xdr:to>
    <xdr:sp macro="" textlink="">
      <xdr:nvSpPr>
        <xdr:cNvPr id="37" name="AutoShape 53" descr="Formula">
          <a:extLst>
            <a:ext uri="{FF2B5EF4-FFF2-40B4-BE49-F238E27FC236}">
              <a16:creationId xmlns:a16="http://schemas.microsoft.com/office/drawing/2014/main" id="{87DEC324-AC8B-4491-9A5D-1DEB57B7017E}"/>
            </a:ext>
          </a:extLst>
        </xdr:cNvPr>
        <xdr:cNvSpPr>
          <a:spLocks noChangeAspect="1" noChangeArrowheads="1"/>
        </xdr:cNvSpPr>
      </xdr:nvSpPr>
      <xdr:spPr bwMode="auto">
        <a:xfrm>
          <a:off x="2743200" y="7419975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57150</xdr:colOff>
      <xdr:row>34</xdr:row>
      <xdr:rowOff>9525</xdr:rowOff>
    </xdr:to>
    <xdr:sp macro="" textlink="">
      <xdr:nvSpPr>
        <xdr:cNvPr id="38" name="AutoShape 55" descr="Formula">
          <a:extLst>
            <a:ext uri="{FF2B5EF4-FFF2-40B4-BE49-F238E27FC236}">
              <a16:creationId xmlns:a16="http://schemas.microsoft.com/office/drawing/2014/main" id="{414A4241-7695-45BB-8950-E7D32928020B}"/>
            </a:ext>
          </a:extLst>
        </xdr:cNvPr>
        <xdr:cNvSpPr>
          <a:spLocks noChangeAspect="1" noChangeArrowheads="1"/>
        </xdr:cNvSpPr>
      </xdr:nvSpPr>
      <xdr:spPr bwMode="auto">
        <a:xfrm>
          <a:off x="428625" y="7419975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57150</xdr:colOff>
      <xdr:row>34</xdr:row>
      <xdr:rowOff>9525</xdr:rowOff>
    </xdr:to>
    <xdr:sp macro="" textlink="">
      <xdr:nvSpPr>
        <xdr:cNvPr id="39" name="AutoShape 56" descr="Formula">
          <a:extLst>
            <a:ext uri="{FF2B5EF4-FFF2-40B4-BE49-F238E27FC236}">
              <a16:creationId xmlns:a16="http://schemas.microsoft.com/office/drawing/2014/main" id="{7288B4BE-3C91-4D73-964B-A8BB24DC811C}"/>
            </a:ext>
          </a:extLst>
        </xdr:cNvPr>
        <xdr:cNvSpPr>
          <a:spLocks noChangeAspect="1" noChangeArrowheads="1"/>
        </xdr:cNvSpPr>
      </xdr:nvSpPr>
      <xdr:spPr bwMode="auto">
        <a:xfrm>
          <a:off x="428625" y="7419975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57150</xdr:colOff>
      <xdr:row>34</xdr:row>
      <xdr:rowOff>9525</xdr:rowOff>
    </xdr:to>
    <xdr:sp macro="" textlink="">
      <xdr:nvSpPr>
        <xdr:cNvPr id="40" name="AutoShape 57" descr="Formula">
          <a:extLst>
            <a:ext uri="{FF2B5EF4-FFF2-40B4-BE49-F238E27FC236}">
              <a16:creationId xmlns:a16="http://schemas.microsoft.com/office/drawing/2014/main" id="{9E6C8E09-1DF1-41AC-8DD3-CF2C898C5BB7}"/>
            </a:ext>
          </a:extLst>
        </xdr:cNvPr>
        <xdr:cNvSpPr>
          <a:spLocks noChangeAspect="1" noChangeArrowheads="1"/>
        </xdr:cNvSpPr>
      </xdr:nvSpPr>
      <xdr:spPr bwMode="auto">
        <a:xfrm>
          <a:off x="428625" y="7419975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57150</xdr:colOff>
      <xdr:row>34</xdr:row>
      <xdr:rowOff>9525</xdr:rowOff>
    </xdr:to>
    <xdr:sp macro="" textlink="">
      <xdr:nvSpPr>
        <xdr:cNvPr id="41" name="AutoShape 58" descr="Formula">
          <a:extLst>
            <a:ext uri="{FF2B5EF4-FFF2-40B4-BE49-F238E27FC236}">
              <a16:creationId xmlns:a16="http://schemas.microsoft.com/office/drawing/2014/main" id="{6A86073D-6A88-4728-A1EC-417801FD8B23}"/>
            </a:ext>
          </a:extLst>
        </xdr:cNvPr>
        <xdr:cNvSpPr>
          <a:spLocks noChangeAspect="1" noChangeArrowheads="1"/>
        </xdr:cNvSpPr>
      </xdr:nvSpPr>
      <xdr:spPr bwMode="auto">
        <a:xfrm>
          <a:off x="428625" y="7419975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57150</xdr:colOff>
      <xdr:row>34</xdr:row>
      <xdr:rowOff>9525</xdr:rowOff>
    </xdr:to>
    <xdr:sp macro="" textlink="">
      <xdr:nvSpPr>
        <xdr:cNvPr id="42" name="AutoShape 59" descr="Formula">
          <a:extLst>
            <a:ext uri="{FF2B5EF4-FFF2-40B4-BE49-F238E27FC236}">
              <a16:creationId xmlns:a16="http://schemas.microsoft.com/office/drawing/2014/main" id="{E1DE0C9D-EC3B-4B6E-A44C-525D89283A2F}"/>
            </a:ext>
          </a:extLst>
        </xdr:cNvPr>
        <xdr:cNvSpPr>
          <a:spLocks noChangeAspect="1" noChangeArrowheads="1"/>
        </xdr:cNvSpPr>
      </xdr:nvSpPr>
      <xdr:spPr bwMode="auto">
        <a:xfrm>
          <a:off x="428625" y="7419975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57150</xdr:colOff>
      <xdr:row>34</xdr:row>
      <xdr:rowOff>9525</xdr:rowOff>
    </xdr:to>
    <xdr:sp macro="" textlink="">
      <xdr:nvSpPr>
        <xdr:cNvPr id="43" name="AutoShape 60" descr="Formula">
          <a:extLst>
            <a:ext uri="{FF2B5EF4-FFF2-40B4-BE49-F238E27FC236}">
              <a16:creationId xmlns:a16="http://schemas.microsoft.com/office/drawing/2014/main" id="{66E659AF-3681-42D8-979C-2DF270FCC75F}"/>
            </a:ext>
          </a:extLst>
        </xdr:cNvPr>
        <xdr:cNvSpPr>
          <a:spLocks noChangeAspect="1" noChangeArrowheads="1"/>
        </xdr:cNvSpPr>
      </xdr:nvSpPr>
      <xdr:spPr bwMode="auto">
        <a:xfrm>
          <a:off x="428625" y="7419975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57150</xdr:colOff>
      <xdr:row>34</xdr:row>
      <xdr:rowOff>9525</xdr:rowOff>
    </xdr:to>
    <xdr:sp macro="" textlink="">
      <xdr:nvSpPr>
        <xdr:cNvPr id="44" name="AutoShape 61" descr="Formula">
          <a:extLst>
            <a:ext uri="{FF2B5EF4-FFF2-40B4-BE49-F238E27FC236}">
              <a16:creationId xmlns:a16="http://schemas.microsoft.com/office/drawing/2014/main" id="{148151DE-0C7D-4259-922C-3C624D992B33}"/>
            </a:ext>
          </a:extLst>
        </xdr:cNvPr>
        <xdr:cNvSpPr>
          <a:spLocks noChangeAspect="1" noChangeArrowheads="1"/>
        </xdr:cNvSpPr>
      </xdr:nvSpPr>
      <xdr:spPr bwMode="auto">
        <a:xfrm>
          <a:off x="428625" y="7419975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57150</xdr:colOff>
      <xdr:row>34</xdr:row>
      <xdr:rowOff>9525</xdr:rowOff>
    </xdr:to>
    <xdr:sp macro="" textlink="">
      <xdr:nvSpPr>
        <xdr:cNvPr id="45" name="AutoShape 62" descr="Formula">
          <a:extLst>
            <a:ext uri="{FF2B5EF4-FFF2-40B4-BE49-F238E27FC236}">
              <a16:creationId xmlns:a16="http://schemas.microsoft.com/office/drawing/2014/main" id="{09DAC43F-E0DE-4444-A294-0C8BC0BCD52A}"/>
            </a:ext>
          </a:extLst>
        </xdr:cNvPr>
        <xdr:cNvSpPr>
          <a:spLocks noChangeAspect="1" noChangeArrowheads="1"/>
        </xdr:cNvSpPr>
      </xdr:nvSpPr>
      <xdr:spPr bwMode="auto">
        <a:xfrm>
          <a:off x="428625" y="7419975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57150</xdr:colOff>
      <xdr:row>34</xdr:row>
      <xdr:rowOff>9525</xdr:rowOff>
    </xdr:to>
    <xdr:sp macro="" textlink="">
      <xdr:nvSpPr>
        <xdr:cNvPr id="46" name="AutoShape 63" descr="Formula">
          <a:extLst>
            <a:ext uri="{FF2B5EF4-FFF2-40B4-BE49-F238E27FC236}">
              <a16:creationId xmlns:a16="http://schemas.microsoft.com/office/drawing/2014/main" id="{AC5D8B00-33D6-4AAF-8E3F-177C57866B7A}"/>
            </a:ext>
          </a:extLst>
        </xdr:cNvPr>
        <xdr:cNvSpPr>
          <a:spLocks noChangeAspect="1" noChangeArrowheads="1"/>
        </xdr:cNvSpPr>
      </xdr:nvSpPr>
      <xdr:spPr bwMode="auto">
        <a:xfrm>
          <a:off x="428625" y="7419975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57150</xdr:colOff>
      <xdr:row>34</xdr:row>
      <xdr:rowOff>9525</xdr:rowOff>
    </xdr:to>
    <xdr:sp macro="" textlink="">
      <xdr:nvSpPr>
        <xdr:cNvPr id="47" name="AutoShape 64" descr="Formula">
          <a:extLst>
            <a:ext uri="{FF2B5EF4-FFF2-40B4-BE49-F238E27FC236}">
              <a16:creationId xmlns:a16="http://schemas.microsoft.com/office/drawing/2014/main" id="{2C1BE1BF-2C4F-44B4-BE28-FFA4E6D3A635}"/>
            </a:ext>
          </a:extLst>
        </xdr:cNvPr>
        <xdr:cNvSpPr>
          <a:spLocks noChangeAspect="1" noChangeArrowheads="1"/>
        </xdr:cNvSpPr>
      </xdr:nvSpPr>
      <xdr:spPr bwMode="auto">
        <a:xfrm>
          <a:off x="428625" y="7419975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57150</xdr:colOff>
      <xdr:row>34</xdr:row>
      <xdr:rowOff>9525</xdr:rowOff>
    </xdr:to>
    <xdr:sp macro="" textlink="">
      <xdr:nvSpPr>
        <xdr:cNvPr id="48" name="AutoShape 65" descr="Formula">
          <a:extLst>
            <a:ext uri="{FF2B5EF4-FFF2-40B4-BE49-F238E27FC236}">
              <a16:creationId xmlns:a16="http://schemas.microsoft.com/office/drawing/2014/main" id="{54355EAA-134E-4A82-B755-5F0598659E49}"/>
            </a:ext>
          </a:extLst>
        </xdr:cNvPr>
        <xdr:cNvSpPr>
          <a:spLocks noChangeAspect="1" noChangeArrowheads="1"/>
        </xdr:cNvSpPr>
      </xdr:nvSpPr>
      <xdr:spPr bwMode="auto">
        <a:xfrm>
          <a:off x="428625" y="7419975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57150</xdr:colOff>
      <xdr:row>34</xdr:row>
      <xdr:rowOff>9525</xdr:rowOff>
    </xdr:to>
    <xdr:sp macro="" textlink="">
      <xdr:nvSpPr>
        <xdr:cNvPr id="49" name="AutoShape 66" descr="Formula">
          <a:extLst>
            <a:ext uri="{FF2B5EF4-FFF2-40B4-BE49-F238E27FC236}">
              <a16:creationId xmlns:a16="http://schemas.microsoft.com/office/drawing/2014/main" id="{B46AF29D-6D19-4309-B0B0-C6D7ACE27046}"/>
            </a:ext>
          </a:extLst>
        </xdr:cNvPr>
        <xdr:cNvSpPr>
          <a:spLocks noChangeAspect="1" noChangeArrowheads="1"/>
        </xdr:cNvSpPr>
      </xdr:nvSpPr>
      <xdr:spPr bwMode="auto">
        <a:xfrm>
          <a:off x="428625" y="7419975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57150</xdr:colOff>
      <xdr:row>34</xdr:row>
      <xdr:rowOff>9525</xdr:rowOff>
    </xdr:to>
    <xdr:sp macro="" textlink="">
      <xdr:nvSpPr>
        <xdr:cNvPr id="50" name="AutoShape 67" descr="Formula">
          <a:extLst>
            <a:ext uri="{FF2B5EF4-FFF2-40B4-BE49-F238E27FC236}">
              <a16:creationId xmlns:a16="http://schemas.microsoft.com/office/drawing/2014/main" id="{387C6241-8E39-4EA0-BE5D-E7DB015AB129}"/>
            </a:ext>
          </a:extLst>
        </xdr:cNvPr>
        <xdr:cNvSpPr>
          <a:spLocks noChangeAspect="1" noChangeArrowheads="1"/>
        </xdr:cNvSpPr>
      </xdr:nvSpPr>
      <xdr:spPr bwMode="auto">
        <a:xfrm>
          <a:off x="428625" y="7419975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57150</xdr:colOff>
      <xdr:row>34</xdr:row>
      <xdr:rowOff>9525</xdr:rowOff>
    </xdr:to>
    <xdr:sp macro="" textlink="">
      <xdr:nvSpPr>
        <xdr:cNvPr id="51" name="AutoShape 68" descr="Formula">
          <a:extLst>
            <a:ext uri="{FF2B5EF4-FFF2-40B4-BE49-F238E27FC236}">
              <a16:creationId xmlns:a16="http://schemas.microsoft.com/office/drawing/2014/main" id="{A1DC254B-0A19-4CD4-92E9-7C38DD21DBD1}"/>
            </a:ext>
          </a:extLst>
        </xdr:cNvPr>
        <xdr:cNvSpPr>
          <a:spLocks noChangeAspect="1" noChangeArrowheads="1"/>
        </xdr:cNvSpPr>
      </xdr:nvSpPr>
      <xdr:spPr bwMode="auto">
        <a:xfrm>
          <a:off x="428625" y="7419975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57150</xdr:colOff>
      <xdr:row>34</xdr:row>
      <xdr:rowOff>9525</xdr:rowOff>
    </xdr:to>
    <xdr:sp macro="" textlink="">
      <xdr:nvSpPr>
        <xdr:cNvPr id="52" name="AutoShape 69" descr="Formula">
          <a:extLst>
            <a:ext uri="{FF2B5EF4-FFF2-40B4-BE49-F238E27FC236}">
              <a16:creationId xmlns:a16="http://schemas.microsoft.com/office/drawing/2014/main" id="{85342066-CBF1-4A8E-8E4B-1C13B36C4972}"/>
            </a:ext>
          </a:extLst>
        </xdr:cNvPr>
        <xdr:cNvSpPr>
          <a:spLocks noChangeAspect="1" noChangeArrowheads="1"/>
        </xdr:cNvSpPr>
      </xdr:nvSpPr>
      <xdr:spPr bwMode="auto">
        <a:xfrm>
          <a:off x="428625" y="7419975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57150</xdr:colOff>
      <xdr:row>34</xdr:row>
      <xdr:rowOff>9525</xdr:rowOff>
    </xdr:to>
    <xdr:sp macro="" textlink="">
      <xdr:nvSpPr>
        <xdr:cNvPr id="53" name="AutoShape 70" descr="Formula">
          <a:extLst>
            <a:ext uri="{FF2B5EF4-FFF2-40B4-BE49-F238E27FC236}">
              <a16:creationId xmlns:a16="http://schemas.microsoft.com/office/drawing/2014/main" id="{AA834C07-067F-4DD9-A2E4-349DB502893C}"/>
            </a:ext>
          </a:extLst>
        </xdr:cNvPr>
        <xdr:cNvSpPr>
          <a:spLocks noChangeAspect="1" noChangeArrowheads="1"/>
        </xdr:cNvSpPr>
      </xdr:nvSpPr>
      <xdr:spPr bwMode="auto">
        <a:xfrm>
          <a:off x="428625" y="7419975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57150</xdr:colOff>
      <xdr:row>34</xdr:row>
      <xdr:rowOff>9525</xdr:rowOff>
    </xdr:to>
    <xdr:sp macro="" textlink="">
      <xdr:nvSpPr>
        <xdr:cNvPr id="54" name="AutoShape 71" descr="Formula">
          <a:extLst>
            <a:ext uri="{FF2B5EF4-FFF2-40B4-BE49-F238E27FC236}">
              <a16:creationId xmlns:a16="http://schemas.microsoft.com/office/drawing/2014/main" id="{9012D138-087E-4810-B6C2-97B73D427AC8}"/>
            </a:ext>
          </a:extLst>
        </xdr:cNvPr>
        <xdr:cNvSpPr>
          <a:spLocks noChangeAspect="1" noChangeArrowheads="1"/>
        </xdr:cNvSpPr>
      </xdr:nvSpPr>
      <xdr:spPr bwMode="auto">
        <a:xfrm>
          <a:off x="428625" y="7419975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57150</xdr:colOff>
      <xdr:row>34</xdr:row>
      <xdr:rowOff>9525</xdr:rowOff>
    </xdr:to>
    <xdr:sp macro="" textlink="">
      <xdr:nvSpPr>
        <xdr:cNvPr id="55" name="AutoShape 72" descr="Formula">
          <a:extLst>
            <a:ext uri="{FF2B5EF4-FFF2-40B4-BE49-F238E27FC236}">
              <a16:creationId xmlns:a16="http://schemas.microsoft.com/office/drawing/2014/main" id="{A9890AF6-C807-4DDF-BB73-23748473FABF}"/>
            </a:ext>
          </a:extLst>
        </xdr:cNvPr>
        <xdr:cNvSpPr>
          <a:spLocks noChangeAspect="1" noChangeArrowheads="1"/>
        </xdr:cNvSpPr>
      </xdr:nvSpPr>
      <xdr:spPr bwMode="auto">
        <a:xfrm>
          <a:off x="428625" y="7419975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57150</xdr:colOff>
      <xdr:row>34</xdr:row>
      <xdr:rowOff>9525</xdr:rowOff>
    </xdr:to>
    <xdr:sp macro="" textlink="">
      <xdr:nvSpPr>
        <xdr:cNvPr id="56" name="AutoShape 91" descr="Formula">
          <a:extLst>
            <a:ext uri="{FF2B5EF4-FFF2-40B4-BE49-F238E27FC236}">
              <a16:creationId xmlns:a16="http://schemas.microsoft.com/office/drawing/2014/main" id="{C3EA2644-E0C7-4A97-8A68-F9F17EA2B60B}"/>
            </a:ext>
          </a:extLst>
        </xdr:cNvPr>
        <xdr:cNvSpPr>
          <a:spLocks noChangeAspect="1" noChangeArrowheads="1"/>
        </xdr:cNvSpPr>
      </xdr:nvSpPr>
      <xdr:spPr bwMode="auto">
        <a:xfrm>
          <a:off x="0" y="7419975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57150</xdr:colOff>
      <xdr:row>34</xdr:row>
      <xdr:rowOff>9525</xdr:rowOff>
    </xdr:to>
    <xdr:sp macro="" textlink="">
      <xdr:nvSpPr>
        <xdr:cNvPr id="57" name="AutoShape 92" descr="Formula">
          <a:extLst>
            <a:ext uri="{FF2B5EF4-FFF2-40B4-BE49-F238E27FC236}">
              <a16:creationId xmlns:a16="http://schemas.microsoft.com/office/drawing/2014/main" id="{95F4AFA7-BBF6-4BC6-8F78-0C33A6B9E4F0}"/>
            </a:ext>
          </a:extLst>
        </xdr:cNvPr>
        <xdr:cNvSpPr>
          <a:spLocks noChangeAspect="1" noChangeArrowheads="1"/>
        </xdr:cNvSpPr>
      </xdr:nvSpPr>
      <xdr:spPr bwMode="auto">
        <a:xfrm>
          <a:off x="0" y="7419975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57150</xdr:colOff>
      <xdr:row>34</xdr:row>
      <xdr:rowOff>9525</xdr:rowOff>
    </xdr:to>
    <xdr:sp macro="" textlink="">
      <xdr:nvSpPr>
        <xdr:cNvPr id="58" name="AutoShape 93" descr="Formula">
          <a:extLst>
            <a:ext uri="{FF2B5EF4-FFF2-40B4-BE49-F238E27FC236}">
              <a16:creationId xmlns:a16="http://schemas.microsoft.com/office/drawing/2014/main" id="{1D8AFC18-BD52-4484-A48D-D0B9ED2312F1}"/>
            </a:ext>
          </a:extLst>
        </xdr:cNvPr>
        <xdr:cNvSpPr>
          <a:spLocks noChangeAspect="1" noChangeArrowheads="1"/>
        </xdr:cNvSpPr>
      </xdr:nvSpPr>
      <xdr:spPr bwMode="auto">
        <a:xfrm>
          <a:off x="0" y="7419975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57150</xdr:colOff>
      <xdr:row>34</xdr:row>
      <xdr:rowOff>9525</xdr:rowOff>
    </xdr:to>
    <xdr:sp macro="" textlink="">
      <xdr:nvSpPr>
        <xdr:cNvPr id="59" name="AutoShape 94" descr="Formula">
          <a:extLst>
            <a:ext uri="{FF2B5EF4-FFF2-40B4-BE49-F238E27FC236}">
              <a16:creationId xmlns:a16="http://schemas.microsoft.com/office/drawing/2014/main" id="{E2AF4254-4A1C-4FCA-B18C-EC60B41B610B}"/>
            </a:ext>
          </a:extLst>
        </xdr:cNvPr>
        <xdr:cNvSpPr>
          <a:spLocks noChangeAspect="1" noChangeArrowheads="1"/>
        </xdr:cNvSpPr>
      </xdr:nvSpPr>
      <xdr:spPr bwMode="auto">
        <a:xfrm>
          <a:off x="0" y="7419975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57150</xdr:colOff>
      <xdr:row>34</xdr:row>
      <xdr:rowOff>9525</xdr:rowOff>
    </xdr:to>
    <xdr:sp macro="" textlink="">
      <xdr:nvSpPr>
        <xdr:cNvPr id="60" name="AutoShape 95" descr="Formula">
          <a:extLst>
            <a:ext uri="{FF2B5EF4-FFF2-40B4-BE49-F238E27FC236}">
              <a16:creationId xmlns:a16="http://schemas.microsoft.com/office/drawing/2014/main" id="{899C934E-5DDB-493E-AEDA-69EB4BF80402}"/>
            </a:ext>
          </a:extLst>
        </xdr:cNvPr>
        <xdr:cNvSpPr>
          <a:spLocks noChangeAspect="1" noChangeArrowheads="1"/>
        </xdr:cNvSpPr>
      </xdr:nvSpPr>
      <xdr:spPr bwMode="auto">
        <a:xfrm>
          <a:off x="0" y="7419975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57150</xdr:colOff>
      <xdr:row>34</xdr:row>
      <xdr:rowOff>9525</xdr:rowOff>
    </xdr:to>
    <xdr:sp macro="" textlink="">
      <xdr:nvSpPr>
        <xdr:cNvPr id="61" name="AutoShape 96" descr="Formula">
          <a:extLst>
            <a:ext uri="{FF2B5EF4-FFF2-40B4-BE49-F238E27FC236}">
              <a16:creationId xmlns:a16="http://schemas.microsoft.com/office/drawing/2014/main" id="{485A67BA-0846-4C42-949E-B3E9EFDAE792}"/>
            </a:ext>
          </a:extLst>
        </xdr:cNvPr>
        <xdr:cNvSpPr>
          <a:spLocks noChangeAspect="1" noChangeArrowheads="1"/>
        </xdr:cNvSpPr>
      </xdr:nvSpPr>
      <xdr:spPr bwMode="auto">
        <a:xfrm>
          <a:off x="0" y="7419975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57150</xdr:colOff>
      <xdr:row>34</xdr:row>
      <xdr:rowOff>9525</xdr:rowOff>
    </xdr:to>
    <xdr:sp macro="" textlink="">
      <xdr:nvSpPr>
        <xdr:cNvPr id="62" name="AutoShape 97" descr="Formula">
          <a:extLst>
            <a:ext uri="{FF2B5EF4-FFF2-40B4-BE49-F238E27FC236}">
              <a16:creationId xmlns:a16="http://schemas.microsoft.com/office/drawing/2014/main" id="{30E8C03B-494B-4E77-BFE9-1A09CCED56EA}"/>
            </a:ext>
          </a:extLst>
        </xdr:cNvPr>
        <xdr:cNvSpPr>
          <a:spLocks noChangeAspect="1" noChangeArrowheads="1"/>
        </xdr:cNvSpPr>
      </xdr:nvSpPr>
      <xdr:spPr bwMode="auto">
        <a:xfrm>
          <a:off x="0" y="7419975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57150</xdr:colOff>
      <xdr:row>34</xdr:row>
      <xdr:rowOff>9525</xdr:rowOff>
    </xdr:to>
    <xdr:sp macro="" textlink="">
      <xdr:nvSpPr>
        <xdr:cNvPr id="63" name="AutoShape 98" descr="Formula">
          <a:extLst>
            <a:ext uri="{FF2B5EF4-FFF2-40B4-BE49-F238E27FC236}">
              <a16:creationId xmlns:a16="http://schemas.microsoft.com/office/drawing/2014/main" id="{1315498D-645E-47E8-9769-5C44FCBA8886}"/>
            </a:ext>
          </a:extLst>
        </xdr:cNvPr>
        <xdr:cNvSpPr>
          <a:spLocks noChangeAspect="1" noChangeArrowheads="1"/>
        </xdr:cNvSpPr>
      </xdr:nvSpPr>
      <xdr:spPr bwMode="auto">
        <a:xfrm>
          <a:off x="0" y="7419975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57150</xdr:colOff>
      <xdr:row>34</xdr:row>
      <xdr:rowOff>9525</xdr:rowOff>
    </xdr:to>
    <xdr:sp macro="" textlink="">
      <xdr:nvSpPr>
        <xdr:cNvPr id="64" name="AutoShape 99" descr="Formula">
          <a:extLst>
            <a:ext uri="{FF2B5EF4-FFF2-40B4-BE49-F238E27FC236}">
              <a16:creationId xmlns:a16="http://schemas.microsoft.com/office/drawing/2014/main" id="{5D025374-6767-4310-B9B9-DD5350962361}"/>
            </a:ext>
          </a:extLst>
        </xdr:cNvPr>
        <xdr:cNvSpPr>
          <a:spLocks noChangeAspect="1" noChangeArrowheads="1"/>
        </xdr:cNvSpPr>
      </xdr:nvSpPr>
      <xdr:spPr bwMode="auto">
        <a:xfrm>
          <a:off x="0" y="7419975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57150</xdr:colOff>
      <xdr:row>34</xdr:row>
      <xdr:rowOff>9525</xdr:rowOff>
    </xdr:to>
    <xdr:sp macro="" textlink="">
      <xdr:nvSpPr>
        <xdr:cNvPr id="65" name="AutoShape 100" descr="Formula">
          <a:extLst>
            <a:ext uri="{FF2B5EF4-FFF2-40B4-BE49-F238E27FC236}">
              <a16:creationId xmlns:a16="http://schemas.microsoft.com/office/drawing/2014/main" id="{FDAA9FC3-C0A2-4247-BFD8-EFC6ED5330AB}"/>
            </a:ext>
          </a:extLst>
        </xdr:cNvPr>
        <xdr:cNvSpPr>
          <a:spLocks noChangeAspect="1" noChangeArrowheads="1"/>
        </xdr:cNvSpPr>
      </xdr:nvSpPr>
      <xdr:spPr bwMode="auto">
        <a:xfrm>
          <a:off x="0" y="7419975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57150</xdr:colOff>
      <xdr:row>34</xdr:row>
      <xdr:rowOff>9525</xdr:rowOff>
    </xdr:to>
    <xdr:sp macro="" textlink="">
      <xdr:nvSpPr>
        <xdr:cNvPr id="66" name="AutoShape 101" descr="Formula">
          <a:extLst>
            <a:ext uri="{FF2B5EF4-FFF2-40B4-BE49-F238E27FC236}">
              <a16:creationId xmlns:a16="http://schemas.microsoft.com/office/drawing/2014/main" id="{5A7453CE-1231-45B1-B23A-4CF26267AB02}"/>
            </a:ext>
          </a:extLst>
        </xdr:cNvPr>
        <xdr:cNvSpPr>
          <a:spLocks noChangeAspect="1" noChangeArrowheads="1"/>
        </xdr:cNvSpPr>
      </xdr:nvSpPr>
      <xdr:spPr bwMode="auto">
        <a:xfrm>
          <a:off x="0" y="7419975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57150</xdr:colOff>
      <xdr:row>34</xdr:row>
      <xdr:rowOff>9525</xdr:rowOff>
    </xdr:to>
    <xdr:sp macro="" textlink="">
      <xdr:nvSpPr>
        <xdr:cNvPr id="67" name="AutoShape 102" descr="Formula">
          <a:extLst>
            <a:ext uri="{FF2B5EF4-FFF2-40B4-BE49-F238E27FC236}">
              <a16:creationId xmlns:a16="http://schemas.microsoft.com/office/drawing/2014/main" id="{53B6A187-8159-410E-B4BA-2809393BB959}"/>
            </a:ext>
          </a:extLst>
        </xdr:cNvPr>
        <xdr:cNvSpPr>
          <a:spLocks noChangeAspect="1" noChangeArrowheads="1"/>
        </xdr:cNvSpPr>
      </xdr:nvSpPr>
      <xdr:spPr bwMode="auto">
        <a:xfrm>
          <a:off x="0" y="7419975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57150</xdr:colOff>
      <xdr:row>34</xdr:row>
      <xdr:rowOff>9525</xdr:rowOff>
    </xdr:to>
    <xdr:sp macro="" textlink="">
      <xdr:nvSpPr>
        <xdr:cNvPr id="68" name="AutoShape 103" descr="Formula">
          <a:extLst>
            <a:ext uri="{FF2B5EF4-FFF2-40B4-BE49-F238E27FC236}">
              <a16:creationId xmlns:a16="http://schemas.microsoft.com/office/drawing/2014/main" id="{598ABE9C-BE7A-40C2-80E7-6EF3AE3DF106}"/>
            </a:ext>
          </a:extLst>
        </xdr:cNvPr>
        <xdr:cNvSpPr>
          <a:spLocks noChangeAspect="1" noChangeArrowheads="1"/>
        </xdr:cNvSpPr>
      </xdr:nvSpPr>
      <xdr:spPr bwMode="auto">
        <a:xfrm>
          <a:off x="0" y="7419975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57150</xdr:colOff>
      <xdr:row>34</xdr:row>
      <xdr:rowOff>9525</xdr:rowOff>
    </xdr:to>
    <xdr:sp macro="" textlink="">
      <xdr:nvSpPr>
        <xdr:cNvPr id="69" name="AutoShape 104" descr="Formula">
          <a:extLst>
            <a:ext uri="{FF2B5EF4-FFF2-40B4-BE49-F238E27FC236}">
              <a16:creationId xmlns:a16="http://schemas.microsoft.com/office/drawing/2014/main" id="{A27CFCBD-3B0D-4096-9A88-CA8FA9574E13}"/>
            </a:ext>
          </a:extLst>
        </xdr:cNvPr>
        <xdr:cNvSpPr>
          <a:spLocks noChangeAspect="1" noChangeArrowheads="1"/>
        </xdr:cNvSpPr>
      </xdr:nvSpPr>
      <xdr:spPr bwMode="auto">
        <a:xfrm>
          <a:off x="0" y="7419975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57150</xdr:colOff>
      <xdr:row>34</xdr:row>
      <xdr:rowOff>9525</xdr:rowOff>
    </xdr:to>
    <xdr:sp macro="" textlink="">
      <xdr:nvSpPr>
        <xdr:cNvPr id="70" name="AutoShape 105" descr="Formula">
          <a:extLst>
            <a:ext uri="{FF2B5EF4-FFF2-40B4-BE49-F238E27FC236}">
              <a16:creationId xmlns:a16="http://schemas.microsoft.com/office/drawing/2014/main" id="{31466DC1-EBAF-49D8-AFE5-9330BDE38F20}"/>
            </a:ext>
          </a:extLst>
        </xdr:cNvPr>
        <xdr:cNvSpPr>
          <a:spLocks noChangeAspect="1" noChangeArrowheads="1"/>
        </xdr:cNvSpPr>
      </xdr:nvSpPr>
      <xdr:spPr bwMode="auto">
        <a:xfrm>
          <a:off x="0" y="7419975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57150</xdr:colOff>
      <xdr:row>34</xdr:row>
      <xdr:rowOff>9525</xdr:rowOff>
    </xdr:to>
    <xdr:sp macro="" textlink="">
      <xdr:nvSpPr>
        <xdr:cNvPr id="71" name="AutoShape 106" descr="Formula">
          <a:extLst>
            <a:ext uri="{FF2B5EF4-FFF2-40B4-BE49-F238E27FC236}">
              <a16:creationId xmlns:a16="http://schemas.microsoft.com/office/drawing/2014/main" id="{17406608-ACC0-4050-945A-93D1A9BBA718}"/>
            </a:ext>
          </a:extLst>
        </xdr:cNvPr>
        <xdr:cNvSpPr>
          <a:spLocks noChangeAspect="1" noChangeArrowheads="1"/>
        </xdr:cNvSpPr>
      </xdr:nvSpPr>
      <xdr:spPr bwMode="auto">
        <a:xfrm>
          <a:off x="0" y="7419975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57150</xdr:colOff>
      <xdr:row>34</xdr:row>
      <xdr:rowOff>9525</xdr:rowOff>
    </xdr:to>
    <xdr:sp macro="" textlink="">
      <xdr:nvSpPr>
        <xdr:cNvPr id="72" name="AutoShape 107" descr="Formula">
          <a:extLst>
            <a:ext uri="{FF2B5EF4-FFF2-40B4-BE49-F238E27FC236}">
              <a16:creationId xmlns:a16="http://schemas.microsoft.com/office/drawing/2014/main" id="{E8A54501-E5AF-427B-BB98-B7D473089E9B}"/>
            </a:ext>
          </a:extLst>
        </xdr:cNvPr>
        <xdr:cNvSpPr>
          <a:spLocks noChangeAspect="1" noChangeArrowheads="1"/>
        </xdr:cNvSpPr>
      </xdr:nvSpPr>
      <xdr:spPr bwMode="auto">
        <a:xfrm>
          <a:off x="0" y="7419975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57150</xdr:colOff>
      <xdr:row>34</xdr:row>
      <xdr:rowOff>9525</xdr:rowOff>
    </xdr:to>
    <xdr:sp macro="" textlink="">
      <xdr:nvSpPr>
        <xdr:cNvPr id="73" name="AutoShape 108" descr="Formula">
          <a:extLst>
            <a:ext uri="{FF2B5EF4-FFF2-40B4-BE49-F238E27FC236}">
              <a16:creationId xmlns:a16="http://schemas.microsoft.com/office/drawing/2014/main" id="{FE5E2B44-5D89-41A3-BBA7-9F9B0A6E5E5D}"/>
            </a:ext>
          </a:extLst>
        </xdr:cNvPr>
        <xdr:cNvSpPr>
          <a:spLocks noChangeAspect="1" noChangeArrowheads="1"/>
        </xdr:cNvSpPr>
      </xdr:nvSpPr>
      <xdr:spPr bwMode="auto">
        <a:xfrm>
          <a:off x="0" y="7419975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57150</xdr:colOff>
      <xdr:row>34</xdr:row>
      <xdr:rowOff>9525</xdr:rowOff>
    </xdr:to>
    <xdr:sp macro="" textlink="">
      <xdr:nvSpPr>
        <xdr:cNvPr id="74" name="AutoShape 111" descr="Formula">
          <a:extLst>
            <a:ext uri="{FF2B5EF4-FFF2-40B4-BE49-F238E27FC236}">
              <a16:creationId xmlns:a16="http://schemas.microsoft.com/office/drawing/2014/main" id="{3064A283-5425-4726-ABFD-C6CCAC256EE6}"/>
            </a:ext>
          </a:extLst>
        </xdr:cNvPr>
        <xdr:cNvSpPr>
          <a:spLocks noChangeAspect="1" noChangeArrowheads="1"/>
        </xdr:cNvSpPr>
      </xdr:nvSpPr>
      <xdr:spPr bwMode="auto">
        <a:xfrm>
          <a:off x="0" y="7419975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57150</xdr:colOff>
      <xdr:row>34</xdr:row>
      <xdr:rowOff>9525</xdr:rowOff>
    </xdr:to>
    <xdr:sp macro="" textlink="">
      <xdr:nvSpPr>
        <xdr:cNvPr id="75" name="AutoShape 112" descr="Formula">
          <a:extLst>
            <a:ext uri="{FF2B5EF4-FFF2-40B4-BE49-F238E27FC236}">
              <a16:creationId xmlns:a16="http://schemas.microsoft.com/office/drawing/2014/main" id="{CBA415EA-7A25-4E7F-B28D-143A4F76D855}"/>
            </a:ext>
          </a:extLst>
        </xdr:cNvPr>
        <xdr:cNvSpPr>
          <a:spLocks noChangeAspect="1" noChangeArrowheads="1"/>
        </xdr:cNvSpPr>
      </xdr:nvSpPr>
      <xdr:spPr bwMode="auto">
        <a:xfrm>
          <a:off x="0" y="7419975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57150</xdr:colOff>
      <xdr:row>34</xdr:row>
      <xdr:rowOff>9525</xdr:rowOff>
    </xdr:to>
    <xdr:sp macro="" textlink="">
      <xdr:nvSpPr>
        <xdr:cNvPr id="76" name="AutoShape 115" descr="Formula">
          <a:extLst>
            <a:ext uri="{FF2B5EF4-FFF2-40B4-BE49-F238E27FC236}">
              <a16:creationId xmlns:a16="http://schemas.microsoft.com/office/drawing/2014/main" id="{1D4AB8E3-FF13-43EA-B2C5-4F65A527D634}"/>
            </a:ext>
          </a:extLst>
        </xdr:cNvPr>
        <xdr:cNvSpPr>
          <a:spLocks noChangeAspect="1" noChangeArrowheads="1"/>
        </xdr:cNvSpPr>
      </xdr:nvSpPr>
      <xdr:spPr bwMode="auto">
        <a:xfrm>
          <a:off x="0" y="7419975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57150</xdr:colOff>
      <xdr:row>34</xdr:row>
      <xdr:rowOff>9525</xdr:rowOff>
    </xdr:to>
    <xdr:sp macro="" textlink="">
      <xdr:nvSpPr>
        <xdr:cNvPr id="77" name="AutoShape 116" descr="Formula">
          <a:extLst>
            <a:ext uri="{FF2B5EF4-FFF2-40B4-BE49-F238E27FC236}">
              <a16:creationId xmlns:a16="http://schemas.microsoft.com/office/drawing/2014/main" id="{2A634888-9FC4-425C-83AE-0BC60DD31A49}"/>
            </a:ext>
          </a:extLst>
        </xdr:cNvPr>
        <xdr:cNvSpPr>
          <a:spLocks noChangeAspect="1" noChangeArrowheads="1"/>
        </xdr:cNvSpPr>
      </xdr:nvSpPr>
      <xdr:spPr bwMode="auto">
        <a:xfrm>
          <a:off x="0" y="7419975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57150</xdr:colOff>
      <xdr:row>34</xdr:row>
      <xdr:rowOff>9525</xdr:rowOff>
    </xdr:to>
    <xdr:sp macro="" textlink="">
      <xdr:nvSpPr>
        <xdr:cNvPr id="78" name="AutoShape 119" descr="Formula">
          <a:extLst>
            <a:ext uri="{FF2B5EF4-FFF2-40B4-BE49-F238E27FC236}">
              <a16:creationId xmlns:a16="http://schemas.microsoft.com/office/drawing/2014/main" id="{56D96496-6788-404D-AACB-3CBAD63D0D59}"/>
            </a:ext>
          </a:extLst>
        </xdr:cNvPr>
        <xdr:cNvSpPr>
          <a:spLocks noChangeAspect="1" noChangeArrowheads="1"/>
        </xdr:cNvSpPr>
      </xdr:nvSpPr>
      <xdr:spPr bwMode="auto">
        <a:xfrm>
          <a:off x="0" y="7419975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57150</xdr:colOff>
      <xdr:row>34</xdr:row>
      <xdr:rowOff>9525</xdr:rowOff>
    </xdr:to>
    <xdr:sp macro="" textlink="">
      <xdr:nvSpPr>
        <xdr:cNvPr id="79" name="AutoShape 120" descr="Formula">
          <a:extLst>
            <a:ext uri="{FF2B5EF4-FFF2-40B4-BE49-F238E27FC236}">
              <a16:creationId xmlns:a16="http://schemas.microsoft.com/office/drawing/2014/main" id="{B7631204-26DD-4AA9-94FB-8FEE30B58219}"/>
            </a:ext>
          </a:extLst>
        </xdr:cNvPr>
        <xdr:cNvSpPr>
          <a:spLocks noChangeAspect="1" noChangeArrowheads="1"/>
        </xdr:cNvSpPr>
      </xdr:nvSpPr>
      <xdr:spPr bwMode="auto">
        <a:xfrm>
          <a:off x="0" y="7419975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57150</xdr:colOff>
      <xdr:row>34</xdr:row>
      <xdr:rowOff>9525</xdr:rowOff>
    </xdr:to>
    <xdr:sp macro="" textlink="">
      <xdr:nvSpPr>
        <xdr:cNvPr id="80" name="AutoShape 123" descr="Formula">
          <a:extLst>
            <a:ext uri="{FF2B5EF4-FFF2-40B4-BE49-F238E27FC236}">
              <a16:creationId xmlns:a16="http://schemas.microsoft.com/office/drawing/2014/main" id="{E9D00B7A-EB04-4317-84BA-464AB95CF9BB}"/>
            </a:ext>
          </a:extLst>
        </xdr:cNvPr>
        <xdr:cNvSpPr>
          <a:spLocks noChangeAspect="1" noChangeArrowheads="1"/>
        </xdr:cNvSpPr>
      </xdr:nvSpPr>
      <xdr:spPr bwMode="auto">
        <a:xfrm>
          <a:off x="0" y="7419975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57150</xdr:colOff>
      <xdr:row>34</xdr:row>
      <xdr:rowOff>9525</xdr:rowOff>
    </xdr:to>
    <xdr:sp macro="" textlink="">
      <xdr:nvSpPr>
        <xdr:cNvPr id="81" name="AutoShape 124" descr="Formula">
          <a:extLst>
            <a:ext uri="{FF2B5EF4-FFF2-40B4-BE49-F238E27FC236}">
              <a16:creationId xmlns:a16="http://schemas.microsoft.com/office/drawing/2014/main" id="{29A2939B-B321-4CB6-B92A-D1A5C7B83E71}"/>
            </a:ext>
          </a:extLst>
        </xdr:cNvPr>
        <xdr:cNvSpPr>
          <a:spLocks noChangeAspect="1" noChangeArrowheads="1"/>
        </xdr:cNvSpPr>
      </xdr:nvSpPr>
      <xdr:spPr bwMode="auto">
        <a:xfrm>
          <a:off x="0" y="7419975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57150</xdr:colOff>
      <xdr:row>34</xdr:row>
      <xdr:rowOff>9525</xdr:rowOff>
    </xdr:to>
    <xdr:sp macro="" textlink="">
      <xdr:nvSpPr>
        <xdr:cNvPr id="82" name="AutoShape 127" descr="Formula">
          <a:extLst>
            <a:ext uri="{FF2B5EF4-FFF2-40B4-BE49-F238E27FC236}">
              <a16:creationId xmlns:a16="http://schemas.microsoft.com/office/drawing/2014/main" id="{21A49C87-2AE7-478D-94D7-1EBEA0D9DDBF}"/>
            </a:ext>
          </a:extLst>
        </xdr:cNvPr>
        <xdr:cNvSpPr>
          <a:spLocks noChangeAspect="1" noChangeArrowheads="1"/>
        </xdr:cNvSpPr>
      </xdr:nvSpPr>
      <xdr:spPr bwMode="auto">
        <a:xfrm>
          <a:off x="0" y="7419975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57150</xdr:colOff>
      <xdr:row>34</xdr:row>
      <xdr:rowOff>9525</xdr:rowOff>
    </xdr:to>
    <xdr:sp macro="" textlink="">
      <xdr:nvSpPr>
        <xdr:cNvPr id="83" name="AutoShape 128" descr="Formula">
          <a:extLst>
            <a:ext uri="{FF2B5EF4-FFF2-40B4-BE49-F238E27FC236}">
              <a16:creationId xmlns:a16="http://schemas.microsoft.com/office/drawing/2014/main" id="{8899D240-A2C6-4CC1-8C16-3B2EC6CFC888}"/>
            </a:ext>
          </a:extLst>
        </xdr:cNvPr>
        <xdr:cNvSpPr>
          <a:spLocks noChangeAspect="1" noChangeArrowheads="1"/>
        </xdr:cNvSpPr>
      </xdr:nvSpPr>
      <xdr:spPr bwMode="auto">
        <a:xfrm>
          <a:off x="0" y="7419975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57150</xdr:colOff>
      <xdr:row>34</xdr:row>
      <xdr:rowOff>9525</xdr:rowOff>
    </xdr:to>
    <xdr:sp macro="" textlink="">
      <xdr:nvSpPr>
        <xdr:cNvPr id="84" name="AutoShape 131" descr="Formula">
          <a:extLst>
            <a:ext uri="{FF2B5EF4-FFF2-40B4-BE49-F238E27FC236}">
              <a16:creationId xmlns:a16="http://schemas.microsoft.com/office/drawing/2014/main" id="{D1434D3E-82BB-4B03-A9F8-BFB31299D6E7}"/>
            </a:ext>
          </a:extLst>
        </xdr:cNvPr>
        <xdr:cNvSpPr>
          <a:spLocks noChangeAspect="1" noChangeArrowheads="1"/>
        </xdr:cNvSpPr>
      </xdr:nvSpPr>
      <xdr:spPr bwMode="auto">
        <a:xfrm>
          <a:off x="0" y="7419975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57150</xdr:colOff>
      <xdr:row>34</xdr:row>
      <xdr:rowOff>9525</xdr:rowOff>
    </xdr:to>
    <xdr:sp macro="" textlink="">
      <xdr:nvSpPr>
        <xdr:cNvPr id="85" name="AutoShape 132" descr="Formula">
          <a:extLst>
            <a:ext uri="{FF2B5EF4-FFF2-40B4-BE49-F238E27FC236}">
              <a16:creationId xmlns:a16="http://schemas.microsoft.com/office/drawing/2014/main" id="{C97730CC-EC88-436D-B0DC-9959FDF27B97}"/>
            </a:ext>
          </a:extLst>
        </xdr:cNvPr>
        <xdr:cNvSpPr>
          <a:spLocks noChangeAspect="1" noChangeArrowheads="1"/>
        </xdr:cNvSpPr>
      </xdr:nvSpPr>
      <xdr:spPr bwMode="auto">
        <a:xfrm>
          <a:off x="0" y="7419975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57150</xdr:colOff>
      <xdr:row>34</xdr:row>
      <xdr:rowOff>9525</xdr:rowOff>
    </xdr:to>
    <xdr:sp macro="" textlink="">
      <xdr:nvSpPr>
        <xdr:cNvPr id="86" name="AutoShape 135" descr="Formula">
          <a:extLst>
            <a:ext uri="{FF2B5EF4-FFF2-40B4-BE49-F238E27FC236}">
              <a16:creationId xmlns:a16="http://schemas.microsoft.com/office/drawing/2014/main" id="{99C7B1CF-CC5E-4FAA-A680-A79CD47B1371}"/>
            </a:ext>
          </a:extLst>
        </xdr:cNvPr>
        <xdr:cNvSpPr>
          <a:spLocks noChangeAspect="1" noChangeArrowheads="1"/>
        </xdr:cNvSpPr>
      </xdr:nvSpPr>
      <xdr:spPr bwMode="auto">
        <a:xfrm>
          <a:off x="0" y="7419975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57150</xdr:colOff>
      <xdr:row>34</xdr:row>
      <xdr:rowOff>9525</xdr:rowOff>
    </xdr:to>
    <xdr:sp macro="" textlink="">
      <xdr:nvSpPr>
        <xdr:cNvPr id="87" name="AutoShape 136" descr="Formula">
          <a:extLst>
            <a:ext uri="{FF2B5EF4-FFF2-40B4-BE49-F238E27FC236}">
              <a16:creationId xmlns:a16="http://schemas.microsoft.com/office/drawing/2014/main" id="{CB6E5F3C-2534-4261-B6DE-09D0B0218333}"/>
            </a:ext>
          </a:extLst>
        </xdr:cNvPr>
        <xdr:cNvSpPr>
          <a:spLocks noChangeAspect="1" noChangeArrowheads="1"/>
        </xdr:cNvSpPr>
      </xdr:nvSpPr>
      <xdr:spPr bwMode="auto">
        <a:xfrm>
          <a:off x="0" y="7419975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57150</xdr:colOff>
      <xdr:row>35</xdr:row>
      <xdr:rowOff>9525</xdr:rowOff>
    </xdr:to>
    <xdr:sp macro="" textlink="">
      <xdr:nvSpPr>
        <xdr:cNvPr id="88" name="AutoShape 2" descr="Formula">
          <a:extLst>
            <a:ext uri="{FF2B5EF4-FFF2-40B4-BE49-F238E27FC236}">
              <a16:creationId xmlns:a16="http://schemas.microsoft.com/office/drawing/2014/main" id="{C2F7CA69-A1F4-49C4-9579-460C5673E3CC}"/>
            </a:ext>
          </a:extLst>
        </xdr:cNvPr>
        <xdr:cNvSpPr>
          <a:spLocks noChangeAspect="1" noChangeArrowheads="1"/>
        </xdr:cNvSpPr>
      </xdr:nvSpPr>
      <xdr:spPr bwMode="auto">
        <a:xfrm>
          <a:off x="2743200" y="7581900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57150</xdr:colOff>
      <xdr:row>35</xdr:row>
      <xdr:rowOff>9525</xdr:rowOff>
    </xdr:to>
    <xdr:sp macro="" textlink="">
      <xdr:nvSpPr>
        <xdr:cNvPr id="89" name="AutoShape 5" descr="Formula">
          <a:extLst>
            <a:ext uri="{FF2B5EF4-FFF2-40B4-BE49-F238E27FC236}">
              <a16:creationId xmlns:a16="http://schemas.microsoft.com/office/drawing/2014/main" id="{C128C4A6-B115-4B0A-9C8E-9A60F1A991F2}"/>
            </a:ext>
          </a:extLst>
        </xdr:cNvPr>
        <xdr:cNvSpPr>
          <a:spLocks noChangeAspect="1" noChangeArrowheads="1"/>
        </xdr:cNvSpPr>
      </xdr:nvSpPr>
      <xdr:spPr bwMode="auto">
        <a:xfrm>
          <a:off x="2743200" y="7581900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57150</xdr:colOff>
      <xdr:row>35</xdr:row>
      <xdr:rowOff>9525</xdr:rowOff>
    </xdr:to>
    <xdr:sp macro="" textlink="">
      <xdr:nvSpPr>
        <xdr:cNvPr id="90" name="AutoShape 8" descr="Formula">
          <a:extLst>
            <a:ext uri="{FF2B5EF4-FFF2-40B4-BE49-F238E27FC236}">
              <a16:creationId xmlns:a16="http://schemas.microsoft.com/office/drawing/2014/main" id="{D31331FF-4023-4CAD-A4A7-01CA9DEB941E}"/>
            </a:ext>
          </a:extLst>
        </xdr:cNvPr>
        <xdr:cNvSpPr>
          <a:spLocks noChangeAspect="1" noChangeArrowheads="1"/>
        </xdr:cNvSpPr>
      </xdr:nvSpPr>
      <xdr:spPr bwMode="auto">
        <a:xfrm>
          <a:off x="2743200" y="7581900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57150</xdr:colOff>
      <xdr:row>35</xdr:row>
      <xdr:rowOff>9525</xdr:rowOff>
    </xdr:to>
    <xdr:sp macro="" textlink="">
      <xdr:nvSpPr>
        <xdr:cNvPr id="91" name="AutoShape 11" descr="Formula">
          <a:extLst>
            <a:ext uri="{FF2B5EF4-FFF2-40B4-BE49-F238E27FC236}">
              <a16:creationId xmlns:a16="http://schemas.microsoft.com/office/drawing/2014/main" id="{6A946959-E5E4-42B3-A866-A8014F6B1AED}"/>
            </a:ext>
          </a:extLst>
        </xdr:cNvPr>
        <xdr:cNvSpPr>
          <a:spLocks noChangeAspect="1" noChangeArrowheads="1"/>
        </xdr:cNvSpPr>
      </xdr:nvSpPr>
      <xdr:spPr bwMode="auto">
        <a:xfrm>
          <a:off x="2743200" y="7581900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57150</xdr:colOff>
      <xdr:row>35</xdr:row>
      <xdr:rowOff>9525</xdr:rowOff>
    </xdr:to>
    <xdr:sp macro="" textlink="">
      <xdr:nvSpPr>
        <xdr:cNvPr id="92" name="AutoShape 14" descr="Formula">
          <a:extLst>
            <a:ext uri="{FF2B5EF4-FFF2-40B4-BE49-F238E27FC236}">
              <a16:creationId xmlns:a16="http://schemas.microsoft.com/office/drawing/2014/main" id="{569579AA-472C-42A2-BF90-71ECE89EEE1E}"/>
            </a:ext>
          </a:extLst>
        </xdr:cNvPr>
        <xdr:cNvSpPr>
          <a:spLocks noChangeAspect="1" noChangeArrowheads="1"/>
        </xdr:cNvSpPr>
      </xdr:nvSpPr>
      <xdr:spPr bwMode="auto">
        <a:xfrm>
          <a:off x="2743200" y="7581900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57150</xdr:colOff>
      <xdr:row>35</xdr:row>
      <xdr:rowOff>9525</xdr:rowOff>
    </xdr:to>
    <xdr:sp macro="" textlink="">
      <xdr:nvSpPr>
        <xdr:cNvPr id="93" name="AutoShape 17" descr="Formula">
          <a:extLst>
            <a:ext uri="{FF2B5EF4-FFF2-40B4-BE49-F238E27FC236}">
              <a16:creationId xmlns:a16="http://schemas.microsoft.com/office/drawing/2014/main" id="{54BAA40A-30A3-4A7F-A3F4-CDBB9E8BC2A8}"/>
            </a:ext>
          </a:extLst>
        </xdr:cNvPr>
        <xdr:cNvSpPr>
          <a:spLocks noChangeAspect="1" noChangeArrowheads="1"/>
        </xdr:cNvSpPr>
      </xdr:nvSpPr>
      <xdr:spPr bwMode="auto">
        <a:xfrm>
          <a:off x="2743200" y="7581900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57150</xdr:colOff>
      <xdr:row>35</xdr:row>
      <xdr:rowOff>9525</xdr:rowOff>
    </xdr:to>
    <xdr:sp macro="" textlink="">
      <xdr:nvSpPr>
        <xdr:cNvPr id="94" name="AutoShape 20" descr="Formula">
          <a:extLst>
            <a:ext uri="{FF2B5EF4-FFF2-40B4-BE49-F238E27FC236}">
              <a16:creationId xmlns:a16="http://schemas.microsoft.com/office/drawing/2014/main" id="{492323F5-032B-45BD-834D-56559CEDAB83}"/>
            </a:ext>
          </a:extLst>
        </xdr:cNvPr>
        <xdr:cNvSpPr>
          <a:spLocks noChangeAspect="1" noChangeArrowheads="1"/>
        </xdr:cNvSpPr>
      </xdr:nvSpPr>
      <xdr:spPr bwMode="auto">
        <a:xfrm>
          <a:off x="2743200" y="7581900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57150</xdr:colOff>
      <xdr:row>35</xdr:row>
      <xdr:rowOff>9525</xdr:rowOff>
    </xdr:to>
    <xdr:sp macro="" textlink="">
      <xdr:nvSpPr>
        <xdr:cNvPr id="95" name="AutoShape 23" descr="Formula">
          <a:extLst>
            <a:ext uri="{FF2B5EF4-FFF2-40B4-BE49-F238E27FC236}">
              <a16:creationId xmlns:a16="http://schemas.microsoft.com/office/drawing/2014/main" id="{BD9D3EAA-A27A-48C2-960A-8E849C16060A}"/>
            </a:ext>
          </a:extLst>
        </xdr:cNvPr>
        <xdr:cNvSpPr>
          <a:spLocks noChangeAspect="1" noChangeArrowheads="1"/>
        </xdr:cNvSpPr>
      </xdr:nvSpPr>
      <xdr:spPr bwMode="auto">
        <a:xfrm>
          <a:off x="2743200" y="7581900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57150</xdr:colOff>
      <xdr:row>35</xdr:row>
      <xdr:rowOff>9525</xdr:rowOff>
    </xdr:to>
    <xdr:sp macro="" textlink="">
      <xdr:nvSpPr>
        <xdr:cNvPr id="96" name="AutoShape 26" descr="Formula">
          <a:extLst>
            <a:ext uri="{FF2B5EF4-FFF2-40B4-BE49-F238E27FC236}">
              <a16:creationId xmlns:a16="http://schemas.microsoft.com/office/drawing/2014/main" id="{C9BEA2AA-AF84-4856-A62A-A390666F22FE}"/>
            </a:ext>
          </a:extLst>
        </xdr:cNvPr>
        <xdr:cNvSpPr>
          <a:spLocks noChangeAspect="1" noChangeArrowheads="1"/>
        </xdr:cNvSpPr>
      </xdr:nvSpPr>
      <xdr:spPr bwMode="auto">
        <a:xfrm>
          <a:off x="2743200" y="7581900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57150</xdr:colOff>
      <xdr:row>35</xdr:row>
      <xdr:rowOff>9525</xdr:rowOff>
    </xdr:to>
    <xdr:sp macro="" textlink="">
      <xdr:nvSpPr>
        <xdr:cNvPr id="97" name="AutoShape 29" descr="Formula">
          <a:extLst>
            <a:ext uri="{FF2B5EF4-FFF2-40B4-BE49-F238E27FC236}">
              <a16:creationId xmlns:a16="http://schemas.microsoft.com/office/drawing/2014/main" id="{0DBE9EDB-CF03-4BE0-85B0-8A1BCFB7DE7F}"/>
            </a:ext>
          </a:extLst>
        </xdr:cNvPr>
        <xdr:cNvSpPr>
          <a:spLocks noChangeAspect="1" noChangeArrowheads="1"/>
        </xdr:cNvSpPr>
      </xdr:nvSpPr>
      <xdr:spPr bwMode="auto">
        <a:xfrm>
          <a:off x="2743200" y="7581900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57150</xdr:colOff>
      <xdr:row>35</xdr:row>
      <xdr:rowOff>9525</xdr:rowOff>
    </xdr:to>
    <xdr:sp macro="" textlink="">
      <xdr:nvSpPr>
        <xdr:cNvPr id="98" name="AutoShape 32" descr="Formula">
          <a:extLst>
            <a:ext uri="{FF2B5EF4-FFF2-40B4-BE49-F238E27FC236}">
              <a16:creationId xmlns:a16="http://schemas.microsoft.com/office/drawing/2014/main" id="{D0CA4179-1253-49AE-A9A4-7E280B955938}"/>
            </a:ext>
          </a:extLst>
        </xdr:cNvPr>
        <xdr:cNvSpPr>
          <a:spLocks noChangeAspect="1" noChangeArrowheads="1"/>
        </xdr:cNvSpPr>
      </xdr:nvSpPr>
      <xdr:spPr bwMode="auto">
        <a:xfrm>
          <a:off x="2743200" y="7581900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57150</xdr:colOff>
      <xdr:row>35</xdr:row>
      <xdr:rowOff>9525</xdr:rowOff>
    </xdr:to>
    <xdr:sp macro="" textlink="">
      <xdr:nvSpPr>
        <xdr:cNvPr id="99" name="AutoShape 35" descr="Formula">
          <a:extLst>
            <a:ext uri="{FF2B5EF4-FFF2-40B4-BE49-F238E27FC236}">
              <a16:creationId xmlns:a16="http://schemas.microsoft.com/office/drawing/2014/main" id="{FDCCB020-A6AE-4371-9624-3BAE70278BD0}"/>
            </a:ext>
          </a:extLst>
        </xdr:cNvPr>
        <xdr:cNvSpPr>
          <a:spLocks noChangeAspect="1" noChangeArrowheads="1"/>
        </xdr:cNvSpPr>
      </xdr:nvSpPr>
      <xdr:spPr bwMode="auto">
        <a:xfrm>
          <a:off x="2743200" y="7581900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57150</xdr:colOff>
      <xdr:row>35</xdr:row>
      <xdr:rowOff>9525</xdr:rowOff>
    </xdr:to>
    <xdr:sp macro="" textlink="">
      <xdr:nvSpPr>
        <xdr:cNvPr id="100" name="AutoShape 38" descr="Formula">
          <a:extLst>
            <a:ext uri="{FF2B5EF4-FFF2-40B4-BE49-F238E27FC236}">
              <a16:creationId xmlns:a16="http://schemas.microsoft.com/office/drawing/2014/main" id="{7921D372-7D48-4F35-918F-00A7D067C7F6}"/>
            </a:ext>
          </a:extLst>
        </xdr:cNvPr>
        <xdr:cNvSpPr>
          <a:spLocks noChangeAspect="1" noChangeArrowheads="1"/>
        </xdr:cNvSpPr>
      </xdr:nvSpPr>
      <xdr:spPr bwMode="auto">
        <a:xfrm>
          <a:off x="2743200" y="7581900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57150</xdr:colOff>
      <xdr:row>35</xdr:row>
      <xdr:rowOff>9525</xdr:rowOff>
    </xdr:to>
    <xdr:sp macro="" textlink="">
      <xdr:nvSpPr>
        <xdr:cNvPr id="101" name="AutoShape 41" descr="Formula">
          <a:extLst>
            <a:ext uri="{FF2B5EF4-FFF2-40B4-BE49-F238E27FC236}">
              <a16:creationId xmlns:a16="http://schemas.microsoft.com/office/drawing/2014/main" id="{5E4F38CE-1119-4E76-A085-71DE9B985F25}"/>
            </a:ext>
          </a:extLst>
        </xdr:cNvPr>
        <xdr:cNvSpPr>
          <a:spLocks noChangeAspect="1" noChangeArrowheads="1"/>
        </xdr:cNvSpPr>
      </xdr:nvSpPr>
      <xdr:spPr bwMode="auto">
        <a:xfrm>
          <a:off x="2743200" y="7581900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57150</xdr:colOff>
      <xdr:row>35</xdr:row>
      <xdr:rowOff>9525</xdr:rowOff>
    </xdr:to>
    <xdr:sp macro="" textlink="">
      <xdr:nvSpPr>
        <xdr:cNvPr id="102" name="AutoShape 44" descr="Formula">
          <a:extLst>
            <a:ext uri="{FF2B5EF4-FFF2-40B4-BE49-F238E27FC236}">
              <a16:creationId xmlns:a16="http://schemas.microsoft.com/office/drawing/2014/main" id="{3FE6FF70-DC70-4B21-97BA-29EA14BC3438}"/>
            </a:ext>
          </a:extLst>
        </xdr:cNvPr>
        <xdr:cNvSpPr>
          <a:spLocks noChangeAspect="1" noChangeArrowheads="1"/>
        </xdr:cNvSpPr>
      </xdr:nvSpPr>
      <xdr:spPr bwMode="auto">
        <a:xfrm>
          <a:off x="2743200" y="7581900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57150</xdr:colOff>
      <xdr:row>35</xdr:row>
      <xdr:rowOff>9525</xdr:rowOff>
    </xdr:to>
    <xdr:sp macro="" textlink="">
      <xdr:nvSpPr>
        <xdr:cNvPr id="103" name="AutoShape 47" descr="Formula">
          <a:extLst>
            <a:ext uri="{FF2B5EF4-FFF2-40B4-BE49-F238E27FC236}">
              <a16:creationId xmlns:a16="http://schemas.microsoft.com/office/drawing/2014/main" id="{B3932C30-FB6A-4DED-BC8F-5CB14C632A9A}"/>
            </a:ext>
          </a:extLst>
        </xdr:cNvPr>
        <xdr:cNvSpPr>
          <a:spLocks noChangeAspect="1" noChangeArrowheads="1"/>
        </xdr:cNvSpPr>
      </xdr:nvSpPr>
      <xdr:spPr bwMode="auto">
        <a:xfrm>
          <a:off x="2743200" y="7581900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57150</xdr:colOff>
      <xdr:row>35</xdr:row>
      <xdr:rowOff>9525</xdr:rowOff>
    </xdr:to>
    <xdr:sp macro="" textlink="">
      <xdr:nvSpPr>
        <xdr:cNvPr id="104" name="AutoShape 50" descr="Formula">
          <a:extLst>
            <a:ext uri="{FF2B5EF4-FFF2-40B4-BE49-F238E27FC236}">
              <a16:creationId xmlns:a16="http://schemas.microsoft.com/office/drawing/2014/main" id="{635845D5-9A63-4597-BC0D-09CC8B2D65B3}"/>
            </a:ext>
          </a:extLst>
        </xdr:cNvPr>
        <xdr:cNvSpPr>
          <a:spLocks noChangeAspect="1" noChangeArrowheads="1"/>
        </xdr:cNvSpPr>
      </xdr:nvSpPr>
      <xdr:spPr bwMode="auto">
        <a:xfrm>
          <a:off x="2743200" y="7581900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57150</xdr:colOff>
      <xdr:row>35</xdr:row>
      <xdr:rowOff>9525</xdr:rowOff>
    </xdr:to>
    <xdr:sp macro="" textlink="">
      <xdr:nvSpPr>
        <xdr:cNvPr id="105" name="AutoShape 53" descr="Formula">
          <a:extLst>
            <a:ext uri="{FF2B5EF4-FFF2-40B4-BE49-F238E27FC236}">
              <a16:creationId xmlns:a16="http://schemas.microsoft.com/office/drawing/2014/main" id="{850ED593-856A-4764-BC54-056F5655AE1C}"/>
            </a:ext>
          </a:extLst>
        </xdr:cNvPr>
        <xdr:cNvSpPr>
          <a:spLocks noChangeAspect="1" noChangeArrowheads="1"/>
        </xdr:cNvSpPr>
      </xdr:nvSpPr>
      <xdr:spPr bwMode="auto">
        <a:xfrm>
          <a:off x="2743200" y="7581900"/>
          <a:ext cx="57150" cy="9525"/>
        </a:xfrm>
        <a:prstGeom prst="rect">
          <a:avLst/>
        </a:prstGeom>
        <a:noFill/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18</xdr:col>
      <xdr:colOff>547200</xdr:colOff>
      <xdr:row>37</xdr:row>
      <xdr:rowOff>128775</xdr:rowOff>
    </xdr:to>
    <xdr:graphicFrame macro="">
      <xdr:nvGraphicFramePr>
        <xdr:cNvPr id="132" name="Gráfico 131">
          <a:extLst>
            <a:ext uri="{FF2B5EF4-FFF2-40B4-BE49-F238E27FC236}">
              <a16:creationId xmlns:a16="http://schemas.microsoft.com/office/drawing/2014/main" id="{518F9BDE-7434-406B-A562-6724AFA7A5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18</xdr:col>
      <xdr:colOff>571499</xdr:colOff>
      <xdr:row>0</xdr:row>
      <xdr:rowOff>0</xdr:rowOff>
    </xdr:from>
    <xdr:to>
      <xdr:col>24</xdr:col>
      <xdr:colOff>153899</xdr:colOff>
      <xdr:row>24</xdr:row>
      <xdr:rowOff>73800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133" name="Pilotos">
              <a:extLst>
                <a:ext uri="{FF2B5EF4-FFF2-40B4-BE49-F238E27FC236}">
                  <a16:creationId xmlns:a16="http://schemas.microsoft.com/office/drawing/2014/main" id="{6CCCEFBD-9070-4DF9-8A5D-6890A238D7AB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iloto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544299" y="0"/>
              <a:ext cx="3240000" cy="3960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 fLocksWithSheet="0"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34</xdr:row>
      <xdr:rowOff>0</xdr:rowOff>
    </xdr:from>
    <xdr:to>
      <xdr:col>0</xdr:col>
      <xdr:colOff>304800</xdr:colOff>
      <xdr:row>35</xdr:row>
      <xdr:rowOff>142875</xdr:rowOff>
    </xdr:to>
    <xdr:sp macro="" textlink="">
      <xdr:nvSpPr>
        <xdr:cNvPr id="2" name="AutoShape 1" descr="Formula">
          <a:extLst>
            <a:ext uri="{FF2B5EF4-FFF2-40B4-BE49-F238E27FC236}">
              <a16:creationId xmlns:a16="http://schemas.microsoft.com/office/drawing/2014/main" id="{5B95DE60-90F0-4F41-BCEE-7F655238E33B}"/>
            </a:ext>
          </a:extLst>
        </xdr:cNvPr>
        <xdr:cNvSpPr>
          <a:spLocks noChangeAspect="1" noChangeArrowheads="1"/>
        </xdr:cNvSpPr>
      </xdr:nvSpPr>
      <xdr:spPr bwMode="auto">
        <a:xfrm>
          <a:off x="0" y="55054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57150</xdr:colOff>
      <xdr:row>34</xdr:row>
      <xdr:rowOff>9525</xdr:rowOff>
    </xdr:to>
    <xdr:sp macro="" textlink="">
      <xdr:nvSpPr>
        <xdr:cNvPr id="3" name="AutoShape 2" descr="Formula">
          <a:extLst>
            <a:ext uri="{FF2B5EF4-FFF2-40B4-BE49-F238E27FC236}">
              <a16:creationId xmlns:a16="http://schemas.microsoft.com/office/drawing/2014/main" id="{C8EAD07E-1ADA-48C1-A841-C607C12584A3}"/>
            </a:ext>
          </a:extLst>
        </xdr:cNvPr>
        <xdr:cNvSpPr>
          <a:spLocks noChangeAspect="1" noChangeArrowheads="1"/>
        </xdr:cNvSpPr>
      </xdr:nvSpPr>
      <xdr:spPr bwMode="auto">
        <a:xfrm>
          <a:off x="0" y="5505450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304800</xdr:colOff>
      <xdr:row>35</xdr:row>
      <xdr:rowOff>142875</xdr:rowOff>
    </xdr:to>
    <xdr:sp macro="" textlink="">
      <xdr:nvSpPr>
        <xdr:cNvPr id="4" name="AutoShape 4" descr="Formula">
          <a:extLst>
            <a:ext uri="{FF2B5EF4-FFF2-40B4-BE49-F238E27FC236}">
              <a16:creationId xmlns:a16="http://schemas.microsoft.com/office/drawing/2014/main" id="{2F1590BA-2DE8-4F13-810B-1F3970C5095E}"/>
            </a:ext>
          </a:extLst>
        </xdr:cNvPr>
        <xdr:cNvSpPr>
          <a:spLocks noChangeAspect="1" noChangeArrowheads="1"/>
        </xdr:cNvSpPr>
      </xdr:nvSpPr>
      <xdr:spPr bwMode="auto">
        <a:xfrm>
          <a:off x="0" y="55054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57150</xdr:colOff>
      <xdr:row>34</xdr:row>
      <xdr:rowOff>9525</xdr:rowOff>
    </xdr:to>
    <xdr:sp macro="" textlink="">
      <xdr:nvSpPr>
        <xdr:cNvPr id="5" name="AutoShape 5" descr="Formula">
          <a:extLst>
            <a:ext uri="{FF2B5EF4-FFF2-40B4-BE49-F238E27FC236}">
              <a16:creationId xmlns:a16="http://schemas.microsoft.com/office/drawing/2014/main" id="{5DB23F93-3B72-4E2E-80CE-E0B7A5ADC823}"/>
            </a:ext>
          </a:extLst>
        </xdr:cNvPr>
        <xdr:cNvSpPr>
          <a:spLocks noChangeAspect="1" noChangeArrowheads="1"/>
        </xdr:cNvSpPr>
      </xdr:nvSpPr>
      <xdr:spPr bwMode="auto">
        <a:xfrm>
          <a:off x="0" y="5505450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304800</xdr:colOff>
      <xdr:row>35</xdr:row>
      <xdr:rowOff>142875</xdr:rowOff>
    </xdr:to>
    <xdr:sp macro="" textlink="">
      <xdr:nvSpPr>
        <xdr:cNvPr id="6" name="AutoShape 7" descr="Formula">
          <a:extLst>
            <a:ext uri="{FF2B5EF4-FFF2-40B4-BE49-F238E27FC236}">
              <a16:creationId xmlns:a16="http://schemas.microsoft.com/office/drawing/2014/main" id="{E8A52373-8180-4745-8D78-C652DCE956D7}"/>
            </a:ext>
          </a:extLst>
        </xdr:cNvPr>
        <xdr:cNvSpPr>
          <a:spLocks noChangeAspect="1" noChangeArrowheads="1"/>
        </xdr:cNvSpPr>
      </xdr:nvSpPr>
      <xdr:spPr bwMode="auto">
        <a:xfrm>
          <a:off x="0" y="55054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57150</xdr:colOff>
      <xdr:row>34</xdr:row>
      <xdr:rowOff>9525</xdr:rowOff>
    </xdr:to>
    <xdr:sp macro="" textlink="">
      <xdr:nvSpPr>
        <xdr:cNvPr id="7" name="AutoShape 8" descr="Formula">
          <a:extLst>
            <a:ext uri="{FF2B5EF4-FFF2-40B4-BE49-F238E27FC236}">
              <a16:creationId xmlns:a16="http://schemas.microsoft.com/office/drawing/2014/main" id="{3A8B856E-628D-4859-9632-A2D4CAF0AF09}"/>
            </a:ext>
          </a:extLst>
        </xdr:cNvPr>
        <xdr:cNvSpPr>
          <a:spLocks noChangeAspect="1" noChangeArrowheads="1"/>
        </xdr:cNvSpPr>
      </xdr:nvSpPr>
      <xdr:spPr bwMode="auto">
        <a:xfrm>
          <a:off x="0" y="5505450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304800</xdr:colOff>
      <xdr:row>35</xdr:row>
      <xdr:rowOff>142875</xdr:rowOff>
    </xdr:to>
    <xdr:sp macro="" textlink="">
      <xdr:nvSpPr>
        <xdr:cNvPr id="8" name="AutoShape 10" descr="Formula">
          <a:extLst>
            <a:ext uri="{FF2B5EF4-FFF2-40B4-BE49-F238E27FC236}">
              <a16:creationId xmlns:a16="http://schemas.microsoft.com/office/drawing/2014/main" id="{6B9681F8-DDA2-4537-8082-C2537C97D953}"/>
            </a:ext>
          </a:extLst>
        </xdr:cNvPr>
        <xdr:cNvSpPr>
          <a:spLocks noChangeAspect="1" noChangeArrowheads="1"/>
        </xdr:cNvSpPr>
      </xdr:nvSpPr>
      <xdr:spPr bwMode="auto">
        <a:xfrm>
          <a:off x="0" y="55054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57150</xdr:colOff>
      <xdr:row>34</xdr:row>
      <xdr:rowOff>9525</xdr:rowOff>
    </xdr:to>
    <xdr:sp macro="" textlink="">
      <xdr:nvSpPr>
        <xdr:cNvPr id="9" name="AutoShape 11" descr="Formula">
          <a:extLst>
            <a:ext uri="{FF2B5EF4-FFF2-40B4-BE49-F238E27FC236}">
              <a16:creationId xmlns:a16="http://schemas.microsoft.com/office/drawing/2014/main" id="{11978E84-47A8-4CA5-883F-6EEE77608404}"/>
            </a:ext>
          </a:extLst>
        </xdr:cNvPr>
        <xdr:cNvSpPr>
          <a:spLocks noChangeAspect="1" noChangeArrowheads="1"/>
        </xdr:cNvSpPr>
      </xdr:nvSpPr>
      <xdr:spPr bwMode="auto">
        <a:xfrm>
          <a:off x="0" y="5505450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304800</xdr:colOff>
      <xdr:row>35</xdr:row>
      <xdr:rowOff>142875</xdr:rowOff>
    </xdr:to>
    <xdr:sp macro="" textlink="">
      <xdr:nvSpPr>
        <xdr:cNvPr id="10" name="AutoShape 13" descr="Formula">
          <a:extLst>
            <a:ext uri="{FF2B5EF4-FFF2-40B4-BE49-F238E27FC236}">
              <a16:creationId xmlns:a16="http://schemas.microsoft.com/office/drawing/2014/main" id="{32EDA78C-BDB9-4265-9E79-BF351A4CD6F1}"/>
            </a:ext>
          </a:extLst>
        </xdr:cNvPr>
        <xdr:cNvSpPr>
          <a:spLocks noChangeAspect="1" noChangeArrowheads="1"/>
        </xdr:cNvSpPr>
      </xdr:nvSpPr>
      <xdr:spPr bwMode="auto">
        <a:xfrm>
          <a:off x="0" y="55054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57150</xdr:colOff>
      <xdr:row>34</xdr:row>
      <xdr:rowOff>9525</xdr:rowOff>
    </xdr:to>
    <xdr:sp macro="" textlink="">
      <xdr:nvSpPr>
        <xdr:cNvPr id="11" name="AutoShape 14" descr="Formula">
          <a:extLst>
            <a:ext uri="{FF2B5EF4-FFF2-40B4-BE49-F238E27FC236}">
              <a16:creationId xmlns:a16="http://schemas.microsoft.com/office/drawing/2014/main" id="{CCB7D9BC-6A56-4749-9670-8F89DC724723}"/>
            </a:ext>
          </a:extLst>
        </xdr:cNvPr>
        <xdr:cNvSpPr>
          <a:spLocks noChangeAspect="1" noChangeArrowheads="1"/>
        </xdr:cNvSpPr>
      </xdr:nvSpPr>
      <xdr:spPr bwMode="auto">
        <a:xfrm>
          <a:off x="0" y="5505450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304800</xdr:colOff>
      <xdr:row>35</xdr:row>
      <xdr:rowOff>142875</xdr:rowOff>
    </xdr:to>
    <xdr:sp macro="" textlink="">
      <xdr:nvSpPr>
        <xdr:cNvPr id="12" name="AutoShape 16" descr="Formula">
          <a:extLst>
            <a:ext uri="{FF2B5EF4-FFF2-40B4-BE49-F238E27FC236}">
              <a16:creationId xmlns:a16="http://schemas.microsoft.com/office/drawing/2014/main" id="{15D237B9-6DA8-4E82-8B78-62CE1E08A396}"/>
            </a:ext>
          </a:extLst>
        </xdr:cNvPr>
        <xdr:cNvSpPr>
          <a:spLocks noChangeAspect="1" noChangeArrowheads="1"/>
        </xdr:cNvSpPr>
      </xdr:nvSpPr>
      <xdr:spPr bwMode="auto">
        <a:xfrm>
          <a:off x="0" y="55054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57150</xdr:colOff>
      <xdr:row>34</xdr:row>
      <xdr:rowOff>9525</xdr:rowOff>
    </xdr:to>
    <xdr:sp macro="" textlink="">
      <xdr:nvSpPr>
        <xdr:cNvPr id="13" name="AutoShape 17" descr="Formula">
          <a:extLst>
            <a:ext uri="{FF2B5EF4-FFF2-40B4-BE49-F238E27FC236}">
              <a16:creationId xmlns:a16="http://schemas.microsoft.com/office/drawing/2014/main" id="{E491D100-C8D3-4E85-9920-E2FCF6F56081}"/>
            </a:ext>
          </a:extLst>
        </xdr:cNvPr>
        <xdr:cNvSpPr>
          <a:spLocks noChangeAspect="1" noChangeArrowheads="1"/>
        </xdr:cNvSpPr>
      </xdr:nvSpPr>
      <xdr:spPr bwMode="auto">
        <a:xfrm>
          <a:off x="0" y="5505450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304800</xdr:colOff>
      <xdr:row>35</xdr:row>
      <xdr:rowOff>142875</xdr:rowOff>
    </xdr:to>
    <xdr:sp macro="" textlink="">
      <xdr:nvSpPr>
        <xdr:cNvPr id="14" name="AutoShape 19" descr="Formula">
          <a:extLst>
            <a:ext uri="{FF2B5EF4-FFF2-40B4-BE49-F238E27FC236}">
              <a16:creationId xmlns:a16="http://schemas.microsoft.com/office/drawing/2014/main" id="{A79D9D8D-35E0-4A63-AC6C-B09FD16227E6}"/>
            </a:ext>
          </a:extLst>
        </xdr:cNvPr>
        <xdr:cNvSpPr>
          <a:spLocks noChangeAspect="1" noChangeArrowheads="1"/>
        </xdr:cNvSpPr>
      </xdr:nvSpPr>
      <xdr:spPr bwMode="auto">
        <a:xfrm>
          <a:off x="0" y="55054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57150</xdr:colOff>
      <xdr:row>34</xdr:row>
      <xdr:rowOff>9525</xdr:rowOff>
    </xdr:to>
    <xdr:sp macro="" textlink="">
      <xdr:nvSpPr>
        <xdr:cNvPr id="15" name="AutoShape 20" descr="Formula">
          <a:extLst>
            <a:ext uri="{FF2B5EF4-FFF2-40B4-BE49-F238E27FC236}">
              <a16:creationId xmlns:a16="http://schemas.microsoft.com/office/drawing/2014/main" id="{1759A206-A8FB-45A4-A853-A3296F8C8EA4}"/>
            </a:ext>
          </a:extLst>
        </xdr:cNvPr>
        <xdr:cNvSpPr>
          <a:spLocks noChangeAspect="1" noChangeArrowheads="1"/>
        </xdr:cNvSpPr>
      </xdr:nvSpPr>
      <xdr:spPr bwMode="auto">
        <a:xfrm>
          <a:off x="0" y="5505450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304800</xdr:colOff>
      <xdr:row>35</xdr:row>
      <xdr:rowOff>142875</xdr:rowOff>
    </xdr:to>
    <xdr:sp macro="" textlink="">
      <xdr:nvSpPr>
        <xdr:cNvPr id="16" name="AutoShape 22" descr="Formula">
          <a:extLst>
            <a:ext uri="{FF2B5EF4-FFF2-40B4-BE49-F238E27FC236}">
              <a16:creationId xmlns:a16="http://schemas.microsoft.com/office/drawing/2014/main" id="{27B10B04-75D6-404C-BAF4-14F402FA84E9}"/>
            </a:ext>
          </a:extLst>
        </xdr:cNvPr>
        <xdr:cNvSpPr>
          <a:spLocks noChangeAspect="1" noChangeArrowheads="1"/>
        </xdr:cNvSpPr>
      </xdr:nvSpPr>
      <xdr:spPr bwMode="auto">
        <a:xfrm>
          <a:off x="0" y="55054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57150</xdr:colOff>
      <xdr:row>34</xdr:row>
      <xdr:rowOff>9525</xdr:rowOff>
    </xdr:to>
    <xdr:sp macro="" textlink="">
      <xdr:nvSpPr>
        <xdr:cNvPr id="17" name="AutoShape 23" descr="Formula">
          <a:extLst>
            <a:ext uri="{FF2B5EF4-FFF2-40B4-BE49-F238E27FC236}">
              <a16:creationId xmlns:a16="http://schemas.microsoft.com/office/drawing/2014/main" id="{B2A9668F-7C4F-4A29-BDFA-D7EF7B3E85AE}"/>
            </a:ext>
          </a:extLst>
        </xdr:cNvPr>
        <xdr:cNvSpPr>
          <a:spLocks noChangeAspect="1" noChangeArrowheads="1"/>
        </xdr:cNvSpPr>
      </xdr:nvSpPr>
      <xdr:spPr bwMode="auto">
        <a:xfrm>
          <a:off x="0" y="5505450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304800</xdr:colOff>
      <xdr:row>35</xdr:row>
      <xdr:rowOff>142875</xdr:rowOff>
    </xdr:to>
    <xdr:sp macro="" textlink="">
      <xdr:nvSpPr>
        <xdr:cNvPr id="18" name="AutoShape 25" descr="Formula">
          <a:extLst>
            <a:ext uri="{FF2B5EF4-FFF2-40B4-BE49-F238E27FC236}">
              <a16:creationId xmlns:a16="http://schemas.microsoft.com/office/drawing/2014/main" id="{7D4E18BD-E846-4F02-926A-945ABE16CDC6}"/>
            </a:ext>
          </a:extLst>
        </xdr:cNvPr>
        <xdr:cNvSpPr>
          <a:spLocks noChangeAspect="1" noChangeArrowheads="1"/>
        </xdr:cNvSpPr>
      </xdr:nvSpPr>
      <xdr:spPr bwMode="auto">
        <a:xfrm>
          <a:off x="0" y="55054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57150</xdr:colOff>
      <xdr:row>34</xdr:row>
      <xdr:rowOff>9525</xdr:rowOff>
    </xdr:to>
    <xdr:sp macro="" textlink="">
      <xdr:nvSpPr>
        <xdr:cNvPr id="19" name="AutoShape 26" descr="Formula">
          <a:extLst>
            <a:ext uri="{FF2B5EF4-FFF2-40B4-BE49-F238E27FC236}">
              <a16:creationId xmlns:a16="http://schemas.microsoft.com/office/drawing/2014/main" id="{E0EDC4ED-790A-4AD1-BACD-3D1DF058EE52}"/>
            </a:ext>
          </a:extLst>
        </xdr:cNvPr>
        <xdr:cNvSpPr>
          <a:spLocks noChangeAspect="1" noChangeArrowheads="1"/>
        </xdr:cNvSpPr>
      </xdr:nvSpPr>
      <xdr:spPr bwMode="auto">
        <a:xfrm>
          <a:off x="0" y="5505450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304800</xdr:colOff>
      <xdr:row>35</xdr:row>
      <xdr:rowOff>142875</xdr:rowOff>
    </xdr:to>
    <xdr:sp macro="" textlink="">
      <xdr:nvSpPr>
        <xdr:cNvPr id="20" name="AutoShape 28" descr="Formula">
          <a:extLst>
            <a:ext uri="{FF2B5EF4-FFF2-40B4-BE49-F238E27FC236}">
              <a16:creationId xmlns:a16="http://schemas.microsoft.com/office/drawing/2014/main" id="{7899ECB8-E01E-49AE-8088-6683AB48A187}"/>
            </a:ext>
          </a:extLst>
        </xdr:cNvPr>
        <xdr:cNvSpPr>
          <a:spLocks noChangeAspect="1" noChangeArrowheads="1"/>
        </xdr:cNvSpPr>
      </xdr:nvSpPr>
      <xdr:spPr bwMode="auto">
        <a:xfrm>
          <a:off x="0" y="55054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57150</xdr:colOff>
      <xdr:row>34</xdr:row>
      <xdr:rowOff>9525</xdr:rowOff>
    </xdr:to>
    <xdr:sp macro="" textlink="">
      <xdr:nvSpPr>
        <xdr:cNvPr id="21" name="AutoShape 29" descr="Formula">
          <a:extLst>
            <a:ext uri="{FF2B5EF4-FFF2-40B4-BE49-F238E27FC236}">
              <a16:creationId xmlns:a16="http://schemas.microsoft.com/office/drawing/2014/main" id="{6982B3CA-9DC1-4773-B16C-2C32A49EDBC5}"/>
            </a:ext>
          </a:extLst>
        </xdr:cNvPr>
        <xdr:cNvSpPr>
          <a:spLocks noChangeAspect="1" noChangeArrowheads="1"/>
        </xdr:cNvSpPr>
      </xdr:nvSpPr>
      <xdr:spPr bwMode="auto">
        <a:xfrm>
          <a:off x="0" y="5505450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304800</xdr:colOff>
      <xdr:row>35</xdr:row>
      <xdr:rowOff>142875</xdr:rowOff>
    </xdr:to>
    <xdr:sp macro="" textlink="">
      <xdr:nvSpPr>
        <xdr:cNvPr id="22" name="AutoShape 31" descr="Formula">
          <a:extLst>
            <a:ext uri="{FF2B5EF4-FFF2-40B4-BE49-F238E27FC236}">
              <a16:creationId xmlns:a16="http://schemas.microsoft.com/office/drawing/2014/main" id="{52012625-6F25-4102-8888-7FB98518E407}"/>
            </a:ext>
          </a:extLst>
        </xdr:cNvPr>
        <xdr:cNvSpPr>
          <a:spLocks noChangeAspect="1" noChangeArrowheads="1"/>
        </xdr:cNvSpPr>
      </xdr:nvSpPr>
      <xdr:spPr bwMode="auto">
        <a:xfrm>
          <a:off x="0" y="55054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57150</xdr:colOff>
      <xdr:row>34</xdr:row>
      <xdr:rowOff>9525</xdr:rowOff>
    </xdr:to>
    <xdr:sp macro="" textlink="">
      <xdr:nvSpPr>
        <xdr:cNvPr id="23" name="AutoShape 32" descr="Formula">
          <a:extLst>
            <a:ext uri="{FF2B5EF4-FFF2-40B4-BE49-F238E27FC236}">
              <a16:creationId xmlns:a16="http://schemas.microsoft.com/office/drawing/2014/main" id="{4C09F7D7-5FC6-4456-9F48-236DE296A547}"/>
            </a:ext>
          </a:extLst>
        </xdr:cNvPr>
        <xdr:cNvSpPr>
          <a:spLocks noChangeAspect="1" noChangeArrowheads="1"/>
        </xdr:cNvSpPr>
      </xdr:nvSpPr>
      <xdr:spPr bwMode="auto">
        <a:xfrm>
          <a:off x="0" y="5505450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304800</xdr:colOff>
      <xdr:row>35</xdr:row>
      <xdr:rowOff>142875</xdr:rowOff>
    </xdr:to>
    <xdr:sp macro="" textlink="">
      <xdr:nvSpPr>
        <xdr:cNvPr id="24" name="AutoShape 34" descr="Formula">
          <a:extLst>
            <a:ext uri="{FF2B5EF4-FFF2-40B4-BE49-F238E27FC236}">
              <a16:creationId xmlns:a16="http://schemas.microsoft.com/office/drawing/2014/main" id="{6C37A321-66BC-44EC-A1EE-AE679E00ADCF}"/>
            </a:ext>
          </a:extLst>
        </xdr:cNvPr>
        <xdr:cNvSpPr>
          <a:spLocks noChangeAspect="1" noChangeArrowheads="1"/>
        </xdr:cNvSpPr>
      </xdr:nvSpPr>
      <xdr:spPr bwMode="auto">
        <a:xfrm>
          <a:off x="0" y="55054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57150</xdr:colOff>
      <xdr:row>34</xdr:row>
      <xdr:rowOff>9525</xdr:rowOff>
    </xdr:to>
    <xdr:sp macro="" textlink="">
      <xdr:nvSpPr>
        <xdr:cNvPr id="25" name="AutoShape 35" descr="Formula">
          <a:extLst>
            <a:ext uri="{FF2B5EF4-FFF2-40B4-BE49-F238E27FC236}">
              <a16:creationId xmlns:a16="http://schemas.microsoft.com/office/drawing/2014/main" id="{103030F3-835B-4DB7-B7C8-2CA9F8780CF2}"/>
            </a:ext>
          </a:extLst>
        </xdr:cNvPr>
        <xdr:cNvSpPr>
          <a:spLocks noChangeAspect="1" noChangeArrowheads="1"/>
        </xdr:cNvSpPr>
      </xdr:nvSpPr>
      <xdr:spPr bwMode="auto">
        <a:xfrm>
          <a:off x="0" y="5505450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304800</xdr:colOff>
      <xdr:row>35</xdr:row>
      <xdr:rowOff>142875</xdr:rowOff>
    </xdr:to>
    <xdr:sp macro="" textlink="">
      <xdr:nvSpPr>
        <xdr:cNvPr id="26" name="AutoShape 37" descr="Formula">
          <a:extLst>
            <a:ext uri="{FF2B5EF4-FFF2-40B4-BE49-F238E27FC236}">
              <a16:creationId xmlns:a16="http://schemas.microsoft.com/office/drawing/2014/main" id="{21D7D282-9FED-49C1-B2C8-D159286D2E11}"/>
            </a:ext>
          </a:extLst>
        </xdr:cNvPr>
        <xdr:cNvSpPr>
          <a:spLocks noChangeAspect="1" noChangeArrowheads="1"/>
        </xdr:cNvSpPr>
      </xdr:nvSpPr>
      <xdr:spPr bwMode="auto">
        <a:xfrm>
          <a:off x="0" y="55054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57150</xdr:colOff>
      <xdr:row>34</xdr:row>
      <xdr:rowOff>9525</xdr:rowOff>
    </xdr:to>
    <xdr:sp macro="" textlink="">
      <xdr:nvSpPr>
        <xdr:cNvPr id="27" name="AutoShape 38" descr="Formula">
          <a:extLst>
            <a:ext uri="{FF2B5EF4-FFF2-40B4-BE49-F238E27FC236}">
              <a16:creationId xmlns:a16="http://schemas.microsoft.com/office/drawing/2014/main" id="{A8F47344-2A66-4E10-B952-06BDD3F8BD97}"/>
            </a:ext>
          </a:extLst>
        </xdr:cNvPr>
        <xdr:cNvSpPr>
          <a:spLocks noChangeAspect="1" noChangeArrowheads="1"/>
        </xdr:cNvSpPr>
      </xdr:nvSpPr>
      <xdr:spPr bwMode="auto">
        <a:xfrm>
          <a:off x="0" y="5505450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304800</xdr:colOff>
      <xdr:row>35</xdr:row>
      <xdr:rowOff>142875</xdr:rowOff>
    </xdr:to>
    <xdr:sp macro="" textlink="">
      <xdr:nvSpPr>
        <xdr:cNvPr id="28" name="AutoShape 40" descr="Formula">
          <a:extLst>
            <a:ext uri="{FF2B5EF4-FFF2-40B4-BE49-F238E27FC236}">
              <a16:creationId xmlns:a16="http://schemas.microsoft.com/office/drawing/2014/main" id="{47277543-5828-4701-BE47-E69622C0C98F}"/>
            </a:ext>
          </a:extLst>
        </xdr:cNvPr>
        <xdr:cNvSpPr>
          <a:spLocks noChangeAspect="1" noChangeArrowheads="1"/>
        </xdr:cNvSpPr>
      </xdr:nvSpPr>
      <xdr:spPr bwMode="auto">
        <a:xfrm>
          <a:off x="0" y="55054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57150</xdr:colOff>
      <xdr:row>34</xdr:row>
      <xdr:rowOff>9525</xdr:rowOff>
    </xdr:to>
    <xdr:sp macro="" textlink="">
      <xdr:nvSpPr>
        <xdr:cNvPr id="29" name="AutoShape 41" descr="Formula">
          <a:extLst>
            <a:ext uri="{FF2B5EF4-FFF2-40B4-BE49-F238E27FC236}">
              <a16:creationId xmlns:a16="http://schemas.microsoft.com/office/drawing/2014/main" id="{0B6332B4-C893-4DA4-9132-C15BE6170112}"/>
            </a:ext>
          </a:extLst>
        </xdr:cNvPr>
        <xdr:cNvSpPr>
          <a:spLocks noChangeAspect="1" noChangeArrowheads="1"/>
        </xdr:cNvSpPr>
      </xdr:nvSpPr>
      <xdr:spPr bwMode="auto">
        <a:xfrm>
          <a:off x="0" y="5505450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304800</xdr:colOff>
      <xdr:row>35</xdr:row>
      <xdr:rowOff>142875</xdr:rowOff>
    </xdr:to>
    <xdr:sp macro="" textlink="">
      <xdr:nvSpPr>
        <xdr:cNvPr id="30" name="AutoShape 43" descr="Formula">
          <a:extLst>
            <a:ext uri="{FF2B5EF4-FFF2-40B4-BE49-F238E27FC236}">
              <a16:creationId xmlns:a16="http://schemas.microsoft.com/office/drawing/2014/main" id="{9F6A0DAC-0F60-43E9-972F-DFF9ECF32C61}"/>
            </a:ext>
          </a:extLst>
        </xdr:cNvPr>
        <xdr:cNvSpPr>
          <a:spLocks noChangeAspect="1" noChangeArrowheads="1"/>
        </xdr:cNvSpPr>
      </xdr:nvSpPr>
      <xdr:spPr bwMode="auto">
        <a:xfrm>
          <a:off x="0" y="55054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57150</xdr:colOff>
      <xdr:row>34</xdr:row>
      <xdr:rowOff>9525</xdr:rowOff>
    </xdr:to>
    <xdr:sp macro="" textlink="">
      <xdr:nvSpPr>
        <xdr:cNvPr id="31" name="AutoShape 44" descr="Formula">
          <a:extLst>
            <a:ext uri="{FF2B5EF4-FFF2-40B4-BE49-F238E27FC236}">
              <a16:creationId xmlns:a16="http://schemas.microsoft.com/office/drawing/2014/main" id="{37EB4F1A-DEA5-4662-960F-73B47712672C}"/>
            </a:ext>
          </a:extLst>
        </xdr:cNvPr>
        <xdr:cNvSpPr>
          <a:spLocks noChangeAspect="1" noChangeArrowheads="1"/>
        </xdr:cNvSpPr>
      </xdr:nvSpPr>
      <xdr:spPr bwMode="auto">
        <a:xfrm>
          <a:off x="0" y="5505450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304800</xdr:colOff>
      <xdr:row>35</xdr:row>
      <xdr:rowOff>142875</xdr:rowOff>
    </xdr:to>
    <xdr:sp macro="" textlink="">
      <xdr:nvSpPr>
        <xdr:cNvPr id="32" name="AutoShape 46" descr="Formula">
          <a:extLst>
            <a:ext uri="{FF2B5EF4-FFF2-40B4-BE49-F238E27FC236}">
              <a16:creationId xmlns:a16="http://schemas.microsoft.com/office/drawing/2014/main" id="{182F630E-E572-4028-8753-3A182804D050}"/>
            </a:ext>
          </a:extLst>
        </xdr:cNvPr>
        <xdr:cNvSpPr>
          <a:spLocks noChangeAspect="1" noChangeArrowheads="1"/>
        </xdr:cNvSpPr>
      </xdr:nvSpPr>
      <xdr:spPr bwMode="auto">
        <a:xfrm>
          <a:off x="0" y="55054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57150</xdr:colOff>
      <xdr:row>34</xdr:row>
      <xdr:rowOff>9525</xdr:rowOff>
    </xdr:to>
    <xdr:sp macro="" textlink="">
      <xdr:nvSpPr>
        <xdr:cNvPr id="33" name="AutoShape 47" descr="Formula">
          <a:extLst>
            <a:ext uri="{FF2B5EF4-FFF2-40B4-BE49-F238E27FC236}">
              <a16:creationId xmlns:a16="http://schemas.microsoft.com/office/drawing/2014/main" id="{BAAB8812-71B2-45DF-A325-F6D00D6BDFA3}"/>
            </a:ext>
          </a:extLst>
        </xdr:cNvPr>
        <xdr:cNvSpPr>
          <a:spLocks noChangeAspect="1" noChangeArrowheads="1"/>
        </xdr:cNvSpPr>
      </xdr:nvSpPr>
      <xdr:spPr bwMode="auto">
        <a:xfrm>
          <a:off x="0" y="5505450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304800</xdr:colOff>
      <xdr:row>35</xdr:row>
      <xdr:rowOff>142875</xdr:rowOff>
    </xdr:to>
    <xdr:sp macro="" textlink="">
      <xdr:nvSpPr>
        <xdr:cNvPr id="34" name="AutoShape 49" descr="Formula">
          <a:extLst>
            <a:ext uri="{FF2B5EF4-FFF2-40B4-BE49-F238E27FC236}">
              <a16:creationId xmlns:a16="http://schemas.microsoft.com/office/drawing/2014/main" id="{30435B4B-5164-4CC2-A6B2-F36173D49CF9}"/>
            </a:ext>
          </a:extLst>
        </xdr:cNvPr>
        <xdr:cNvSpPr>
          <a:spLocks noChangeAspect="1" noChangeArrowheads="1"/>
        </xdr:cNvSpPr>
      </xdr:nvSpPr>
      <xdr:spPr bwMode="auto">
        <a:xfrm>
          <a:off x="0" y="55054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57150</xdr:colOff>
      <xdr:row>34</xdr:row>
      <xdr:rowOff>9525</xdr:rowOff>
    </xdr:to>
    <xdr:sp macro="" textlink="">
      <xdr:nvSpPr>
        <xdr:cNvPr id="35" name="AutoShape 50" descr="Formula">
          <a:extLst>
            <a:ext uri="{FF2B5EF4-FFF2-40B4-BE49-F238E27FC236}">
              <a16:creationId xmlns:a16="http://schemas.microsoft.com/office/drawing/2014/main" id="{6D319733-F46A-455C-B489-CB38C2C44160}"/>
            </a:ext>
          </a:extLst>
        </xdr:cNvPr>
        <xdr:cNvSpPr>
          <a:spLocks noChangeAspect="1" noChangeArrowheads="1"/>
        </xdr:cNvSpPr>
      </xdr:nvSpPr>
      <xdr:spPr bwMode="auto">
        <a:xfrm>
          <a:off x="0" y="5505450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304800</xdr:colOff>
      <xdr:row>35</xdr:row>
      <xdr:rowOff>142875</xdr:rowOff>
    </xdr:to>
    <xdr:sp macro="" textlink="">
      <xdr:nvSpPr>
        <xdr:cNvPr id="36" name="AutoShape 52" descr="Formula">
          <a:extLst>
            <a:ext uri="{FF2B5EF4-FFF2-40B4-BE49-F238E27FC236}">
              <a16:creationId xmlns:a16="http://schemas.microsoft.com/office/drawing/2014/main" id="{131A7190-7667-4AC3-B9B1-C00C3E566598}"/>
            </a:ext>
          </a:extLst>
        </xdr:cNvPr>
        <xdr:cNvSpPr>
          <a:spLocks noChangeAspect="1" noChangeArrowheads="1"/>
        </xdr:cNvSpPr>
      </xdr:nvSpPr>
      <xdr:spPr bwMode="auto">
        <a:xfrm>
          <a:off x="0" y="55054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57150</xdr:colOff>
      <xdr:row>34</xdr:row>
      <xdr:rowOff>9525</xdr:rowOff>
    </xdr:to>
    <xdr:sp macro="" textlink="">
      <xdr:nvSpPr>
        <xdr:cNvPr id="37" name="AutoShape 53" descr="Formula">
          <a:extLst>
            <a:ext uri="{FF2B5EF4-FFF2-40B4-BE49-F238E27FC236}">
              <a16:creationId xmlns:a16="http://schemas.microsoft.com/office/drawing/2014/main" id="{5023C58F-72E5-40B8-90AC-C7E6C35582C8}"/>
            </a:ext>
          </a:extLst>
        </xdr:cNvPr>
        <xdr:cNvSpPr>
          <a:spLocks noChangeAspect="1" noChangeArrowheads="1"/>
        </xdr:cNvSpPr>
      </xdr:nvSpPr>
      <xdr:spPr bwMode="auto">
        <a:xfrm>
          <a:off x="0" y="5505450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57150</xdr:colOff>
      <xdr:row>34</xdr:row>
      <xdr:rowOff>9525</xdr:rowOff>
    </xdr:to>
    <xdr:sp macro="" textlink="">
      <xdr:nvSpPr>
        <xdr:cNvPr id="38" name="AutoShape 55" descr="Formula">
          <a:extLst>
            <a:ext uri="{FF2B5EF4-FFF2-40B4-BE49-F238E27FC236}">
              <a16:creationId xmlns:a16="http://schemas.microsoft.com/office/drawing/2014/main" id="{2BFF066C-2B6C-48B9-99CF-3B829B6D5795}"/>
            </a:ext>
          </a:extLst>
        </xdr:cNvPr>
        <xdr:cNvSpPr>
          <a:spLocks noChangeAspect="1" noChangeArrowheads="1"/>
        </xdr:cNvSpPr>
      </xdr:nvSpPr>
      <xdr:spPr bwMode="auto">
        <a:xfrm>
          <a:off x="0" y="5505450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57150</xdr:colOff>
      <xdr:row>34</xdr:row>
      <xdr:rowOff>9525</xdr:rowOff>
    </xdr:to>
    <xdr:sp macro="" textlink="">
      <xdr:nvSpPr>
        <xdr:cNvPr id="39" name="AutoShape 56" descr="Formula">
          <a:extLst>
            <a:ext uri="{FF2B5EF4-FFF2-40B4-BE49-F238E27FC236}">
              <a16:creationId xmlns:a16="http://schemas.microsoft.com/office/drawing/2014/main" id="{6E399D5B-03D7-4295-8961-0FB60A47B4EE}"/>
            </a:ext>
          </a:extLst>
        </xdr:cNvPr>
        <xdr:cNvSpPr>
          <a:spLocks noChangeAspect="1" noChangeArrowheads="1"/>
        </xdr:cNvSpPr>
      </xdr:nvSpPr>
      <xdr:spPr bwMode="auto">
        <a:xfrm>
          <a:off x="0" y="5505450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57150</xdr:colOff>
      <xdr:row>34</xdr:row>
      <xdr:rowOff>9525</xdr:rowOff>
    </xdr:to>
    <xdr:sp macro="" textlink="">
      <xdr:nvSpPr>
        <xdr:cNvPr id="40" name="AutoShape 57" descr="Formula">
          <a:extLst>
            <a:ext uri="{FF2B5EF4-FFF2-40B4-BE49-F238E27FC236}">
              <a16:creationId xmlns:a16="http://schemas.microsoft.com/office/drawing/2014/main" id="{C3DEE9A7-07A6-46BF-9E2B-C79618B61AFF}"/>
            </a:ext>
          </a:extLst>
        </xdr:cNvPr>
        <xdr:cNvSpPr>
          <a:spLocks noChangeAspect="1" noChangeArrowheads="1"/>
        </xdr:cNvSpPr>
      </xdr:nvSpPr>
      <xdr:spPr bwMode="auto">
        <a:xfrm>
          <a:off x="0" y="5505450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57150</xdr:colOff>
      <xdr:row>34</xdr:row>
      <xdr:rowOff>9525</xdr:rowOff>
    </xdr:to>
    <xdr:sp macro="" textlink="">
      <xdr:nvSpPr>
        <xdr:cNvPr id="41" name="AutoShape 58" descr="Formula">
          <a:extLst>
            <a:ext uri="{FF2B5EF4-FFF2-40B4-BE49-F238E27FC236}">
              <a16:creationId xmlns:a16="http://schemas.microsoft.com/office/drawing/2014/main" id="{5E931D60-F9C6-4932-9889-F3011BD35CA9}"/>
            </a:ext>
          </a:extLst>
        </xdr:cNvPr>
        <xdr:cNvSpPr>
          <a:spLocks noChangeAspect="1" noChangeArrowheads="1"/>
        </xdr:cNvSpPr>
      </xdr:nvSpPr>
      <xdr:spPr bwMode="auto">
        <a:xfrm>
          <a:off x="0" y="5505450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57150</xdr:colOff>
      <xdr:row>34</xdr:row>
      <xdr:rowOff>9525</xdr:rowOff>
    </xdr:to>
    <xdr:sp macro="" textlink="">
      <xdr:nvSpPr>
        <xdr:cNvPr id="42" name="AutoShape 59" descr="Formula">
          <a:extLst>
            <a:ext uri="{FF2B5EF4-FFF2-40B4-BE49-F238E27FC236}">
              <a16:creationId xmlns:a16="http://schemas.microsoft.com/office/drawing/2014/main" id="{BC0A2507-7D98-4F8E-B670-C107812F05DC}"/>
            </a:ext>
          </a:extLst>
        </xdr:cNvPr>
        <xdr:cNvSpPr>
          <a:spLocks noChangeAspect="1" noChangeArrowheads="1"/>
        </xdr:cNvSpPr>
      </xdr:nvSpPr>
      <xdr:spPr bwMode="auto">
        <a:xfrm>
          <a:off x="0" y="5505450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57150</xdr:colOff>
      <xdr:row>34</xdr:row>
      <xdr:rowOff>9525</xdr:rowOff>
    </xdr:to>
    <xdr:sp macro="" textlink="">
      <xdr:nvSpPr>
        <xdr:cNvPr id="43" name="AutoShape 60" descr="Formula">
          <a:extLst>
            <a:ext uri="{FF2B5EF4-FFF2-40B4-BE49-F238E27FC236}">
              <a16:creationId xmlns:a16="http://schemas.microsoft.com/office/drawing/2014/main" id="{4C85C34C-5A09-409F-9527-87975AA8BFF2}"/>
            </a:ext>
          </a:extLst>
        </xdr:cNvPr>
        <xdr:cNvSpPr>
          <a:spLocks noChangeAspect="1" noChangeArrowheads="1"/>
        </xdr:cNvSpPr>
      </xdr:nvSpPr>
      <xdr:spPr bwMode="auto">
        <a:xfrm>
          <a:off x="0" y="5505450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57150</xdr:colOff>
      <xdr:row>34</xdr:row>
      <xdr:rowOff>9525</xdr:rowOff>
    </xdr:to>
    <xdr:sp macro="" textlink="">
      <xdr:nvSpPr>
        <xdr:cNvPr id="44" name="AutoShape 61" descr="Formula">
          <a:extLst>
            <a:ext uri="{FF2B5EF4-FFF2-40B4-BE49-F238E27FC236}">
              <a16:creationId xmlns:a16="http://schemas.microsoft.com/office/drawing/2014/main" id="{F80CE55C-B33F-4EA2-860F-233A655EEE1F}"/>
            </a:ext>
          </a:extLst>
        </xdr:cNvPr>
        <xdr:cNvSpPr>
          <a:spLocks noChangeAspect="1" noChangeArrowheads="1"/>
        </xdr:cNvSpPr>
      </xdr:nvSpPr>
      <xdr:spPr bwMode="auto">
        <a:xfrm>
          <a:off x="0" y="5505450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57150</xdr:colOff>
      <xdr:row>34</xdr:row>
      <xdr:rowOff>9525</xdr:rowOff>
    </xdr:to>
    <xdr:sp macro="" textlink="">
      <xdr:nvSpPr>
        <xdr:cNvPr id="45" name="AutoShape 62" descr="Formula">
          <a:extLst>
            <a:ext uri="{FF2B5EF4-FFF2-40B4-BE49-F238E27FC236}">
              <a16:creationId xmlns:a16="http://schemas.microsoft.com/office/drawing/2014/main" id="{3BE58AD8-E404-4A87-BD63-0891426B97E1}"/>
            </a:ext>
          </a:extLst>
        </xdr:cNvPr>
        <xdr:cNvSpPr>
          <a:spLocks noChangeAspect="1" noChangeArrowheads="1"/>
        </xdr:cNvSpPr>
      </xdr:nvSpPr>
      <xdr:spPr bwMode="auto">
        <a:xfrm>
          <a:off x="0" y="5505450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57150</xdr:colOff>
      <xdr:row>34</xdr:row>
      <xdr:rowOff>9525</xdr:rowOff>
    </xdr:to>
    <xdr:sp macro="" textlink="">
      <xdr:nvSpPr>
        <xdr:cNvPr id="46" name="AutoShape 63" descr="Formula">
          <a:extLst>
            <a:ext uri="{FF2B5EF4-FFF2-40B4-BE49-F238E27FC236}">
              <a16:creationId xmlns:a16="http://schemas.microsoft.com/office/drawing/2014/main" id="{CC329CC7-90A7-4886-873D-957FB3FAA088}"/>
            </a:ext>
          </a:extLst>
        </xdr:cNvPr>
        <xdr:cNvSpPr>
          <a:spLocks noChangeAspect="1" noChangeArrowheads="1"/>
        </xdr:cNvSpPr>
      </xdr:nvSpPr>
      <xdr:spPr bwMode="auto">
        <a:xfrm>
          <a:off x="0" y="5505450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57150</xdr:colOff>
      <xdr:row>34</xdr:row>
      <xdr:rowOff>9525</xdr:rowOff>
    </xdr:to>
    <xdr:sp macro="" textlink="">
      <xdr:nvSpPr>
        <xdr:cNvPr id="47" name="AutoShape 64" descr="Formula">
          <a:extLst>
            <a:ext uri="{FF2B5EF4-FFF2-40B4-BE49-F238E27FC236}">
              <a16:creationId xmlns:a16="http://schemas.microsoft.com/office/drawing/2014/main" id="{15F48FAF-98C7-4CD9-BE4C-C97B57F1D95C}"/>
            </a:ext>
          </a:extLst>
        </xdr:cNvPr>
        <xdr:cNvSpPr>
          <a:spLocks noChangeAspect="1" noChangeArrowheads="1"/>
        </xdr:cNvSpPr>
      </xdr:nvSpPr>
      <xdr:spPr bwMode="auto">
        <a:xfrm>
          <a:off x="0" y="5505450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57150</xdr:colOff>
      <xdr:row>34</xdr:row>
      <xdr:rowOff>9525</xdr:rowOff>
    </xdr:to>
    <xdr:sp macro="" textlink="">
      <xdr:nvSpPr>
        <xdr:cNvPr id="48" name="AutoShape 65" descr="Formula">
          <a:extLst>
            <a:ext uri="{FF2B5EF4-FFF2-40B4-BE49-F238E27FC236}">
              <a16:creationId xmlns:a16="http://schemas.microsoft.com/office/drawing/2014/main" id="{8D722693-670E-4606-8F0B-355DD8E13D0B}"/>
            </a:ext>
          </a:extLst>
        </xdr:cNvPr>
        <xdr:cNvSpPr>
          <a:spLocks noChangeAspect="1" noChangeArrowheads="1"/>
        </xdr:cNvSpPr>
      </xdr:nvSpPr>
      <xdr:spPr bwMode="auto">
        <a:xfrm>
          <a:off x="0" y="5505450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57150</xdr:colOff>
      <xdr:row>34</xdr:row>
      <xdr:rowOff>9525</xdr:rowOff>
    </xdr:to>
    <xdr:sp macro="" textlink="">
      <xdr:nvSpPr>
        <xdr:cNvPr id="49" name="AutoShape 66" descr="Formula">
          <a:extLst>
            <a:ext uri="{FF2B5EF4-FFF2-40B4-BE49-F238E27FC236}">
              <a16:creationId xmlns:a16="http://schemas.microsoft.com/office/drawing/2014/main" id="{71B8D71B-F639-480D-86BD-18A5911DE882}"/>
            </a:ext>
          </a:extLst>
        </xdr:cNvPr>
        <xdr:cNvSpPr>
          <a:spLocks noChangeAspect="1" noChangeArrowheads="1"/>
        </xdr:cNvSpPr>
      </xdr:nvSpPr>
      <xdr:spPr bwMode="auto">
        <a:xfrm>
          <a:off x="0" y="5505450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57150</xdr:colOff>
      <xdr:row>34</xdr:row>
      <xdr:rowOff>9525</xdr:rowOff>
    </xdr:to>
    <xdr:sp macro="" textlink="">
      <xdr:nvSpPr>
        <xdr:cNvPr id="50" name="AutoShape 67" descr="Formula">
          <a:extLst>
            <a:ext uri="{FF2B5EF4-FFF2-40B4-BE49-F238E27FC236}">
              <a16:creationId xmlns:a16="http://schemas.microsoft.com/office/drawing/2014/main" id="{061D182C-B6D4-4AF3-846C-17506FCA9F6E}"/>
            </a:ext>
          </a:extLst>
        </xdr:cNvPr>
        <xdr:cNvSpPr>
          <a:spLocks noChangeAspect="1" noChangeArrowheads="1"/>
        </xdr:cNvSpPr>
      </xdr:nvSpPr>
      <xdr:spPr bwMode="auto">
        <a:xfrm>
          <a:off x="0" y="5505450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57150</xdr:colOff>
      <xdr:row>34</xdr:row>
      <xdr:rowOff>9525</xdr:rowOff>
    </xdr:to>
    <xdr:sp macro="" textlink="">
      <xdr:nvSpPr>
        <xdr:cNvPr id="51" name="AutoShape 68" descr="Formula">
          <a:extLst>
            <a:ext uri="{FF2B5EF4-FFF2-40B4-BE49-F238E27FC236}">
              <a16:creationId xmlns:a16="http://schemas.microsoft.com/office/drawing/2014/main" id="{11AF3045-4F83-4DBD-8EE9-EA83C46B7558}"/>
            </a:ext>
          </a:extLst>
        </xdr:cNvPr>
        <xdr:cNvSpPr>
          <a:spLocks noChangeAspect="1" noChangeArrowheads="1"/>
        </xdr:cNvSpPr>
      </xdr:nvSpPr>
      <xdr:spPr bwMode="auto">
        <a:xfrm>
          <a:off x="0" y="5505450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57150</xdr:colOff>
      <xdr:row>34</xdr:row>
      <xdr:rowOff>9525</xdr:rowOff>
    </xdr:to>
    <xdr:sp macro="" textlink="">
      <xdr:nvSpPr>
        <xdr:cNvPr id="52" name="AutoShape 69" descr="Formula">
          <a:extLst>
            <a:ext uri="{FF2B5EF4-FFF2-40B4-BE49-F238E27FC236}">
              <a16:creationId xmlns:a16="http://schemas.microsoft.com/office/drawing/2014/main" id="{5C32B207-1287-4E38-9177-3B3D49028580}"/>
            </a:ext>
          </a:extLst>
        </xdr:cNvPr>
        <xdr:cNvSpPr>
          <a:spLocks noChangeAspect="1" noChangeArrowheads="1"/>
        </xdr:cNvSpPr>
      </xdr:nvSpPr>
      <xdr:spPr bwMode="auto">
        <a:xfrm>
          <a:off x="0" y="5505450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57150</xdr:colOff>
      <xdr:row>34</xdr:row>
      <xdr:rowOff>9525</xdr:rowOff>
    </xdr:to>
    <xdr:sp macro="" textlink="">
      <xdr:nvSpPr>
        <xdr:cNvPr id="53" name="AutoShape 70" descr="Formula">
          <a:extLst>
            <a:ext uri="{FF2B5EF4-FFF2-40B4-BE49-F238E27FC236}">
              <a16:creationId xmlns:a16="http://schemas.microsoft.com/office/drawing/2014/main" id="{2F49B73D-50E3-425C-A7AA-DDE42CD54415}"/>
            </a:ext>
          </a:extLst>
        </xdr:cNvPr>
        <xdr:cNvSpPr>
          <a:spLocks noChangeAspect="1" noChangeArrowheads="1"/>
        </xdr:cNvSpPr>
      </xdr:nvSpPr>
      <xdr:spPr bwMode="auto">
        <a:xfrm>
          <a:off x="0" y="5505450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57150</xdr:colOff>
      <xdr:row>34</xdr:row>
      <xdr:rowOff>9525</xdr:rowOff>
    </xdr:to>
    <xdr:sp macro="" textlink="">
      <xdr:nvSpPr>
        <xdr:cNvPr id="54" name="AutoShape 71" descr="Formula">
          <a:extLst>
            <a:ext uri="{FF2B5EF4-FFF2-40B4-BE49-F238E27FC236}">
              <a16:creationId xmlns:a16="http://schemas.microsoft.com/office/drawing/2014/main" id="{ACB49C43-F648-4E26-B641-CB8C82BF8BEC}"/>
            </a:ext>
          </a:extLst>
        </xdr:cNvPr>
        <xdr:cNvSpPr>
          <a:spLocks noChangeAspect="1" noChangeArrowheads="1"/>
        </xdr:cNvSpPr>
      </xdr:nvSpPr>
      <xdr:spPr bwMode="auto">
        <a:xfrm>
          <a:off x="0" y="5505450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57150</xdr:colOff>
      <xdr:row>34</xdr:row>
      <xdr:rowOff>9525</xdr:rowOff>
    </xdr:to>
    <xdr:sp macro="" textlink="">
      <xdr:nvSpPr>
        <xdr:cNvPr id="55" name="AutoShape 72" descr="Formula">
          <a:extLst>
            <a:ext uri="{FF2B5EF4-FFF2-40B4-BE49-F238E27FC236}">
              <a16:creationId xmlns:a16="http://schemas.microsoft.com/office/drawing/2014/main" id="{5292BC7C-31E9-4F15-8475-282EA334153C}"/>
            </a:ext>
          </a:extLst>
        </xdr:cNvPr>
        <xdr:cNvSpPr>
          <a:spLocks noChangeAspect="1" noChangeArrowheads="1"/>
        </xdr:cNvSpPr>
      </xdr:nvSpPr>
      <xdr:spPr bwMode="auto">
        <a:xfrm>
          <a:off x="0" y="5505450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57150</xdr:colOff>
      <xdr:row>34</xdr:row>
      <xdr:rowOff>9525</xdr:rowOff>
    </xdr:to>
    <xdr:sp macro="" textlink="">
      <xdr:nvSpPr>
        <xdr:cNvPr id="56" name="AutoShape 91" descr="Formula">
          <a:extLst>
            <a:ext uri="{FF2B5EF4-FFF2-40B4-BE49-F238E27FC236}">
              <a16:creationId xmlns:a16="http://schemas.microsoft.com/office/drawing/2014/main" id="{E9A3FE97-71CA-4F41-96C0-54AE674E58F7}"/>
            </a:ext>
          </a:extLst>
        </xdr:cNvPr>
        <xdr:cNvSpPr>
          <a:spLocks noChangeAspect="1" noChangeArrowheads="1"/>
        </xdr:cNvSpPr>
      </xdr:nvSpPr>
      <xdr:spPr bwMode="auto">
        <a:xfrm>
          <a:off x="0" y="5505450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57150</xdr:colOff>
      <xdr:row>34</xdr:row>
      <xdr:rowOff>9525</xdr:rowOff>
    </xdr:to>
    <xdr:sp macro="" textlink="">
      <xdr:nvSpPr>
        <xdr:cNvPr id="57" name="AutoShape 92" descr="Formula">
          <a:extLst>
            <a:ext uri="{FF2B5EF4-FFF2-40B4-BE49-F238E27FC236}">
              <a16:creationId xmlns:a16="http://schemas.microsoft.com/office/drawing/2014/main" id="{5534E0EC-D015-4658-B2F9-CA0B40E485B6}"/>
            </a:ext>
          </a:extLst>
        </xdr:cNvPr>
        <xdr:cNvSpPr>
          <a:spLocks noChangeAspect="1" noChangeArrowheads="1"/>
        </xdr:cNvSpPr>
      </xdr:nvSpPr>
      <xdr:spPr bwMode="auto">
        <a:xfrm>
          <a:off x="0" y="5505450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57150</xdr:colOff>
      <xdr:row>34</xdr:row>
      <xdr:rowOff>9525</xdr:rowOff>
    </xdr:to>
    <xdr:sp macro="" textlink="">
      <xdr:nvSpPr>
        <xdr:cNvPr id="58" name="AutoShape 93" descr="Formula">
          <a:extLst>
            <a:ext uri="{FF2B5EF4-FFF2-40B4-BE49-F238E27FC236}">
              <a16:creationId xmlns:a16="http://schemas.microsoft.com/office/drawing/2014/main" id="{6D70EEC4-AD79-4D65-9C35-17A79193A1B2}"/>
            </a:ext>
          </a:extLst>
        </xdr:cNvPr>
        <xdr:cNvSpPr>
          <a:spLocks noChangeAspect="1" noChangeArrowheads="1"/>
        </xdr:cNvSpPr>
      </xdr:nvSpPr>
      <xdr:spPr bwMode="auto">
        <a:xfrm>
          <a:off x="0" y="5505450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57150</xdr:colOff>
      <xdr:row>34</xdr:row>
      <xdr:rowOff>9525</xdr:rowOff>
    </xdr:to>
    <xdr:sp macro="" textlink="">
      <xdr:nvSpPr>
        <xdr:cNvPr id="59" name="AutoShape 94" descr="Formula">
          <a:extLst>
            <a:ext uri="{FF2B5EF4-FFF2-40B4-BE49-F238E27FC236}">
              <a16:creationId xmlns:a16="http://schemas.microsoft.com/office/drawing/2014/main" id="{BF22EEAB-A67E-4327-8A66-153A0A34EB2B}"/>
            </a:ext>
          </a:extLst>
        </xdr:cNvPr>
        <xdr:cNvSpPr>
          <a:spLocks noChangeAspect="1" noChangeArrowheads="1"/>
        </xdr:cNvSpPr>
      </xdr:nvSpPr>
      <xdr:spPr bwMode="auto">
        <a:xfrm>
          <a:off x="0" y="5505450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57150</xdr:colOff>
      <xdr:row>34</xdr:row>
      <xdr:rowOff>9525</xdr:rowOff>
    </xdr:to>
    <xdr:sp macro="" textlink="">
      <xdr:nvSpPr>
        <xdr:cNvPr id="60" name="AutoShape 95" descr="Formula">
          <a:extLst>
            <a:ext uri="{FF2B5EF4-FFF2-40B4-BE49-F238E27FC236}">
              <a16:creationId xmlns:a16="http://schemas.microsoft.com/office/drawing/2014/main" id="{C99D6A75-7B43-4D0A-A00D-083475978775}"/>
            </a:ext>
          </a:extLst>
        </xdr:cNvPr>
        <xdr:cNvSpPr>
          <a:spLocks noChangeAspect="1" noChangeArrowheads="1"/>
        </xdr:cNvSpPr>
      </xdr:nvSpPr>
      <xdr:spPr bwMode="auto">
        <a:xfrm>
          <a:off x="0" y="5505450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57150</xdr:colOff>
      <xdr:row>34</xdr:row>
      <xdr:rowOff>9525</xdr:rowOff>
    </xdr:to>
    <xdr:sp macro="" textlink="">
      <xdr:nvSpPr>
        <xdr:cNvPr id="61" name="AutoShape 96" descr="Formula">
          <a:extLst>
            <a:ext uri="{FF2B5EF4-FFF2-40B4-BE49-F238E27FC236}">
              <a16:creationId xmlns:a16="http://schemas.microsoft.com/office/drawing/2014/main" id="{DAEAF271-F636-41AA-B991-DBFD9788DB28}"/>
            </a:ext>
          </a:extLst>
        </xdr:cNvPr>
        <xdr:cNvSpPr>
          <a:spLocks noChangeAspect="1" noChangeArrowheads="1"/>
        </xdr:cNvSpPr>
      </xdr:nvSpPr>
      <xdr:spPr bwMode="auto">
        <a:xfrm>
          <a:off x="0" y="5505450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57150</xdr:colOff>
      <xdr:row>34</xdr:row>
      <xdr:rowOff>9525</xdr:rowOff>
    </xdr:to>
    <xdr:sp macro="" textlink="">
      <xdr:nvSpPr>
        <xdr:cNvPr id="62" name="AutoShape 97" descr="Formula">
          <a:extLst>
            <a:ext uri="{FF2B5EF4-FFF2-40B4-BE49-F238E27FC236}">
              <a16:creationId xmlns:a16="http://schemas.microsoft.com/office/drawing/2014/main" id="{1E48F755-F85B-4794-8817-40A618A56CD8}"/>
            </a:ext>
          </a:extLst>
        </xdr:cNvPr>
        <xdr:cNvSpPr>
          <a:spLocks noChangeAspect="1" noChangeArrowheads="1"/>
        </xdr:cNvSpPr>
      </xdr:nvSpPr>
      <xdr:spPr bwMode="auto">
        <a:xfrm>
          <a:off x="0" y="5505450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57150</xdr:colOff>
      <xdr:row>34</xdr:row>
      <xdr:rowOff>9525</xdr:rowOff>
    </xdr:to>
    <xdr:sp macro="" textlink="">
      <xdr:nvSpPr>
        <xdr:cNvPr id="63" name="AutoShape 98" descr="Formula">
          <a:extLst>
            <a:ext uri="{FF2B5EF4-FFF2-40B4-BE49-F238E27FC236}">
              <a16:creationId xmlns:a16="http://schemas.microsoft.com/office/drawing/2014/main" id="{43C53A6B-09F4-4F5E-A414-42AFF8153790}"/>
            </a:ext>
          </a:extLst>
        </xdr:cNvPr>
        <xdr:cNvSpPr>
          <a:spLocks noChangeAspect="1" noChangeArrowheads="1"/>
        </xdr:cNvSpPr>
      </xdr:nvSpPr>
      <xdr:spPr bwMode="auto">
        <a:xfrm>
          <a:off x="0" y="5505450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57150</xdr:colOff>
      <xdr:row>34</xdr:row>
      <xdr:rowOff>9525</xdr:rowOff>
    </xdr:to>
    <xdr:sp macro="" textlink="">
      <xdr:nvSpPr>
        <xdr:cNvPr id="64" name="AutoShape 99" descr="Formula">
          <a:extLst>
            <a:ext uri="{FF2B5EF4-FFF2-40B4-BE49-F238E27FC236}">
              <a16:creationId xmlns:a16="http://schemas.microsoft.com/office/drawing/2014/main" id="{C22FFEFB-32F2-45FA-BCF0-7DBC87A6B01D}"/>
            </a:ext>
          </a:extLst>
        </xdr:cNvPr>
        <xdr:cNvSpPr>
          <a:spLocks noChangeAspect="1" noChangeArrowheads="1"/>
        </xdr:cNvSpPr>
      </xdr:nvSpPr>
      <xdr:spPr bwMode="auto">
        <a:xfrm>
          <a:off x="0" y="5505450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57150</xdr:colOff>
      <xdr:row>34</xdr:row>
      <xdr:rowOff>9525</xdr:rowOff>
    </xdr:to>
    <xdr:sp macro="" textlink="">
      <xdr:nvSpPr>
        <xdr:cNvPr id="65" name="AutoShape 100" descr="Formula">
          <a:extLst>
            <a:ext uri="{FF2B5EF4-FFF2-40B4-BE49-F238E27FC236}">
              <a16:creationId xmlns:a16="http://schemas.microsoft.com/office/drawing/2014/main" id="{E8B41AAD-56CC-4038-81DF-60A9477D8D59}"/>
            </a:ext>
          </a:extLst>
        </xdr:cNvPr>
        <xdr:cNvSpPr>
          <a:spLocks noChangeAspect="1" noChangeArrowheads="1"/>
        </xdr:cNvSpPr>
      </xdr:nvSpPr>
      <xdr:spPr bwMode="auto">
        <a:xfrm>
          <a:off x="0" y="5505450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57150</xdr:colOff>
      <xdr:row>34</xdr:row>
      <xdr:rowOff>9525</xdr:rowOff>
    </xdr:to>
    <xdr:sp macro="" textlink="">
      <xdr:nvSpPr>
        <xdr:cNvPr id="66" name="AutoShape 101" descr="Formula">
          <a:extLst>
            <a:ext uri="{FF2B5EF4-FFF2-40B4-BE49-F238E27FC236}">
              <a16:creationId xmlns:a16="http://schemas.microsoft.com/office/drawing/2014/main" id="{F3E8B4CD-27CA-4805-93EB-D10ECBCAF027}"/>
            </a:ext>
          </a:extLst>
        </xdr:cNvPr>
        <xdr:cNvSpPr>
          <a:spLocks noChangeAspect="1" noChangeArrowheads="1"/>
        </xdr:cNvSpPr>
      </xdr:nvSpPr>
      <xdr:spPr bwMode="auto">
        <a:xfrm>
          <a:off x="0" y="5505450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57150</xdr:colOff>
      <xdr:row>34</xdr:row>
      <xdr:rowOff>9525</xdr:rowOff>
    </xdr:to>
    <xdr:sp macro="" textlink="">
      <xdr:nvSpPr>
        <xdr:cNvPr id="67" name="AutoShape 102" descr="Formula">
          <a:extLst>
            <a:ext uri="{FF2B5EF4-FFF2-40B4-BE49-F238E27FC236}">
              <a16:creationId xmlns:a16="http://schemas.microsoft.com/office/drawing/2014/main" id="{63FE1EAB-EC89-4F3C-AD9D-9226FD2E0B1E}"/>
            </a:ext>
          </a:extLst>
        </xdr:cNvPr>
        <xdr:cNvSpPr>
          <a:spLocks noChangeAspect="1" noChangeArrowheads="1"/>
        </xdr:cNvSpPr>
      </xdr:nvSpPr>
      <xdr:spPr bwMode="auto">
        <a:xfrm>
          <a:off x="0" y="5505450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57150</xdr:colOff>
      <xdr:row>34</xdr:row>
      <xdr:rowOff>9525</xdr:rowOff>
    </xdr:to>
    <xdr:sp macro="" textlink="">
      <xdr:nvSpPr>
        <xdr:cNvPr id="68" name="AutoShape 103" descr="Formula">
          <a:extLst>
            <a:ext uri="{FF2B5EF4-FFF2-40B4-BE49-F238E27FC236}">
              <a16:creationId xmlns:a16="http://schemas.microsoft.com/office/drawing/2014/main" id="{0038D4B0-E4C8-4848-9D16-3014D76A65DD}"/>
            </a:ext>
          </a:extLst>
        </xdr:cNvPr>
        <xdr:cNvSpPr>
          <a:spLocks noChangeAspect="1" noChangeArrowheads="1"/>
        </xdr:cNvSpPr>
      </xdr:nvSpPr>
      <xdr:spPr bwMode="auto">
        <a:xfrm>
          <a:off x="0" y="5505450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57150</xdr:colOff>
      <xdr:row>34</xdr:row>
      <xdr:rowOff>9525</xdr:rowOff>
    </xdr:to>
    <xdr:sp macro="" textlink="">
      <xdr:nvSpPr>
        <xdr:cNvPr id="69" name="AutoShape 104" descr="Formula">
          <a:extLst>
            <a:ext uri="{FF2B5EF4-FFF2-40B4-BE49-F238E27FC236}">
              <a16:creationId xmlns:a16="http://schemas.microsoft.com/office/drawing/2014/main" id="{BB9F57B2-B2EA-45CC-968D-8DD10B680A71}"/>
            </a:ext>
          </a:extLst>
        </xdr:cNvPr>
        <xdr:cNvSpPr>
          <a:spLocks noChangeAspect="1" noChangeArrowheads="1"/>
        </xdr:cNvSpPr>
      </xdr:nvSpPr>
      <xdr:spPr bwMode="auto">
        <a:xfrm>
          <a:off x="0" y="5505450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57150</xdr:colOff>
      <xdr:row>34</xdr:row>
      <xdr:rowOff>9525</xdr:rowOff>
    </xdr:to>
    <xdr:sp macro="" textlink="">
      <xdr:nvSpPr>
        <xdr:cNvPr id="70" name="AutoShape 105" descr="Formula">
          <a:extLst>
            <a:ext uri="{FF2B5EF4-FFF2-40B4-BE49-F238E27FC236}">
              <a16:creationId xmlns:a16="http://schemas.microsoft.com/office/drawing/2014/main" id="{FD21012D-369E-4430-8781-D94175462B95}"/>
            </a:ext>
          </a:extLst>
        </xdr:cNvPr>
        <xdr:cNvSpPr>
          <a:spLocks noChangeAspect="1" noChangeArrowheads="1"/>
        </xdr:cNvSpPr>
      </xdr:nvSpPr>
      <xdr:spPr bwMode="auto">
        <a:xfrm>
          <a:off x="0" y="5505450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57150</xdr:colOff>
      <xdr:row>34</xdr:row>
      <xdr:rowOff>9525</xdr:rowOff>
    </xdr:to>
    <xdr:sp macro="" textlink="">
      <xdr:nvSpPr>
        <xdr:cNvPr id="71" name="AutoShape 106" descr="Formula">
          <a:extLst>
            <a:ext uri="{FF2B5EF4-FFF2-40B4-BE49-F238E27FC236}">
              <a16:creationId xmlns:a16="http://schemas.microsoft.com/office/drawing/2014/main" id="{735CCB34-F934-4767-B94F-B046802AE30F}"/>
            </a:ext>
          </a:extLst>
        </xdr:cNvPr>
        <xdr:cNvSpPr>
          <a:spLocks noChangeAspect="1" noChangeArrowheads="1"/>
        </xdr:cNvSpPr>
      </xdr:nvSpPr>
      <xdr:spPr bwMode="auto">
        <a:xfrm>
          <a:off x="0" y="5505450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57150</xdr:colOff>
      <xdr:row>34</xdr:row>
      <xdr:rowOff>9525</xdr:rowOff>
    </xdr:to>
    <xdr:sp macro="" textlink="">
      <xdr:nvSpPr>
        <xdr:cNvPr id="72" name="AutoShape 107" descr="Formula">
          <a:extLst>
            <a:ext uri="{FF2B5EF4-FFF2-40B4-BE49-F238E27FC236}">
              <a16:creationId xmlns:a16="http://schemas.microsoft.com/office/drawing/2014/main" id="{8FBF41B8-0415-4BF5-8107-5C1F24BD58CC}"/>
            </a:ext>
          </a:extLst>
        </xdr:cNvPr>
        <xdr:cNvSpPr>
          <a:spLocks noChangeAspect="1" noChangeArrowheads="1"/>
        </xdr:cNvSpPr>
      </xdr:nvSpPr>
      <xdr:spPr bwMode="auto">
        <a:xfrm>
          <a:off x="0" y="5505450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57150</xdr:colOff>
      <xdr:row>34</xdr:row>
      <xdr:rowOff>9525</xdr:rowOff>
    </xdr:to>
    <xdr:sp macro="" textlink="">
      <xdr:nvSpPr>
        <xdr:cNvPr id="73" name="AutoShape 108" descr="Formula">
          <a:extLst>
            <a:ext uri="{FF2B5EF4-FFF2-40B4-BE49-F238E27FC236}">
              <a16:creationId xmlns:a16="http://schemas.microsoft.com/office/drawing/2014/main" id="{CCA6B6AA-E3D3-492B-A936-50017FCE1771}"/>
            </a:ext>
          </a:extLst>
        </xdr:cNvPr>
        <xdr:cNvSpPr>
          <a:spLocks noChangeAspect="1" noChangeArrowheads="1"/>
        </xdr:cNvSpPr>
      </xdr:nvSpPr>
      <xdr:spPr bwMode="auto">
        <a:xfrm>
          <a:off x="0" y="5505450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57150</xdr:colOff>
      <xdr:row>34</xdr:row>
      <xdr:rowOff>9525</xdr:rowOff>
    </xdr:to>
    <xdr:sp macro="" textlink="">
      <xdr:nvSpPr>
        <xdr:cNvPr id="74" name="AutoShape 111" descr="Formula">
          <a:extLst>
            <a:ext uri="{FF2B5EF4-FFF2-40B4-BE49-F238E27FC236}">
              <a16:creationId xmlns:a16="http://schemas.microsoft.com/office/drawing/2014/main" id="{EABF67BD-5FA3-445E-90B4-9C1E4B48C185}"/>
            </a:ext>
          </a:extLst>
        </xdr:cNvPr>
        <xdr:cNvSpPr>
          <a:spLocks noChangeAspect="1" noChangeArrowheads="1"/>
        </xdr:cNvSpPr>
      </xdr:nvSpPr>
      <xdr:spPr bwMode="auto">
        <a:xfrm>
          <a:off x="0" y="5505450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57150</xdr:colOff>
      <xdr:row>34</xdr:row>
      <xdr:rowOff>9525</xdr:rowOff>
    </xdr:to>
    <xdr:sp macro="" textlink="">
      <xdr:nvSpPr>
        <xdr:cNvPr id="75" name="AutoShape 112" descr="Formula">
          <a:extLst>
            <a:ext uri="{FF2B5EF4-FFF2-40B4-BE49-F238E27FC236}">
              <a16:creationId xmlns:a16="http://schemas.microsoft.com/office/drawing/2014/main" id="{E8A745D0-1679-423C-8EC4-96517064B398}"/>
            </a:ext>
          </a:extLst>
        </xdr:cNvPr>
        <xdr:cNvSpPr>
          <a:spLocks noChangeAspect="1" noChangeArrowheads="1"/>
        </xdr:cNvSpPr>
      </xdr:nvSpPr>
      <xdr:spPr bwMode="auto">
        <a:xfrm>
          <a:off x="0" y="5505450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57150</xdr:colOff>
      <xdr:row>34</xdr:row>
      <xdr:rowOff>9525</xdr:rowOff>
    </xdr:to>
    <xdr:sp macro="" textlink="">
      <xdr:nvSpPr>
        <xdr:cNvPr id="76" name="AutoShape 115" descr="Formula">
          <a:extLst>
            <a:ext uri="{FF2B5EF4-FFF2-40B4-BE49-F238E27FC236}">
              <a16:creationId xmlns:a16="http://schemas.microsoft.com/office/drawing/2014/main" id="{B5982C6D-D261-459E-BFC0-502EF777CB93}"/>
            </a:ext>
          </a:extLst>
        </xdr:cNvPr>
        <xdr:cNvSpPr>
          <a:spLocks noChangeAspect="1" noChangeArrowheads="1"/>
        </xdr:cNvSpPr>
      </xdr:nvSpPr>
      <xdr:spPr bwMode="auto">
        <a:xfrm>
          <a:off x="0" y="5505450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57150</xdr:colOff>
      <xdr:row>34</xdr:row>
      <xdr:rowOff>9525</xdr:rowOff>
    </xdr:to>
    <xdr:sp macro="" textlink="">
      <xdr:nvSpPr>
        <xdr:cNvPr id="77" name="AutoShape 116" descr="Formula">
          <a:extLst>
            <a:ext uri="{FF2B5EF4-FFF2-40B4-BE49-F238E27FC236}">
              <a16:creationId xmlns:a16="http://schemas.microsoft.com/office/drawing/2014/main" id="{17B82AA3-370E-4B35-B806-ADAB920F8469}"/>
            </a:ext>
          </a:extLst>
        </xdr:cNvPr>
        <xdr:cNvSpPr>
          <a:spLocks noChangeAspect="1" noChangeArrowheads="1"/>
        </xdr:cNvSpPr>
      </xdr:nvSpPr>
      <xdr:spPr bwMode="auto">
        <a:xfrm>
          <a:off x="0" y="5505450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57150</xdr:colOff>
      <xdr:row>34</xdr:row>
      <xdr:rowOff>9525</xdr:rowOff>
    </xdr:to>
    <xdr:sp macro="" textlink="">
      <xdr:nvSpPr>
        <xdr:cNvPr id="78" name="AutoShape 119" descr="Formula">
          <a:extLst>
            <a:ext uri="{FF2B5EF4-FFF2-40B4-BE49-F238E27FC236}">
              <a16:creationId xmlns:a16="http://schemas.microsoft.com/office/drawing/2014/main" id="{FA8F1606-415A-4BAA-8BF7-AF88A96C9E0A}"/>
            </a:ext>
          </a:extLst>
        </xdr:cNvPr>
        <xdr:cNvSpPr>
          <a:spLocks noChangeAspect="1" noChangeArrowheads="1"/>
        </xdr:cNvSpPr>
      </xdr:nvSpPr>
      <xdr:spPr bwMode="auto">
        <a:xfrm>
          <a:off x="0" y="5505450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57150</xdr:colOff>
      <xdr:row>34</xdr:row>
      <xdr:rowOff>9525</xdr:rowOff>
    </xdr:to>
    <xdr:sp macro="" textlink="">
      <xdr:nvSpPr>
        <xdr:cNvPr id="79" name="AutoShape 120" descr="Formula">
          <a:extLst>
            <a:ext uri="{FF2B5EF4-FFF2-40B4-BE49-F238E27FC236}">
              <a16:creationId xmlns:a16="http://schemas.microsoft.com/office/drawing/2014/main" id="{307DA6D5-37B7-4700-99C8-AB6CA766CF3E}"/>
            </a:ext>
          </a:extLst>
        </xdr:cNvPr>
        <xdr:cNvSpPr>
          <a:spLocks noChangeAspect="1" noChangeArrowheads="1"/>
        </xdr:cNvSpPr>
      </xdr:nvSpPr>
      <xdr:spPr bwMode="auto">
        <a:xfrm>
          <a:off x="0" y="5505450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57150</xdr:colOff>
      <xdr:row>34</xdr:row>
      <xdr:rowOff>9525</xdr:rowOff>
    </xdr:to>
    <xdr:sp macro="" textlink="">
      <xdr:nvSpPr>
        <xdr:cNvPr id="80" name="AutoShape 123" descr="Formula">
          <a:extLst>
            <a:ext uri="{FF2B5EF4-FFF2-40B4-BE49-F238E27FC236}">
              <a16:creationId xmlns:a16="http://schemas.microsoft.com/office/drawing/2014/main" id="{D616EEEC-2DB5-47AB-8C9B-07E2EEFE39AD}"/>
            </a:ext>
          </a:extLst>
        </xdr:cNvPr>
        <xdr:cNvSpPr>
          <a:spLocks noChangeAspect="1" noChangeArrowheads="1"/>
        </xdr:cNvSpPr>
      </xdr:nvSpPr>
      <xdr:spPr bwMode="auto">
        <a:xfrm>
          <a:off x="0" y="5505450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57150</xdr:colOff>
      <xdr:row>34</xdr:row>
      <xdr:rowOff>9525</xdr:rowOff>
    </xdr:to>
    <xdr:sp macro="" textlink="">
      <xdr:nvSpPr>
        <xdr:cNvPr id="81" name="AutoShape 124" descr="Formula">
          <a:extLst>
            <a:ext uri="{FF2B5EF4-FFF2-40B4-BE49-F238E27FC236}">
              <a16:creationId xmlns:a16="http://schemas.microsoft.com/office/drawing/2014/main" id="{C4C7E2FB-0816-4B17-80AF-8A9F8238DE77}"/>
            </a:ext>
          </a:extLst>
        </xdr:cNvPr>
        <xdr:cNvSpPr>
          <a:spLocks noChangeAspect="1" noChangeArrowheads="1"/>
        </xdr:cNvSpPr>
      </xdr:nvSpPr>
      <xdr:spPr bwMode="auto">
        <a:xfrm>
          <a:off x="0" y="5505450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57150</xdr:colOff>
      <xdr:row>34</xdr:row>
      <xdr:rowOff>9525</xdr:rowOff>
    </xdr:to>
    <xdr:sp macro="" textlink="">
      <xdr:nvSpPr>
        <xdr:cNvPr id="82" name="AutoShape 127" descr="Formula">
          <a:extLst>
            <a:ext uri="{FF2B5EF4-FFF2-40B4-BE49-F238E27FC236}">
              <a16:creationId xmlns:a16="http://schemas.microsoft.com/office/drawing/2014/main" id="{293DCE63-BE36-4E56-9E00-09996FF06AB6}"/>
            </a:ext>
          </a:extLst>
        </xdr:cNvPr>
        <xdr:cNvSpPr>
          <a:spLocks noChangeAspect="1" noChangeArrowheads="1"/>
        </xdr:cNvSpPr>
      </xdr:nvSpPr>
      <xdr:spPr bwMode="auto">
        <a:xfrm>
          <a:off x="0" y="5505450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57150</xdr:colOff>
      <xdr:row>34</xdr:row>
      <xdr:rowOff>9525</xdr:rowOff>
    </xdr:to>
    <xdr:sp macro="" textlink="">
      <xdr:nvSpPr>
        <xdr:cNvPr id="83" name="AutoShape 128" descr="Formula">
          <a:extLst>
            <a:ext uri="{FF2B5EF4-FFF2-40B4-BE49-F238E27FC236}">
              <a16:creationId xmlns:a16="http://schemas.microsoft.com/office/drawing/2014/main" id="{CB2902A0-DEB8-4E3F-861D-3A97BE452D42}"/>
            </a:ext>
          </a:extLst>
        </xdr:cNvPr>
        <xdr:cNvSpPr>
          <a:spLocks noChangeAspect="1" noChangeArrowheads="1"/>
        </xdr:cNvSpPr>
      </xdr:nvSpPr>
      <xdr:spPr bwMode="auto">
        <a:xfrm>
          <a:off x="0" y="5505450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57150</xdr:colOff>
      <xdr:row>34</xdr:row>
      <xdr:rowOff>9525</xdr:rowOff>
    </xdr:to>
    <xdr:sp macro="" textlink="">
      <xdr:nvSpPr>
        <xdr:cNvPr id="84" name="AutoShape 131" descr="Formula">
          <a:extLst>
            <a:ext uri="{FF2B5EF4-FFF2-40B4-BE49-F238E27FC236}">
              <a16:creationId xmlns:a16="http://schemas.microsoft.com/office/drawing/2014/main" id="{3A2EEC4F-C1E8-4DA9-AB7A-D976B22BBB67}"/>
            </a:ext>
          </a:extLst>
        </xdr:cNvPr>
        <xdr:cNvSpPr>
          <a:spLocks noChangeAspect="1" noChangeArrowheads="1"/>
        </xdr:cNvSpPr>
      </xdr:nvSpPr>
      <xdr:spPr bwMode="auto">
        <a:xfrm>
          <a:off x="0" y="5505450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57150</xdr:colOff>
      <xdr:row>34</xdr:row>
      <xdr:rowOff>9525</xdr:rowOff>
    </xdr:to>
    <xdr:sp macro="" textlink="">
      <xdr:nvSpPr>
        <xdr:cNvPr id="85" name="AutoShape 132" descr="Formula">
          <a:extLst>
            <a:ext uri="{FF2B5EF4-FFF2-40B4-BE49-F238E27FC236}">
              <a16:creationId xmlns:a16="http://schemas.microsoft.com/office/drawing/2014/main" id="{A2238331-C57B-4720-9FAF-335B23D487F2}"/>
            </a:ext>
          </a:extLst>
        </xdr:cNvPr>
        <xdr:cNvSpPr>
          <a:spLocks noChangeAspect="1" noChangeArrowheads="1"/>
        </xdr:cNvSpPr>
      </xdr:nvSpPr>
      <xdr:spPr bwMode="auto">
        <a:xfrm>
          <a:off x="0" y="5505450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57150</xdr:colOff>
      <xdr:row>34</xdr:row>
      <xdr:rowOff>9525</xdr:rowOff>
    </xdr:to>
    <xdr:sp macro="" textlink="">
      <xdr:nvSpPr>
        <xdr:cNvPr id="86" name="AutoShape 135" descr="Formula">
          <a:extLst>
            <a:ext uri="{FF2B5EF4-FFF2-40B4-BE49-F238E27FC236}">
              <a16:creationId xmlns:a16="http://schemas.microsoft.com/office/drawing/2014/main" id="{31692833-78C3-42DC-9B14-98650BA0A726}"/>
            </a:ext>
          </a:extLst>
        </xdr:cNvPr>
        <xdr:cNvSpPr>
          <a:spLocks noChangeAspect="1" noChangeArrowheads="1"/>
        </xdr:cNvSpPr>
      </xdr:nvSpPr>
      <xdr:spPr bwMode="auto">
        <a:xfrm>
          <a:off x="0" y="5505450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57150</xdr:colOff>
      <xdr:row>34</xdr:row>
      <xdr:rowOff>9525</xdr:rowOff>
    </xdr:to>
    <xdr:sp macro="" textlink="">
      <xdr:nvSpPr>
        <xdr:cNvPr id="87" name="AutoShape 136" descr="Formula">
          <a:extLst>
            <a:ext uri="{FF2B5EF4-FFF2-40B4-BE49-F238E27FC236}">
              <a16:creationId xmlns:a16="http://schemas.microsoft.com/office/drawing/2014/main" id="{6030D901-968F-4283-9F55-15D71B33581C}"/>
            </a:ext>
          </a:extLst>
        </xdr:cNvPr>
        <xdr:cNvSpPr>
          <a:spLocks noChangeAspect="1" noChangeArrowheads="1"/>
        </xdr:cNvSpPr>
      </xdr:nvSpPr>
      <xdr:spPr bwMode="auto">
        <a:xfrm>
          <a:off x="0" y="5505450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57150</xdr:colOff>
      <xdr:row>35</xdr:row>
      <xdr:rowOff>9525</xdr:rowOff>
    </xdr:to>
    <xdr:sp macro="" textlink="">
      <xdr:nvSpPr>
        <xdr:cNvPr id="88" name="AutoShape 2" descr="Formula">
          <a:extLst>
            <a:ext uri="{FF2B5EF4-FFF2-40B4-BE49-F238E27FC236}">
              <a16:creationId xmlns:a16="http://schemas.microsoft.com/office/drawing/2014/main" id="{0FD7CB4B-ED38-4B47-BB95-5F5EF99CEDEA}"/>
            </a:ext>
          </a:extLst>
        </xdr:cNvPr>
        <xdr:cNvSpPr>
          <a:spLocks noChangeAspect="1" noChangeArrowheads="1"/>
        </xdr:cNvSpPr>
      </xdr:nvSpPr>
      <xdr:spPr bwMode="auto">
        <a:xfrm>
          <a:off x="0" y="5667375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57150</xdr:colOff>
      <xdr:row>35</xdr:row>
      <xdr:rowOff>9525</xdr:rowOff>
    </xdr:to>
    <xdr:sp macro="" textlink="">
      <xdr:nvSpPr>
        <xdr:cNvPr id="89" name="AutoShape 5" descr="Formula">
          <a:extLst>
            <a:ext uri="{FF2B5EF4-FFF2-40B4-BE49-F238E27FC236}">
              <a16:creationId xmlns:a16="http://schemas.microsoft.com/office/drawing/2014/main" id="{D2C1F704-8C6D-41E3-9F57-70933D412E9E}"/>
            </a:ext>
          </a:extLst>
        </xdr:cNvPr>
        <xdr:cNvSpPr>
          <a:spLocks noChangeAspect="1" noChangeArrowheads="1"/>
        </xdr:cNvSpPr>
      </xdr:nvSpPr>
      <xdr:spPr bwMode="auto">
        <a:xfrm>
          <a:off x="0" y="5667375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57150</xdr:colOff>
      <xdr:row>35</xdr:row>
      <xdr:rowOff>9525</xdr:rowOff>
    </xdr:to>
    <xdr:sp macro="" textlink="">
      <xdr:nvSpPr>
        <xdr:cNvPr id="90" name="AutoShape 8" descr="Formula">
          <a:extLst>
            <a:ext uri="{FF2B5EF4-FFF2-40B4-BE49-F238E27FC236}">
              <a16:creationId xmlns:a16="http://schemas.microsoft.com/office/drawing/2014/main" id="{BD1463A8-2D23-4773-84A7-F92FC824FBF4}"/>
            </a:ext>
          </a:extLst>
        </xdr:cNvPr>
        <xdr:cNvSpPr>
          <a:spLocks noChangeAspect="1" noChangeArrowheads="1"/>
        </xdr:cNvSpPr>
      </xdr:nvSpPr>
      <xdr:spPr bwMode="auto">
        <a:xfrm>
          <a:off x="0" y="5667375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57150</xdr:colOff>
      <xdr:row>35</xdr:row>
      <xdr:rowOff>9525</xdr:rowOff>
    </xdr:to>
    <xdr:sp macro="" textlink="">
      <xdr:nvSpPr>
        <xdr:cNvPr id="91" name="AutoShape 11" descr="Formula">
          <a:extLst>
            <a:ext uri="{FF2B5EF4-FFF2-40B4-BE49-F238E27FC236}">
              <a16:creationId xmlns:a16="http://schemas.microsoft.com/office/drawing/2014/main" id="{0A545E65-54F5-4109-B0D5-E411845AFD7C}"/>
            </a:ext>
          </a:extLst>
        </xdr:cNvPr>
        <xdr:cNvSpPr>
          <a:spLocks noChangeAspect="1" noChangeArrowheads="1"/>
        </xdr:cNvSpPr>
      </xdr:nvSpPr>
      <xdr:spPr bwMode="auto">
        <a:xfrm>
          <a:off x="0" y="5667375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57150</xdr:colOff>
      <xdr:row>35</xdr:row>
      <xdr:rowOff>9525</xdr:rowOff>
    </xdr:to>
    <xdr:sp macro="" textlink="">
      <xdr:nvSpPr>
        <xdr:cNvPr id="92" name="AutoShape 14" descr="Formula">
          <a:extLst>
            <a:ext uri="{FF2B5EF4-FFF2-40B4-BE49-F238E27FC236}">
              <a16:creationId xmlns:a16="http://schemas.microsoft.com/office/drawing/2014/main" id="{FAAEE39F-5889-490E-AE65-1E486908AFFC}"/>
            </a:ext>
          </a:extLst>
        </xdr:cNvPr>
        <xdr:cNvSpPr>
          <a:spLocks noChangeAspect="1" noChangeArrowheads="1"/>
        </xdr:cNvSpPr>
      </xdr:nvSpPr>
      <xdr:spPr bwMode="auto">
        <a:xfrm>
          <a:off x="0" y="5667375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57150</xdr:colOff>
      <xdr:row>35</xdr:row>
      <xdr:rowOff>9525</xdr:rowOff>
    </xdr:to>
    <xdr:sp macro="" textlink="">
      <xdr:nvSpPr>
        <xdr:cNvPr id="93" name="AutoShape 17" descr="Formula">
          <a:extLst>
            <a:ext uri="{FF2B5EF4-FFF2-40B4-BE49-F238E27FC236}">
              <a16:creationId xmlns:a16="http://schemas.microsoft.com/office/drawing/2014/main" id="{9E534549-6841-4DD5-9DDF-A7B7A3595D5D}"/>
            </a:ext>
          </a:extLst>
        </xdr:cNvPr>
        <xdr:cNvSpPr>
          <a:spLocks noChangeAspect="1" noChangeArrowheads="1"/>
        </xdr:cNvSpPr>
      </xdr:nvSpPr>
      <xdr:spPr bwMode="auto">
        <a:xfrm>
          <a:off x="0" y="5667375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57150</xdr:colOff>
      <xdr:row>35</xdr:row>
      <xdr:rowOff>9525</xdr:rowOff>
    </xdr:to>
    <xdr:sp macro="" textlink="">
      <xdr:nvSpPr>
        <xdr:cNvPr id="94" name="AutoShape 20" descr="Formula">
          <a:extLst>
            <a:ext uri="{FF2B5EF4-FFF2-40B4-BE49-F238E27FC236}">
              <a16:creationId xmlns:a16="http://schemas.microsoft.com/office/drawing/2014/main" id="{D8E27C47-59A9-4D9C-B6A2-C693A1870047}"/>
            </a:ext>
          </a:extLst>
        </xdr:cNvPr>
        <xdr:cNvSpPr>
          <a:spLocks noChangeAspect="1" noChangeArrowheads="1"/>
        </xdr:cNvSpPr>
      </xdr:nvSpPr>
      <xdr:spPr bwMode="auto">
        <a:xfrm>
          <a:off x="0" y="5667375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57150</xdr:colOff>
      <xdr:row>35</xdr:row>
      <xdr:rowOff>9525</xdr:rowOff>
    </xdr:to>
    <xdr:sp macro="" textlink="">
      <xdr:nvSpPr>
        <xdr:cNvPr id="95" name="AutoShape 23" descr="Formula">
          <a:extLst>
            <a:ext uri="{FF2B5EF4-FFF2-40B4-BE49-F238E27FC236}">
              <a16:creationId xmlns:a16="http://schemas.microsoft.com/office/drawing/2014/main" id="{72735FA8-67C3-4AC1-B4DA-64E43D1A64A9}"/>
            </a:ext>
          </a:extLst>
        </xdr:cNvPr>
        <xdr:cNvSpPr>
          <a:spLocks noChangeAspect="1" noChangeArrowheads="1"/>
        </xdr:cNvSpPr>
      </xdr:nvSpPr>
      <xdr:spPr bwMode="auto">
        <a:xfrm>
          <a:off x="0" y="5667375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57150</xdr:colOff>
      <xdr:row>35</xdr:row>
      <xdr:rowOff>9525</xdr:rowOff>
    </xdr:to>
    <xdr:sp macro="" textlink="">
      <xdr:nvSpPr>
        <xdr:cNvPr id="96" name="AutoShape 26" descr="Formula">
          <a:extLst>
            <a:ext uri="{FF2B5EF4-FFF2-40B4-BE49-F238E27FC236}">
              <a16:creationId xmlns:a16="http://schemas.microsoft.com/office/drawing/2014/main" id="{F1C6C4E1-453B-451B-A1D2-7F577F4F8FF7}"/>
            </a:ext>
          </a:extLst>
        </xdr:cNvPr>
        <xdr:cNvSpPr>
          <a:spLocks noChangeAspect="1" noChangeArrowheads="1"/>
        </xdr:cNvSpPr>
      </xdr:nvSpPr>
      <xdr:spPr bwMode="auto">
        <a:xfrm>
          <a:off x="0" y="5667375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57150</xdr:colOff>
      <xdr:row>35</xdr:row>
      <xdr:rowOff>9525</xdr:rowOff>
    </xdr:to>
    <xdr:sp macro="" textlink="">
      <xdr:nvSpPr>
        <xdr:cNvPr id="97" name="AutoShape 29" descr="Formula">
          <a:extLst>
            <a:ext uri="{FF2B5EF4-FFF2-40B4-BE49-F238E27FC236}">
              <a16:creationId xmlns:a16="http://schemas.microsoft.com/office/drawing/2014/main" id="{267E9861-21C8-4862-9128-B2871FF6B9DD}"/>
            </a:ext>
          </a:extLst>
        </xdr:cNvPr>
        <xdr:cNvSpPr>
          <a:spLocks noChangeAspect="1" noChangeArrowheads="1"/>
        </xdr:cNvSpPr>
      </xdr:nvSpPr>
      <xdr:spPr bwMode="auto">
        <a:xfrm>
          <a:off x="0" y="5667375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57150</xdr:colOff>
      <xdr:row>35</xdr:row>
      <xdr:rowOff>9525</xdr:rowOff>
    </xdr:to>
    <xdr:sp macro="" textlink="">
      <xdr:nvSpPr>
        <xdr:cNvPr id="98" name="AutoShape 32" descr="Formula">
          <a:extLst>
            <a:ext uri="{FF2B5EF4-FFF2-40B4-BE49-F238E27FC236}">
              <a16:creationId xmlns:a16="http://schemas.microsoft.com/office/drawing/2014/main" id="{07227514-2B5C-49BB-925F-597F5C2AC5F7}"/>
            </a:ext>
          </a:extLst>
        </xdr:cNvPr>
        <xdr:cNvSpPr>
          <a:spLocks noChangeAspect="1" noChangeArrowheads="1"/>
        </xdr:cNvSpPr>
      </xdr:nvSpPr>
      <xdr:spPr bwMode="auto">
        <a:xfrm>
          <a:off x="0" y="5667375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57150</xdr:colOff>
      <xdr:row>35</xdr:row>
      <xdr:rowOff>9525</xdr:rowOff>
    </xdr:to>
    <xdr:sp macro="" textlink="">
      <xdr:nvSpPr>
        <xdr:cNvPr id="99" name="AutoShape 35" descr="Formula">
          <a:extLst>
            <a:ext uri="{FF2B5EF4-FFF2-40B4-BE49-F238E27FC236}">
              <a16:creationId xmlns:a16="http://schemas.microsoft.com/office/drawing/2014/main" id="{BBEB64F0-0F6E-41B3-8099-6713452787B6}"/>
            </a:ext>
          </a:extLst>
        </xdr:cNvPr>
        <xdr:cNvSpPr>
          <a:spLocks noChangeAspect="1" noChangeArrowheads="1"/>
        </xdr:cNvSpPr>
      </xdr:nvSpPr>
      <xdr:spPr bwMode="auto">
        <a:xfrm>
          <a:off x="0" y="5667375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57150</xdr:colOff>
      <xdr:row>35</xdr:row>
      <xdr:rowOff>9525</xdr:rowOff>
    </xdr:to>
    <xdr:sp macro="" textlink="">
      <xdr:nvSpPr>
        <xdr:cNvPr id="100" name="AutoShape 38" descr="Formula">
          <a:extLst>
            <a:ext uri="{FF2B5EF4-FFF2-40B4-BE49-F238E27FC236}">
              <a16:creationId xmlns:a16="http://schemas.microsoft.com/office/drawing/2014/main" id="{3C8B5993-DA01-42CC-9631-17AE4CC76ABC}"/>
            </a:ext>
          </a:extLst>
        </xdr:cNvPr>
        <xdr:cNvSpPr>
          <a:spLocks noChangeAspect="1" noChangeArrowheads="1"/>
        </xdr:cNvSpPr>
      </xdr:nvSpPr>
      <xdr:spPr bwMode="auto">
        <a:xfrm>
          <a:off x="0" y="5667375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57150</xdr:colOff>
      <xdr:row>35</xdr:row>
      <xdr:rowOff>9525</xdr:rowOff>
    </xdr:to>
    <xdr:sp macro="" textlink="">
      <xdr:nvSpPr>
        <xdr:cNvPr id="101" name="AutoShape 41" descr="Formula">
          <a:extLst>
            <a:ext uri="{FF2B5EF4-FFF2-40B4-BE49-F238E27FC236}">
              <a16:creationId xmlns:a16="http://schemas.microsoft.com/office/drawing/2014/main" id="{5E530D4A-D356-4D86-82DC-E1A70FF3D4C2}"/>
            </a:ext>
          </a:extLst>
        </xdr:cNvPr>
        <xdr:cNvSpPr>
          <a:spLocks noChangeAspect="1" noChangeArrowheads="1"/>
        </xdr:cNvSpPr>
      </xdr:nvSpPr>
      <xdr:spPr bwMode="auto">
        <a:xfrm>
          <a:off x="0" y="5667375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57150</xdr:colOff>
      <xdr:row>35</xdr:row>
      <xdr:rowOff>9525</xdr:rowOff>
    </xdr:to>
    <xdr:sp macro="" textlink="">
      <xdr:nvSpPr>
        <xdr:cNvPr id="102" name="AutoShape 44" descr="Formula">
          <a:extLst>
            <a:ext uri="{FF2B5EF4-FFF2-40B4-BE49-F238E27FC236}">
              <a16:creationId xmlns:a16="http://schemas.microsoft.com/office/drawing/2014/main" id="{4C944BDA-E9E8-4EC5-A2D8-12684F529B5A}"/>
            </a:ext>
          </a:extLst>
        </xdr:cNvPr>
        <xdr:cNvSpPr>
          <a:spLocks noChangeAspect="1" noChangeArrowheads="1"/>
        </xdr:cNvSpPr>
      </xdr:nvSpPr>
      <xdr:spPr bwMode="auto">
        <a:xfrm>
          <a:off x="0" y="5667375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57150</xdr:colOff>
      <xdr:row>35</xdr:row>
      <xdr:rowOff>9525</xdr:rowOff>
    </xdr:to>
    <xdr:sp macro="" textlink="">
      <xdr:nvSpPr>
        <xdr:cNvPr id="103" name="AutoShape 47" descr="Formula">
          <a:extLst>
            <a:ext uri="{FF2B5EF4-FFF2-40B4-BE49-F238E27FC236}">
              <a16:creationId xmlns:a16="http://schemas.microsoft.com/office/drawing/2014/main" id="{E3EA9926-A72A-42DD-AA45-E185A2CB3545}"/>
            </a:ext>
          </a:extLst>
        </xdr:cNvPr>
        <xdr:cNvSpPr>
          <a:spLocks noChangeAspect="1" noChangeArrowheads="1"/>
        </xdr:cNvSpPr>
      </xdr:nvSpPr>
      <xdr:spPr bwMode="auto">
        <a:xfrm>
          <a:off x="0" y="5667375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57150</xdr:colOff>
      <xdr:row>35</xdr:row>
      <xdr:rowOff>9525</xdr:rowOff>
    </xdr:to>
    <xdr:sp macro="" textlink="">
      <xdr:nvSpPr>
        <xdr:cNvPr id="104" name="AutoShape 50" descr="Formula">
          <a:extLst>
            <a:ext uri="{FF2B5EF4-FFF2-40B4-BE49-F238E27FC236}">
              <a16:creationId xmlns:a16="http://schemas.microsoft.com/office/drawing/2014/main" id="{C81CE428-F8DB-4525-BFB1-982D9C9C87E7}"/>
            </a:ext>
          </a:extLst>
        </xdr:cNvPr>
        <xdr:cNvSpPr>
          <a:spLocks noChangeAspect="1" noChangeArrowheads="1"/>
        </xdr:cNvSpPr>
      </xdr:nvSpPr>
      <xdr:spPr bwMode="auto">
        <a:xfrm>
          <a:off x="0" y="5667375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57150</xdr:colOff>
      <xdr:row>35</xdr:row>
      <xdr:rowOff>9525</xdr:rowOff>
    </xdr:to>
    <xdr:sp macro="" textlink="">
      <xdr:nvSpPr>
        <xdr:cNvPr id="105" name="AutoShape 53" descr="Formula">
          <a:extLst>
            <a:ext uri="{FF2B5EF4-FFF2-40B4-BE49-F238E27FC236}">
              <a16:creationId xmlns:a16="http://schemas.microsoft.com/office/drawing/2014/main" id="{0DDDA091-37AD-48C6-8CCF-FBD594EFF944}"/>
            </a:ext>
          </a:extLst>
        </xdr:cNvPr>
        <xdr:cNvSpPr>
          <a:spLocks noChangeAspect="1" noChangeArrowheads="1"/>
        </xdr:cNvSpPr>
      </xdr:nvSpPr>
      <xdr:spPr bwMode="auto">
        <a:xfrm>
          <a:off x="0" y="5667375"/>
          <a:ext cx="57150" cy="9525"/>
        </a:xfrm>
        <a:prstGeom prst="rect">
          <a:avLst/>
        </a:prstGeom>
        <a:noFill/>
      </xdr:spPr>
    </xdr:sp>
    <xdr:clientData/>
  </xdr:twoCellAnchor>
  <xdr:twoCellAnchor>
    <xdr:from>
      <xdr:col>0</xdr:col>
      <xdr:colOff>0</xdr:colOff>
      <xdr:row>0</xdr:row>
      <xdr:rowOff>1</xdr:rowOff>
    </xdr:from>
    <xdr:to>
      <xdr:col>18</xdr:col>
      <xdr:colOff>547200</xdr:colOff>
      <xdr:row>37</xdr:row>
      <xdr:rowOff>128776</xdr:rowOff>
    </xdr:to>
    <xdr:graphicFrame macro="">
      <xdr:nvGraphicFramePr>
        <xdr:cNvPr id="108" name="Gráfico 107">
          <a:extLst>
            <a:ext uri="{FF2B5EF4-FFF2-40B4-BE49-F238E27FC236}">
              <a16:creationId xmlns:a16="http://schemas.microsoft.com/office/drawing/2014/main" id="{B1CCE43C-AD72-4356-B382-5B811AA324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18</xdr:col>
      <xdr:colOff>571500</xdr:colOff>
      <xdr:row>0</xdr:row>
      <xdr:rowOff>9525</xdr:rowOff>
    </xdr:from>
    <xdr:to>
      <xdr:col>24</xdr:col>
      <xdr:colOff>153900</xdr:colOff>
      <xdr:row>24</xdr:row>
      <xdr:rowOff>83325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109" name="Equipe">
              <a:extLst>
                <a:ext uri="{FF2B5EF4-FFF2-40B4-BE49-F238E27FC236}">
                  <a16:creationId xmlns:a16="http://schemas.microsoft.com/office/drawing/2014/main" id="{DD88345F-98C2-44A3-ACC0-1B19E7E924A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qui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544300" y="9525"/>
              <a:ext cx="3240000" cy="3960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 fLocksWithSheet="0"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4</xdr:row>
      <xdr:rowOff>0</xdr:rowOff>
    </xdr:from>
    <xdr:to>
      <xdr:col>5</xdr:col>
      <xdr:colOff>57150</xdr:colOff>
      <xdr:row>4</xdr:row>
      <xdr:rowOff>9525</xdr:rowOff>
    </xdr:to>
    <xdr:sp macro="" textlink="">
      <xdr:nvSpPr>
        <xdr:cNvPr id="2050" name="AutoShape 2" descr="Formula">
          <a:extLst>
            <a:ext uri="{FF2B5EF4-FFF2-40B4-BE49-F238E27FC236}">
              <a16:creationId xmlns:a16="http://schemas.microsoft.com/office/drawing/2014/main" id="{00000000-0008-0000-0300-000002080000}"/>
            </a:ext>
          </a:extLst>
        </xdr:cNvPr>
        <xdr:cNvSpPr>
          <a:spLocks noChangeAspect="1" noChangeArrowheads="1"/>
        </xdr:cNvSpPr>
      </xdr:nvSpPr>
      <xdr:spPr bwMode="auto">
        <a:xfrm>
          <a:off x="6734175" y="942975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5</xdr:col>
      <xdr:colOff>0</xdr:colOff>
      <xdr:row>10</xdr:row>
      <xdr:rowOff>0</xdr:rowOff>
    </xdr:from>
    <xdr:to>
      <xdr:col>5</xdr:col>
      <xdr:colOff>57150</xdr:colOff>
      <xdr:row>10</xdr:row>
      <xdr:rowOff>9525</xdr:rowOff>
    </xdr:to>
    <xdr:sp macro="" textlink="">
      <xdr:nvSpPr>
        <xdr:cNvPr id="2056" name="AutoShape 8" descr="Formula">
          <a:extLst>
            <a:ext uri="{FF2B5EF4-FFF2-40B4-BE49-F238E27FC236}">
              <a16:creationId xmlns:a16="http://schemas.microsoft.com/office/drawing/2014/main" id="{00000000-0008-0000-0300-000008080000}"/>
            </a:ext>
          </a:extLst>
        </xdr:cNvPr>
        <xdr:cNvSpPr>
          <a:spLocks noChangeAspect="1" noChangeArrowheads="1"/>
        </xdr:cNvSpPr>
      </xdr:nvSpPr>
      <xdr:spPr bwMode="auto">
        <a:xfrm>
          <a:off x="6734175" y="1971675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5</xdr:col>
      <xdr:colOff>0</xdr:colOff>
      <xdr:row>19</xdr:row>
      <xdr:rowOff>0</xdr:rowOff>
    </xdr:from>
    <xdr:to>
      <xdr:col>5</xdr:col>
      <xdr:colOff>57150</xdr:colOff>
      <xdr:row>19</xdr:row>
      <xdr:rowOff>9525</xdr:rowOff>
    </xdr:to>
    <xdr:sp macro="" textlink="">
      <xdr:nvSpPr>
        <xdr:cNvPr id="2065" name="AutoShape 17" descr="Formula">
          <a:extLst>
            <a:ext uri="{FF2B5EF4-FFF2-40B4-BE49-F238E27FC236}">
              <a16:creationId xmlns:a16="http://schemas.microsoft.com/office/drawing/2014/main" id="{00000000-0008-0000-0300-000011080000}"/>
            </a:ext>
          </a:extLst>
        </xdr:cNvPr>
        <xdr:cNvSpPr>
          <a:spLocks noChangeAspect="1" noChangeArrowheads="1"/>
        </xdr:cNvSpPr>
      </xdr:nvSpPr>
      <xdr:spPr bwMode="auto">
        <a:xfrm>
          <a:off x="6734175" y="3514725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5</xdr:col>
      <xdr:colOff>0</xdr:colOff>
      <xdr:row>22</xdr:row>
      <xdr:rowOff>0</xdr:rowOff>
    </xdr:from>
    <xdr:to>
      <xdr:col>5</xdr:col>
      <xdr:colOff>57150</xdr:colOff>
      <xdr:row>22</xdr:row>
      <xdr:rowOff>9525</xdr:rowOff>
    </xdr:to>
    <xdr:sp macro="" textlink="">
      <xdr:nvSpPr>
        <xdr:cNvPr id="2068" name="AutoShape 20" descr="Formula">
          <a:extLst>
            <a:ext uri="{FF2B5EF4-FFF2-40B4-BE49-F238E27FC236}">
              <a16:creationId xmlns:a16="http://schemas.microsoft.com/office/drawing/2014/main" id="{00000000-0008-0000-0300-000014080000}"/>
            </a:ext>
          </a:extLst>
        </xdr:cNvPr>
        <xdr:cNvSpPr>
          <a:spLocks noChangeAspect="1" noChangeArrowheads="1"/>
        </xdr:cNvSpPr>
      </xdr:nvSpPr>
      <xdr:spPr bwMode="auto">
        <a:xfrm>
          <a:off x="6734175" y="4029075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57150</xdr:colOff>
      <xdr:row>25</xdr:row>
      <xdr:rowOff>9525</xdr:rowOff>
    </xdr:to>
    <xdr:sp macro="" textlink="">
      <xdr:nvSpPr>
        <xdr:cNvPr id="2071" name="AutoShape 23" descr="Formula">
          <a:extLst>
            <a:ext uri="{FF2B5EF4-FFF2-40B4-BE49-F238E27FC236}">
              <a16:creationId xmlns:a16="http://schemas.microsoft.com/office/drawing/2014/main" id="{00000000-0008-0000-0300-000017080000}"/>
            </a:ext>
          </a:extLst>
        </xdr:cNvPr>
        <xdr:cNvSpPr>
          <a:spLocks noChangeAspect="1" noChangeArrowheads="1"/>
        </xdr:cNvSpPr>
      </xdr:nvSpPr>
      <xdr:spPr bwMode="auto">
        <a:xfrm>
          <a:off x="6734175" y="4543425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5</xdr:col>
      <xdr:colOff>0</xdr:colOff>
      <xdr:row>28</xdr:row>
      <xdr:rowOff>0</xdr:rowOff>
    </xdr:from>
    <xdr:to>
      <xdr:col>5</xdr:col>
      <xdr:colOff>57150</xdr:colOff>
      <xdr:row>28</xdr:row>
      <xdr:rowOff>9525</xdr:rowOff>
    </xdr:to>
    <xdr:sp macro="" textlink="">
      <xdr:nvSpPr>
        <xdr:cNvPr id="2074" name="AutoShape 26" descr="Formula">
          <a:extLst>
            <a:ext uri="{FF2B5EF4-FFF2-40B4-BE49-F238E27FC236}">
              <a16:creationId xmlns:a16="http://schemas.microsoft.com/office/drawing/2014/main" id="{00000000-0008-0000-0300-00001A080000}"/>
            </a:ext>
          </a:extLst>
        </xdr:cNvPr>
        <xdr:cNvSpPr>
          <a:spLocks noChangeAspect="1" noChangeArrowheads="1"/>
        </xdr:cNvSpPr>
      </xdr:nvSpPr>
      <xdr:spPr bwMode="auto">
        <a:xfrm>
          <a:off x="6734175" y="5057775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5</xdr:col>
      <xdr:colOff>0</xdr:colOff>
      <xdr:row>31</xdr:row>
      <xdr:rowOff>0</xdr:rowOff>
    </xdr:from>
    <xdr:to>
      <xdr:col>5</xdr:col>
      <xdr:colOff>57150</xdr:colOff>
      <xdr:row>31</xdr:row>
      <xdr:rowOff>9525</xdr:rowOff>
    </xdr:to>
    <xdr:sp macro="" textlink="">
      <xdr:nvSpPr>
        <xdr:cNvPr id="2077" name="AutoShape 29" descr="Formula">
          <a:extLst>
            <a:ext uri="{FF2B5EF4-FFF2-40B4-BE49-F238E27FC236}">
              <a16:creationId xmlns:a16="http://schemas.microsoft.com/office/drawing/2014/main" id="{00000000-0008-0000-0300-00001D080000}"/>
            </a:ext>
          </a:extLst>
        </xdr:cNvPr>
        <xdr:cNvSpPr>
          <a:spLocks noChangeAspect="1" noChangeArrowheads="1"/>
        </xdr:cNvSpPr>
      </xdr:nvSpPr>
      <xdr:spPr bwMode="auto">
        <a:xfrm>
          <a:off x="6734175" y="5572125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5</xdr:col>
      <xdr:colOff>0</xdr:colOff>
      <xdr:row>34</xdr:row>
      <xdr:rowOff>0</xdr:rowOff>
    </xdr:from>
    <xdr:to>
      <xdr:col>5</xdr:col>
      <xdr:colOff>57150</xdr:colOff>
      <xdr:row>34</xdr:row>
      <xdr:rowOff>9525</xdr:rowOff>
    </xdr:to>
    <xdr:sp macro="" textlink="">
      <xdr:nvSpPr>
        <xdr:cNvPr id="2080" name="AutoShape 32" descr="Formula">
          <a:extLst>
            <a:ext uri="{FF2B5EF4-FFF2-40B4-BE49-F238E27FC236}">
              <a16:creationId xmlns:a16="http://schemas.microsoft.com/office/drawing/2014/main" id="{00000000-0008-0000-0300-000020080000}"/>
            </a:ext>
          </a:extLst>
        </xdr:cNvPr>
        <xdr:cNvSpPr>
          <a:spLocks noChangeAspect="1" noChangeArrowheads="1"/>
        </xdr:cNvSpPr>
      </xdr:nvSpPr>
      <xdr:spPr bwMode="auto">
        <a:xfrm>
          <a:off x="6734175" y="6086475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5</xdr:col>
      <xdr:colOff>0</xdr:colOff>
      <xdr:row>37</xdr:row>
      <xdr:rowOff>0</xdr:rowOff>
    </xdr:from>
    <xdr:to>
      <xdr:col>5</xdr:col>
      <xdr:colOff>57150</xdr:colOff>
      <xdr:row>37</xdr:row>
      <xdr:rowOff>9525</xdr:rowOff>
    </xdr:to>
    <xdr:sp macro="" textlink="">
      <xdr:nvSpPr>
        <xdr:cNvPr id="2083" name="AutoShape 35" descr="Formula">
          <a:extLst>
            <a:ext uri="{FF2B5EF4-FFF2-40B4-BE49-F238E27FC236}">
              <a16:creationId xmlns:a16="http://schemas.microsoft.com/office/drawing/2014/main" id="{00000000-0008-0000-0300-000023080000}"/>
            </a:ext>
          </a:extLst>
        </xdr:cNvPr>
        <xdr:cNvSpPr>
          <a:spLocks noChangeAspect="1" noChangeArrowheads="1"/>
        </xdr:cNvSpPr>
      </xdr:nvSpPr>
      <xdr:spPr bwMode="auto">
        <a:xfrm>
          <a:off x="6734175" y="6600825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5</xdr:col>
      <xdr:colOff>0</xdr:colOff>
      <xdr:row>40</xdr:row>
      <xdr:rowOff>0</xdr:rowOff>
    </xdr:from>
    <xdr:to>
      <xdr:col>5</xdr:col>
      <xdr:colOff>57150</xdr:colOff>
      <xdr:row>40</xdr:row>
      <xdr:rowOff>9525</xdr:rowOff>
    </xdr:to>
    <xdr:sp macro="" textlink="">
      <xdr:nvSpPr>
        <xdr:cNvPr id="2086" name="AutoShape 38" descr="Formula">
          <a:extLst>
            <a:ext uri="{FF2B5EF4-FFF2-40B4-BE49-F238E27FC236}">
              <a16:creationId xmlns:a16="http://schemas.microsoft.com/office/drawing/2014/main" id="{00000000-0008-0000-0300-000026080000}"/>
            </a:ext>
          </a:extLst>
        </xdr:cNvPr>
        <xdr:cNvSpPr>
          <a:spLocks noChangeAspect="1" noChangeArrowheads="1"/>
        </xdr:cNvSpPr>
      </xdr:nvSpPr>
      <xdr:spPr bwMode="auto">
        <a:xfrm>
          <a:off x="6734175" y="7115175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5</xdr:col>
      <xdr:colOff>0</xdr:colOff>
      <xdr:row>43</xdr:row>
      <xdr:rowOff>0</xdr:rowOff>
    </xdr:from>
    <xdr:to>
      <xdr:col>5</xdr:col>
      <xdr:colOff>57150</xdr:colOff>
      <xdr:row>43</xdr:row>
      <xdr:rowOff>9525</xdr:rowOff>
    </xdr:to>
    <xdr:sp macro="" textlink="">
      <xdr:nvSpPr>
        <xdr:cNvPr id="2089" name="AutoShape 41" descr="Formula">
          <a:extLst>
            <a:ext uri="{FF2B5EF4-FFF2-40B4-BE49-F238E27FC236}">
              <a16:creationId xmlns:a16="http://schemas.microsoft.com/office/drawing/2014/main" id="{00000000-0008-0000-0300-000029080000}"/>
            </a:ext>
          </a:extLst>
        </xdr:cNvPr>
        <xdr:cNvSpPr>
          <a:spLocks noChangeAspect="1" noChangeArrowheads="1"/>
        </xdr:cNvSpPr>
      </xdr:nvSpPr>
      <xdr:spPr bwMode="auto">
        <a:xfrm>
          <a:off x="6734175" y="7629525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5</xdr:col>
      <xdr:colOff>0</xdr:colOff>
      <xdr:row>46</xdr:row>
      <xdr:rowOff>0</xdr:rowOff>
    </xdr:from>
    <xdr:to>
      <xdr:col>5</xdr:col>
      <xdr:colOff>57150</xdr:colOff>
      <xdr:row>46</xdr:row>
      <xdr:rowOff>9525</xdr:rowOff>
    </xdr:to>
    <xdr:sp macro="" textlink="">
      <xdr:nvSpPr>
        <xdr:cNvPr id="2092" name="AutoShape 44" descr="Formula">
          <a:extLst>
            <a:ext uri="{FF2B5EF4-FFF2-40B4-BE49-F238E27FC236}">
              <a16:creationId xmlns:a16="http://schemas.microsoft.com/office/drawing/2014/main" id="{00000000-0008-0000-0300-00002C080000}"/>
            </a:ext>
          </a:extLst>
        </xdr:cNvPr>
        <xdr:cNvSpPr>
          <a:spLocks noChangeAspect="1" noChangeArrowheads="1"/>
        </xdr:cNvSpPr>
      </xdr:nvSpPr>
      <xdr:spPr bwMode="auto">
        <a:xfrm>
          <a:off x="6734175" y="8143875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5</xdr:col>
      <xdr:colOff>0</xdr:colOff>
      <xdr:row>49</xdr:row>
      <xdr:rowOff>0</xdr:rowOff>
    </xdr:from>
    <xdr:to>
      <xdr:col>5</xdr:col>
      <xdr:colOff>57150</xdr:colOff>
      <xdr:row>49</xdr:row>
      <xdr:rowOff>9525</xdr:rowOff>
    </xdr:to>
    <xdr:sp macro="" textlink="">
      <xdr:nvSpPr>
        <xdr:cNvPr id="2095" name="AutoShape 47" descr="Formula">
          <a:extLst>
            <a:ext uri="{FF2B5EF4-FFF2-40B4-BE49-F238E27FC236}">
              <a16:creationId xmlns:a16="http://schemas.microsoft.com/office/drawing/2014/main" id="{00000000-0008-0000-0300-00002F080000}"/>
            </a:ext>
          </a:extLst>
        </xdr:cNvPr>
        <xdr:cNvSpPr>
          <a:spLocks noChangeAspect="1" noChangeArrowheads="1"/>
        </xdr:cNvSpPr>
      </xdr:nvSpPr>
      <xdr:spPr bwMode="auto">
        <a:xfrm>
          <a:off x="6734175" y="8658225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5</xdr:col>
      <xdr:colOff>0</xdr:colOff>
      <xdr:row>52</xdr:row>
      <xdr:rowOff>0</xdr:rowOff>
    </xdr:from>
    <xdr:to>
      <xdr:col>5</xdr:col>
      <xdr:colOff>57150</xdr:colOff>
      <xdr:row>52</xdr:row>
      <xdr:rowOff>9525</xdr:rowOff>
    </xdr:to>
    <xdr:sp macro="" textlink="">
      <xdr:nvSpPr>
        <xdr:cNvPr id="2098" name="AutoShape 50" descr="Formula">
          <a:extLst>
            <a:ext uri="{FF2B5EF4-FFF2-40B4-BE49-F238E27FC236}">
              <a16:creationId xmlns:a16="http://schemas.microsoft.com/office/drawing/2014/main" id="{00000000-0008-0000-0300-000032080000}"/>
            </a:ext>
          </a:extLst>
        </xdr:cNvPr>
        <xdr:cNvSpPr>
          <a:spLocks noChangeAspect="1" noChangeArrowheads="1"/>
        </xdr:cNvSpPr>
      </xdr:nvSpPr>
      <xdr:spPr bwMode="auto">
        <a:xfrm>
          <a:off x="6734175" y="9172575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57150</xdr:colOff>
      <xdr:row>4</xdr:row>
      <xdr:rowOff>9525</xdr:rowOff>
    </xdr:to>
    <xdr:sp macro="" textlink="">
      <xdr:nvSpPr>
        <xdr:cNvPr id="2103" name="AutoShape 55" descr="Formula">
          <a:extLst>
            <a:ext uri="{FF2B5EF4-FFF2-40B4-BE49-F238E27FC236}">
              <a16:creationId xmlns:a16="http://schemas.microsoft.com/office/drawing/2014/main" id="{00000000-0008-0000-0300-000037080000}"/>
            </a:ext>
          </a:extLst>
        </xdr:cNvPr>
        <xdr:cNvSpPr>
          <a:spLocks noChangeAspect="1" noChangeArrowheads="1"/>
        </xdr:cNvSpPr>
      </xdr:nvSpPr>
      <xdr:spPr bwMode="auto">
        <a:xfrm>
          <a:off x="1590675" y="942975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5</xdr:col>
      <xdr:colOff>0</xdr:colOff>
      <xdr:row>31</xdr:row>
      <xdr:rowOff>0</xdr:rowOff>
    </xdr:from>
    <xdr:to>
      <xdr:col>5</xdr:col>
      <xdr:colOff>57150</xdr:colOff>
      <xdr:row>31</xdr:row>
      <xdr:rowOff>9525</xdr:rowOff>
    </xdr:to>
    <xdr:sp macro="" textlink="">
      <xdr:nvSpPr>
        <xdr:cNvPr id="2210" name="AutoShape 162" descr="Formula">
          <a:extLst>
            <a:ext uri="{FF2B5EF4-FFF2-40B4-BE49-F238E27FC236}">
              <a16:creationId xmlns:a16="http://schemas.microsoft.com/office/drawing/2014/main" id="{00000000-0008-0000-0300-0000A2080000}"/>
            </a:ext>
          </a:extLst>
        </xdr:cNvPr>
        <xdr:cNvSpPr>
          <a:spLocks noChangeAspect="1" noChangeArrowheads="1"/>
        </xdr:cNvSpPr>
      </xdr:nvSpPr>
      <xdr:spPr bwMode="auto">
        <a:xfrm>
          <a:off x="6734175" y="5572125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5</xdr:col>
      <xdr:colOff>0</xdr:colOff>
      <xdr:row>37</xdr:row>
      <xdr:rowOff>0</xdr:rowOff>
    </xdr:from>
    <xdr:to>
      <xdr:col>5</xdr:col>
      <xdr:colOff>57150</xdr:colOff>
      <xdr:row>37</xdr:row>
      <xdr:rowOff>9525</xdr:rowOff>
    </xdr:to>
    <xdr:sp macro="" textlink="">
      <xdr:nvSpPr>
        <xdr:cNvPr id="2215" name="AutoShape 167" descr="Formula">
          <a:extLst>
            <a:ext uri="{FF2B5EF4-FFF2-40B4-BE49-F238E27FC236}">
              <a16:creationId xmlns:a16="http://schemas.microsoft.com/office/drawing/2014/main" id="{00000000-0008-0000-0300-0000A7080000}"/>
            </a:ext>
          </a:extLst>
        </xdr:cNvPr>
        <xdr:cNvSpPr>
          <a:spLocks noChangeAspect="1" noChangeArrowheads="1"/>
        </xdr:cNvSpPr>
      </xdr:nvSpPr>
      <xdr:spPr bwMode="auto">
        <a:xfrm>
          <a:off x="6734175" y="6600825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5</xdr:col>
      <xdr:colOff>0</xdr:colOff>
      <xdr:row>40</xdr:row>
      <xdr:rowOff>0</xdr:rowOff>
    </xdr:from>
    <xdr:to>
      <xdr:col>5</xdr:col>
      <xdr:colOff>57150</xdr:colOff>
      <xdr:row>40</xdr:row>
      <xdr:rowOff>9525</xdr:rowOff>
    </xdr:to>
    <xdr:sp macro="" textlink="">
      <xdr:nvSpPr>
        <xdr:cNvPr id="2217" name="AutoShape 169" descr="Formula">
          <a:extLst>
            <a:ext uri="{FF2B5EF4-FFF2-40B4-BE49-F238E27FC236}">
              <a16:creationId xmlns:a16="http://schemas.microsoft.com/office/drawing/2014/main" id="{00000000-0008-0000-0300-0000A9080000}"/>
            </a:ext>
          </a:extLst>
        </xdr:cNvPr>
        <xdr:cNvSpPr>
          <a:spLocks noChangeAspect="1" noChangeArrowheads="1"/>
        </xdr:cNvSpPr>
      </xdr:nvSpPr>
      <xdr:spPr bwMode="auto">
        <a:xfrm>
          <a:off x="6734175" y="7115175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5</xdr:col>
      <xdr:colOff>0</xdr:colOff>
      <xdr:row>43</xdr:row>
      <xdr:rowOff>0</xdr:rowOff>
    </xdr:from>
    <xdr:to>
      <xdr:col>5</xdr:col>
      <xdr:colOff>57150</xdr:colOff>
      <xdr:row>43</xdr:row>
      <xdr:rowOff>9525</xdr:rowOff>
    </xdr:to>
    <xdr:sp macro="" textlink="">
      <xdr:nvSpPr>
        <xdr:cNvPr id="2220" name="AutoShape 172" descr="Formula">
          <a:extLst>
            <a:ext uri="{FF2B5EF4-FFF2-40B4-BE49-F238E27FC236}">
              <a16:creationId xmlns:a16="http://schemas.microsoft.com/office/drawing/2014/main" id="{00000000-0008-0000-0300-0000AC080000}"/>
            </a:ext>
          </a:extLst>
        </xdr:cNvPr>
        <xdr:cNvSpPr>
          <a:spLocks noChangeAspect="1" noChangeArrowheads="1"/>
        </xdr:cNvSpPr>
      </xdr:nvSpPr>
      <xdr:spPr bwMode="auto">
        <a:xfrm>
          <a:off x="6734175" y="7629525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5</xdr:col>
      <xdr:colOff>0</xdr:colOff>
      <xdr:row>46</xdr:row>
      <xdr:rowOff>0</xdr:rowOff>
    </xdr:from>
    <xdr:to>
      <xdr:col>5</xdr:col>
      <xdr:colOff>57150</xdr:colOff>
      <xdr:row>46</xdr:row>
      <xdr:rowOff>9525</xdr:rowOff>
    </xdr:to>
    <xdr:sp macro="" textlink="">
      <xdr:nvSpPr>
        <xdr:cNvPr id="2223" name="AutoShape 175" descr="Formula">
          <a:extLst>
            <a:ext uri="{FF2B5EF4-FFF2-40B4-BE49-F238E27FC236}">
              <a16:creationId xmlns:a16="http://schemas.microsoft.com/office/drawing/2014/main" id="{00000000-0008-0000-0300-0000AF080000}"/>
            </a:ext>
          </a:extLst>
        </xdr:cNvPr>
        <xdr:cNvSpPr>
          <a:spLocks noChangeAspect="1" noChangeArrowheads="1"/>
        </xdr:cNvSpPr>
      </xdr:nvSpPr>
      <xdr:spPr bwMode="auto">
        <a:xfrm>
          <a:off x="6734175" y="8143875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5</xdr:col>
      <xdr:colOff>0</xdr:colOff>
      <xdr:row>49</xdr:row>
      <xdr:rowOff>0</xdr:rowOff>
    </xdr:from>
    <xdr:to>
      <xdr:col>5</xdr:col>
      <xdr:colOff>57150</xdr:colOff>
      <xdr:row>49</xdr:row>
      <xdr:rowOff>9525</xdr:rowOff>
    </xdr:to>
    <xdr:sp macro="" textlink="">
      <xdr:nvSpPr>
        <xdr:cNvPr id="2226" name="AutoShape 178" descr="Formula">
          <a:extLst>
            <a:ext uri="{FF2B5EF4-FFF2-40B4-BE49-F238E27FC236}">
              <a16:creationId xmlns:a16="http://schemas.microsoft.com/office/drawing/2014/main" id="{00000000-0008-0000-0300-0000B2080000}"/>
            </a:ext>
          </a:extLst>
        </xdr:cNvPr>
        <xdr:cNvSpPr>
          <a:spLocks noChangeAspect="1" noChangeArrowheads="1"/>
        </xdr:cNvSpPr>
      </xdr:nvSpPr>
      <xdr:spPr bwMode="auto">
        <a:xfrm>
          <a:off x="6734175" y="8658225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5</xdr:col>
      <xdr:colOff>0</xdr:colOff>
      <xdr:row>55</xdr:row>
      <xdr:rowOff>0</xdr:rowOff>
    </xdr:from>
    <xdr:to>
      <xdr:col>5</xdr:col>
      <xdr:colOff>57150</xdr:colOff>
      <xdr:row>55</xdr:row>
      <xdr:rowOff>9525</xdr:rowOff>
    </xdr:to>
    <xdr:sp macro="" textlink="">
      <xdr:nvSpPr>
        <xdr:cNvPr id="171" name="AutoShape 47" descr="Formula">
          <a:extLst>
            <a:ext uri="{FF2B5EF4-FFF2-40B4-BE49-F238E27FC236}">
              <a16:creationId xmlns:a16="http://schemas.microsoft.com/office/drawing/2014/main" id="{00000000-0008-0000-0300-0000AB000000}"/>
            </a:ext>
          </a:extLst>
        </xdr:cNvPr>
        <xdr:cNvSpPr>
          <a:spLocks noChangeAspect="1" noChangeArrowheads="1"/>
        </xdr:cNvSpPr>
      </xdr:nvSpPr>
      <xdr:spPr bwMode="auto">
        <a:xfrm>
          <a:off x="6734735" y="8325971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5</xdr:col>
      <xdr:colOff>0</xdr:colOff>
      <xdr:row>55</xdr:row>
      <xdr:rowOff>0</xdr:rowOff>
    </xdr:from>
    <xdr:to>
      <xdr:col>5</xdr:col>
      <xdr:colOff>57150</xdr:colOff>
      <xdr:row>55</xdr:row>
      <xdr:rowOff>9525</xdr:rowOff>
    </xdr:to>
    <xdr:sp macro="" textlink="">
      <xdr:nvSpPr>
        <xdr:cNvPr id="178" name="AutoShape 178" descr="Formula">
          <a:extLst>
            <a:ext uri="{FF2B5EF4-FFF2-40B4-BE49-F238E27FC236}">
              <a16:creationId xmlns:a16="http://schemas.microsoft.com/office/drawing/2014/main" id="{00000000-0008-0000-0300-0000B2000000}"/>
            </a:ext>
          </a:extLst>
        </xdr:cNvPr>
        <xdr:cNvSpPr>
          <a:spLocks noChangeAspect="1" noChangeArrowheads="1"/>
        </xdr:cNvSpPr>
      </xdr:nvSpPr>
      <xdr:spPr bwMode="auto">
        <a:xfrm>
          <a:off x="6734735" y="8325971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57150</xdr:colOff>
      <xdr:row>4</xdr:row>
      <xdr:rowOff>9525</xdr:rowOff>
    </xdr:to>
    <xdr:sp macro="" textlink="">
      <xdr:nvSpPr>
        <xdr:cNvPr id="74" name="AutoShape 2" descr="Formula">
          <a:extLst>
            <a:ext uri="{FF2B5EF4-FFF2-40B4-BE49-F238E27FC236}">
              <a16:creationId xmlns:a16="http://schemas.microsoft.com/office/drawing/2014/main" id="{00000000-0008-0000-0300-00004A000000}"/>
            </a:ext>
          </a:extLst>
        </xdr:cNvPr>
        <xdr:cNvSpPr>
          <a:spLocks noChangeAspect="1" noChangeArrowheads="1"/>
        </xdr:cNvSpPr>
      </xdr:nvSpPr>
      <xdr:spPr bwMode="auto">
        <a:xfrm>
          <a:off x="2438400" y="0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5</xdr:col>
      <xdr:colOff>0</xdr:colOff>
      <xdr:row>10</xdr:row>
      <xdr:rowOff>0</xdr:rowOff>
    </xdr:from>
    <xdr:to>
      <xdr:col>5</xdr:col>
      <xdr:colOff>57150</xdr:colOff>
      <xdr:row>10</xdr:row>
      <xdr:rowOff>9525</xdr:rowOff>
    </xdr:to>
    <xdr:sp macro="" textlink="">
      <xdr:nvSpPr>
        <xdr:cNvPr id="76" name="AutoShape 8" descr="Formula">
          <a:extLst>
            <a:ext uri="{FF2B5EF4-FFF2-40B4-BE49-F238E27FC236}">
              <a16:creationId xmlns:a16="http://schemas.microsoft.com/office/drawing/2014/main" id="{00000000-0008-0000-0300-00004C000000}"/>
            </a:ext>
          </a:extLst>
        </xdr:cNvPr>
        <xdr:cNvSpPr>
          <a:spLocks noChangeAspect="1" noChangeArrowheads="1"/>
        </xdr:cNvSpPr>
      </xdr:nvSpPr>
      <xdr:spPr bwMode="auto">
        <a:xfrm>
          <a:off x="2438400" y="1143000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5</xdr:col>
      <xdr:colOff>0</xdr:colOff>
      <xdr:row>19</xdr:row>
      <xdr:rowOff>0</xdr:rowOff>
    </xdr:from>
    <xdr:to>
      <xdr:col>5</xdr:col>
      <xdr:colOff>57150</xdr:colOff>
      <xdr:row>19</xdr:row>
      <xdr:rowOff>9525</xdr:rowOff>
    </xdr:to>
    <xdr:sp macro="" textlink="">
      <xdr:nvSpPr>
        <xdr:cNvPr id="77" name="AutoShape 17" descr="Formula">
          <a:extLst>
            <a:ext uri="{FF2B5EF4-FFF2-40B4-BE49-F238E27FC236}">
              <a16:creationId xmlns:a16="http://schemas.microsoft.com/office/drawing/2014/main" id="{00000000-0008-0000-0300-00004D000000}"/>
            </a:ext>
          </a:extLst>
        </xdr:cNvPr>
        <xdr:cNvSpPr>
          <a:spLocks noChangeAspect="1" noChangeArrowheads="1"/>
        </xdr:cNvSpPr>
      </xdr:nvSpPr>
      <xdr:spPr bwMode="auto">
        <a:xfrm>
          <a:off x="2438400" y="2857500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5</xdr:col>
      <xdr:colOff>0</xdr:colOff>
      <xdr:row>22</xdr:row>
      <xdr:rowOff>0</xdr:rowOff>
    </xdr:from>
    <xdr:to>
      <xdr:col>5</xdr:col>
      <xdr:colOff>57150</xdr:colOff>
      <xdr:row>22</xdr:row>
      <xdr:rowOff>9525</xdr:rowOff>
    </xdr:to>
    <xdr:sp macro="" textlink="">
      <xdr:nvSpPr>
        <xdr:cNvPr id="78" name="AutoShape 20" descr="Formula">
          <a:extLst>
            <a:ext uri="{FF2B5EF4-FFF2-40B4-BE49-F238E27FC236}">
              <a16:creationId xmlns:a16="http://schemas.microsoft.com/office/drawing/2014/main" id="{00000000-0008-0000-0300-00004E000000}"/>
            </a:ext>
          </a:extLst>
        </xdr:cNvPr>
        <xdr:cNvSpPr>
          <a:spLocks noChangeAspect="1" noChangeArrowheads="1"/>
        </xdr:cNvSpPr>
      </xdr:nvSpPr>
      <xdr:spPr bwMode="auto">
        <a:xfrm>
          <a:off x="2438400" y="3429000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57150</xdr:colOff>
      <xdr:row>25</xdr:row>
      <xdr:rowOff>9525</xdr:rowOff>
    </xdr:to>
    <xdr:sp macro="" textlink="">
      <xdr:nvSpPr>
        <xdr:cNvPr id="79" name="AutoShape 23" descr="Formula">
          <a:extLst>
            <a:ext uri="{FF2B5EF4-FFF2-40B4-BE49-F238E27FC236}">
              <a16:creationId xmlns:a16="http://schemas.microsoft.com/office/drawing/2014/main" id="{00000000-0008-0000-0300-00004F000000}"/>
            </a:ext>
          </a:extLst>
        </xdr:cNvPr>
        <xdr:cNvSpPr>
          <a:spLocks noChangeAspect="1" noChangeArrowheads="1"/>
        </xdr:cNvSpPr>
      </xdr:nvSpPr>
      <xdr:spPr bwMode="auto">
        <a:xfrm>
          <a:off x="2438400" y="4000500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5</xdr:col>
      <xdr:colOff>0</xdr:colOff>
      <xdr:row>28</xdr:row>
      <xdr:rowOff>0</xdr:rowOff>
    </xdr:from>
    <xdr:to>
      <xdr:col>5</xdr:col>
      <xdr:colOff>57150</xdr:colOff>
      <xdr:row>28</xdr:row>
      <xdr:rowOff>9525</xdr:rowOff>
    </xdr:to>
    <xdr:sp macro="" textlink="">
      <xdr:nvSpPr>
        <xdr:cNvPr id="80" name="AutoShape 26" descr="Formula">
          <a:extLst>
            <a:ext uri="{FF2B5EF4-FFF2-40B4-BE49-F238E27FC236}">
              <a16:creationId xmlns:a16="http://schemas.microsoft.com/office/drawing/2014/main" id="{00000000-0008-0000-0300-000050000000}"/>
            </a:ext>
          </a:extLst>
        </xdr:cNvPr>
        <xdr:cNvSpPr>
          <a:spLocks noChangeAspect="1" noChangeArrowheads="1"/>
        </xdr:cNvSpPr>
      </xdr:nvSpPr>
      <xdr:spPr bwMode="auto">
        <a:xfrm>
          <a:off x="2438400" y="4572000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5</xdr:col>
      <xdr:colOff>0</xdr:colOff>
      <xdr:row>31</xdr:row>
      <xdr:rowOff>0</xdr:rowOff>
    </xdr:from>
    <xdr:to>
      <xdr:col>5</xdr:col>
      <xdr:colOff>57150</xdr:colOff>
      <xdr:row>31</xdr:row>
      <xdr:rowOff>9525</xdr:rowOff>
    </xdr:to>
    <xdr:sp macro="" textlink="">
      <xdr:nvSpPr>
        <xdr:cNvPr id="81" name="AutoShape 29" descr="Formula">
          <a:extLst>
            <a:ext uri="{FF2B5EF4-FFF2-40B4-BE49-F238E27FC236}">
              <a16:creationId xmlns:a16="http://schemas.microsoft.com/office/drawing/2014/main" id="{00000000-0008-0000-0300-000051000000}"/>
            </a:ext>
          </a:extLst>
        </xdr:cNvPr>
        <xdr:cNvSpPr>
          <a:spLocks noChangeAspect="1" noChangeArrowheads="1"/>
        </xdr:cNvSpPr>
      </xdr:nvSpPr>
      <xdr:spPr bwMode="auto">
        <a:xfrm>
          <a:off x="2438400" y="5143500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5</xdr:col>
      <xdr:colOff>0</xdr:colOff>
      <xdr:row>34</xdr:row>
      <xdr:rowOff>0</xdr:rowOff>
    </xdr:from>
    <xdr:to>
      <xdr:col>5</xdr:col>
      <xdr:colOff>57150</xdr:colOff>
      <xdr:row>34</xdr:row>
      <xdr:rowOff>9525</xdr:rowOff>
    </xdr:to>
    <xdr:sp macro="" textlink="">
      <xdr:nvSpPr>
        <xdr:cNvPr id="82" name="AutoShape 32" descr="Formula">
          <a:extLst>
            <a:ext uri="{FF2B5EF4-FFF2-40B4-BE49-F238E27FC236}">
              <a16:creationId xmlns:a16="http://schemas.microsoft.com/office/drawing/2014/main" id="{00000000-0008-0000-0300-000052000000}"/>
            </a:ext>
          </a:extLst>
        </xdr:cNvPr>
        <xdr:cNvSpPr>
          <a:spLocks noChangeAspect="1" noChangeArrowheads="1"/>
        </xdr:cNvSpPr>
      </xdr:nvSpPr>
      <xdr:spPr bwMode="auto">
        <a:xfrm>
          <a:off x="2438400" y="5715000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5</xdr:col>
      <xdr:colOff>0</xdr:colOff>
      <xdr:row>37</xdr:row>
      <xdr:rowOff>0</xdr:rowOff>
    </xdr:from>
    <xdr:to>
      <xdr:col>5</xdr:col>
      <xdr:colOff>57150</xdr:colOff>
      <xdr:row>37</xdr:row>
      <xdr:rowOff>9525</xdr:rowOff>
    </xdr:to>
    <xdr:sp macro="" textlink="">
      <xdr:nvSpPr>
        <xdr:cNvPr id="83" name="AutoShape 35" descr="Formula">
          <a:extLst>
            <a:ext uri="{FF2B5EF4-FFF2-40B4-BE49-F238E27FC236}">
              <a16:creationId xmlns:a16="http://schemas.microsoft.com/office/drawing/2014/main" id="{00000000-0008-0000-0300-000053000000}"/>
            </a:ext>
          </a:extLst>
        </xdr:cNvPr>
        <xdr:cNvSpPr>
          <a:spLocks noChangeAspect="1" noChangeArrowheads="1"/>
        </xdr:cNvSpPr>
      </xdr:nvSpPr>
      <xdr:spPr bwMode="auto">
        <a:xfrm>
          <a:off x="2438400" y="6286500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5</xdr:col>
      <xdr:colOff>0</xdr:colOff>
      <xdr:row>40</xdr:row>
      <xdr:rowOff>0</xdr:rowOff>
    </xdr:from>
    <xdr:to>
      <xdr:col>5</xdr:col>
      <xdr:colOff>57150</xdr:colOff>
      <xdr:row>40</xdr:row>
      <xdr:rowOff>9525</xdr:rowOff>
    </xdr:to>
    <xdr:sp macro="" textlink="">
      <xdr:nvSpPr>
        <xdr:cNvPr id="84" name="AutoShape 38" descr="Formula">
          <a:extLst>
            <a:ext uri="{FF2B5EF4-FFF2-40B4-BE49-F238E27FC236}">
              <a16:creationId xmlns:a16="http://schemas.microsoft.com/office/drawing/2014/main" id="{00000000-0008-0000-0300-000054000000}"/>
            </a:ext>
          </a:extLst>
        </xdr:cNvPr>
        <xdr:cNvSpPr>
          <a:spLocks noChangeAspect="1" noChangeArrowheads="1"/>
        </xdr:cNvSpPr>
      </xdr:nvSpPr>
      <xdr:spPr bwMode="auto">
        <a:xfrm>
          <a:off x="2438400" y="6858000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5</xdr:col>
      <xdr:colOff>0</xdr:colOff>
      <xdr:row>43</xdr:row>
      <xdr:rowOff>0</xdr:rowOff>
    </xdr:from>
    <xdr:to>
      <xdr:col>5</xdr:col>
      <xdr:colOff>57150</xdr:colOff>
      <xdr:row>43</xdr:row>
      <xdr:rowOff>9525</xdr:rowOff>
    </xdr:to>
    <xdr:sp macro="" textlink="">
      <xdr:nvSpPr>
        <xdr:cNvPr id="85" name="AutoShape 41" descr="Formula">
          <a:extLst>
            <a:ext uri="{FF2B5EF4-FFF2-40B4-BE49-F238E27FC236}">
              <a16:creationId xmlns:a16="http://schemas.microsoft.com/office/drawing/2014/main" id="{00000000-0008-0000-0300-000055000000}"/>
            </a:ext>
          </a:extLst>
        </xdr:cNvPr>
        <xdr:cNvSpPr>
          <a:spLocks noChangeAspect="1" noChangeArrowheads="1"/>
        </xdr:cNvSpPr>
      </xdr:nvSpPr>
      <xdr:spPr bwMode="auto">
        <a:xfrm>
          <a:off x="2438400" y="7429500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5</xdr:col>
      <xdr:colOff>0</xdr:colOff>
      <xdr:row>46</xdr:row>
      <xdr:rowOff>0</xdr:rowOff>
    </xdr:from>
    <xdr:to>
      <xdr:col>5</xdr:col>
      <xdr:colOff>57150</xdr:colOff>
      <xdr:row>46</xdr:row>
      <xdr:rowOff>9525</xdr:rowOff>
    </xdr:to>
    <xdr:sp macro="" textlink="">
      <xdr:nvSpPr>
        <xdr:cNvPr id="86" name="AutoShape 44" descr="Formula">
          <a:extLst>
            <a:ext uri="{FF2B5EF4-FFF2-40B4-BE49-F238E27FC236}">
              <a16:creationId xmlns:a16="http://schemas.microsoft.com/office/drawing/2014/main" id="{00000000-0008-0000-0300-000056000000}"/>
            </a:ext>
          </a:extLst>
        </xdr:cNvPr>
        <xdr:cNvSpPr>
          <a:spLocks noChangeAspect="1" noChangeArrowheads="1"/>
        </xdr:cNvSpPr>
      </xdr:nvSpPr>
      <xdr:spPr bwMode="auto">
        <a:xfrm>
          <a:off x="2438400" y="8001000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5</xdr:col>
      <xdr:colOff>0</xdr:colOff>
      <xdr:row>49</xdr:row>
      <xdr:rowOff>0</xdr:rowOff>
    </xdr:from>
    <xdr:to>
      <xdr:col>5</xdr:col>
      <xdr:colOff>57150</xdr:colOff>
      <xdr:row>49</xdr:row>
      <xdr:rowOff>9525</xdr:rowOff>
    </xdr:to>
    <xdr:sp macro="" textlink="">
      <xdr:nvSpPr>
        <xdr:cNvPr id="87" name="AutoShape 47" descr="Formula">
          <a:extLst>
            <a:ext uri="{FF2B5EF4-FFF2-40B4-BE49-F238E27FC236}">
              <a16:creationId xmlns:a16="http://schemas.microsoft.com/office/drawing/2014/main" id="{00000000-0008-0000-0300-000057000000}"/>
            </a:ext>
          </a:extLst>
        </xdr:cNvPr>
        <xdr:cNvSpPr>
          <a:spLocks noChangeAspect="1" noChangeArrowheads="1"/>
        </xdr:cNvSpPr>
      </xdr:nvSpPr>
      <xdr:spPr bwMode="auto">
        <a:xfrm>
          <a:off x="2438400" y="8572500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5</xdr:col>
      <xdr:colOff>0</xdr:colOff>
      <xdr:row>52</xdr:row>
      <xdr:rowOff>0</xdr:rowOff>
    </xdr:from>
    <xdr:to>
      <xdr:col>5</xdr:col>
      <xdr:colOff>57150</xdr:colOff>
      <xdr:row>52</xdr:row>
      <xdr:rowOff>9525</xdr:rowOff>
    </xdr:to>
    <xdr:sp macro="" textlink="">
      <xdr:nvSpPr>
        <xdr:cNvPr id="88" name="AutoShape 50" descr="Formula">
          <a:extLst>
            <a:ext uri="{FF2B5EF4-FFF2-40B4-BE49-F238E27FC236}">
              <a16:creationId xmlns:a16="http://schemas.microsoft.com/office/drawing/2014/main" id="{00000000-0008-0000-0300-000058000000}"/>
            </a:ext>
          </a:extLst>
        </xdr:cNvPr>
        <xdr:cNvSpPr>
          <a:spLocks noChangeAspect="1" noChangeArrowheads="1"/>
        </xdr:cNvSpPr>
      </xdr:nvSpPr>
      <xdr:spPr bwMode="auto">
        <a:xfrm>
          <a:off x="2438400" y="9144000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57150</xdr:colOff>
      <xdr:row>4</xdr:row>
      <xdr:rowOff>9525</xdr:rowOff>
    </xdr:to>
    <xdr:sp macro="" textlink="">
      <xdr:nvSpPr>
        <xdr:cNvPr id="89" name="AutoShape 55" descr="Formula">
          <a:extLst>
            <a:ext uri="{FF2B5EF4-FFF2-40B4-BE49-F238E27FC236}">
              <a16:creationId xmlns:a16="http://schemas.microsoft.com/office/drawing/2014/main" id="{00000000-0008-0000-0300-00005900000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0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5</xdr:col>
      <xdr:colOff>0</xdr:colOff>
      <xdr:row>31</xdr:row>
      <xdr:rowOff>0</xdr:rowOff>
    </xdr:from>
    <xdr:to>
      <xdr:col>5</xdr:col>
      <xdr:colOff>57150</xdr:colOff>
      <xdr:row>31</xdr:row>
      <xdr:rowOff>9525</xdr:rowOff>
    </xdr:to>
    <xdr:sp macro="" textlink="">
      <xdr:nvSpPr>
        <xdr:cNvPr id="106" name="AutoShape 162" descr="Formula">
          <a:extLst>
            <a:ext uri="{FF2B5EF4-FFF2-40B4-BE49-F238E27FC236}">
              <a16:creationId xmlns:a16="http://schemas.microsoft.com/office/drawing/2014/main" id="{00000000-0008-0000-0300-00006A000000}"/>
            </a:ext>
          </a:extLst>
        </xdr:cNvPr>
        <xdr:cNvSpPr>
          <a:spLocks noChangeAspect="1" noChangeArrowheads="1"/>
        </xdr:cNvSpPr>
      </xdr:nvSpPr>
      <xdr:spPr bwMode="auto">
        <a:xfrm>
          <a:off x="2438400" y="5143500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5</xdr:col>
      <xdr:colOff>0</xdr:colOff>
      <xdr:row>37</xdr:row>
      <xdr:rowOff>0</xdr:rowOff>
    </xdr:from>
    <xdr:to>
      <xdr:col>5</xdr:col>
      <xdr:colOff>57150</xdr:colOff>
      <xdr:row>37</xdr:row>
      <xdr:rowOff>9525</xdr:rowOff>
    </xdr:to>
    <xdr:sp macro="" textlink="">
      <xdr:nvSpPr>
        <xdr:cNvPr id="107" name="AutoShape 167" descr="Formula">
          <a:extLst>
            <a:ext uri="{FF2B5EF4-FFF2-40B4-BE49-F238E27FC236}">
              <a16:creationId xmlns:a16="http://schemas.microsoft.com/office/drawing/2014/main" id="{00000000-0008-0000-0300-00006B000000}"/>
            </a:ext>
          </a:extLst>
        </xdr:cNvPr>
        <xdr:cNvSpPr>
          <a:spLocks noChangeAspect="1" noChangeArrowheads="1"/>
        </xdr:cNvSpPr>
      </xdr:nvSpPr>
      <xdr:spPr bwMode="auto">
        <a:xfrm>
          <a:off x="2438400" y="6286500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5</xdr:col>
      <xdr:colOff>0</xdr:colOff>
      <xdr:row>40</xdr:row>
      <xdr:rowOff>0</xdr:rowOff>
    </xdr:from>
    <xdr:to>
      <xdr:col>5</xdr:col>
      <xdr:colOff>57150</xdr:colOff>
      <xdr:row>40</xdr:row>
      <xdr:rowOff>9525</xdr:rowOff>
    </xdr:to>
    <xdr:sp macro="" textlink="">
      <xdr:nvSpPr>
        <xdr:cNvPr id="108" name="AutoShape 169" descr="Formula">
          <a:extLst>
            <a:ext uri="{FF2B5EF4-FFF2-40B4-BE49-F238E27FC236}">
              <a16:creationId xmlns:a16="http://schemas.microsoft.com/office/drawing/2014/main" id="{00000000-0008-0000-0300-00006C000000}"/>
            </a:ext>
          </a:extLst>
        </xdr:cNvPr>
        <xdr:cNvSpPr>
          <a:spLocks noChangeAspect="1" noChangeArrowheads="1"/>
        </xdr:cNvSpPr>
      </xdr:nvSpPr>
      <xdr:spPr bwMode="auto">
        <a:xfrm>
          <a:off x="2438400" y="6858000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5</xdr:col>
      <xdr:colOff>0</xdr:colOff>
      <xdr:row>43</xdr:row>
      <xdr:rowOff>0</xdr:rowOff>
    </xdr:from>
    <xdr:to>
      <xdr:col>5</xdr:col>
      <xdr:colOff>57150</xdr:colOff>
      <xdr:row>43</xdr:row>
      <xdr:rowOff>9525</xdr:rowOff>
    </xdr:to>
    <xdr:sp macro="" textlink="">
      <xdr:nvSpPr>
        <xdr:cNvPr id="109" name="AutoShape 172" descr="Formula">
          <a:extLst>
            <a:ext uri="{FF2B5EF4-FFF2-40B4-BE49-F238E27FC236}">
              <a16:creationId xmlns:a16="http://schemas.microsoft.com/office/drawing/2014/main" id="{00000000-0008-0000-0300-00006D000000}"/>
            </a:ext>
          </a:extLst>
        </xdr:cNvPr>
        <xdr:cNvSpPr>
          <a:spLocks noChangeAspect="1" noChangeArrowheads="1"/>
        </xdr:cNvSpPr>
      </xdr:nvSpPr>
      <xdr:spPr bwMode="auto">
        <a:xfrm>
          <a:off x="2438400" y="7429500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5</xdr:col>
      <xdr:colOff>0</xdr:colOff>
      <xdr:row>46</xdr:row>
      <xdr:rowOff>0</xdr:rowOff>
    </xdr:from>
    <xdr:to>
      <xdr:col>5</xdr:col>
      <xdr:colOff>57150</xdr:colOff>
      <xdr:row>46</xdr:row>
      <xdr:rowOff>9525</xdr:rowOff>
    </xdr:to>
    <xdr:sp macro="" textlink="">
      <xdr:nvSpPr>
        <xdr:cNvPr id="110" name="AutoShape 175" descr="Formula">
          <a:extLst>
            <a:ext uri="{FF2B5EF4-FFF2-40B4-BE49-F238E27FC236}">
              <a16:creationId xmlns:a16="http://schemas.microsoft.com/office/drawing/2014/main" id="{00000000-0008-0000-0300-00006E000000}"/>
            </a:ext>
          </a:extLst>
        </xdr:cNvPr>
        <xdr:cNvSpPr>
          <a:spLocks noChangeAspect="1" noChangeArrowheads="1"/>
        </xdr:cNvSpPr>
      </xdr:nvSpPr>
      <xdr:spPr bwMode="auto">
        <a:xfrm>
          <a:off x="2438400" y="8001000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5</xdr:col>
      <xdr:colOff>0</xdr:colOff>
      <xdr:row>49</xdr:row>
      <xdr:rowOff>0</xdr:rowOff>
    </xdr:from>
    <xdr:to>
      <xdr:col>5</xdr:col>
      <xdr:colOff>57150</xdr:colOff>
      <xdr:row>49</xdr:row>
      <xdr:rowOff>9525</xdr:rowOff>
    </xdr:to>
    <xdr:sp macro="" textlink="">
      <xdr:nvSpPr>
        <xdr:cNvPr id="111" name="AutoShape 178" descr="Formula">
          <a:extLst>
            <a:ext uri="{FF2B5EF4-FFF2-40B4-BE49-F238E27FC236}">
              <a16:creationId xmlns:a16="http://schemas.microsoft.com/office/drawing/2014/main" id="{00000000-0008-0000-0300-00006F000000}"/>
            </a:ext>
          </a:extLst>
        </xdr:cNvPr>
        <xdr:cNvSpPr>
          <a:spLocks noChangeAspect="1" noChangeArrowheads="1"/>
        </xdr:cNvSpPr>
      </xdr:nvSpPr>
      <xdr:spPr bwMode="auto">
        <a:xfrm>
          <a:off x="2438400" y="8572500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5</xdr:col>
      <xdr:colOff>0</xdr:colOff>
      <xdr:row>55</xdr:row>
      <xdr:rowOff>0</xdr:rowOff>
    </xdr:from>
    <xdr:to>
      <xdr:col>5</xdr:col>
      <xdr:colOff>57150</xdr:colOff>
      <xdr:row>55</xdr:row>
      <xdr:rowOff>9525</xdr:rowOff>
    </xdr:to>
    <xdr:sp macro="" textlink="">
      <xdr:nvSpPr>
        <xdr:cNvPr id="112" name="AutoShape 47" descr="Formula">
          <a:extLst>
            <a:ext uri="{FF2B5EF4-FFF2-40B4-BE49-F238E27FC236}">
              <a16:creationId xmlns:a16="http://schemas.microsoft.com/office/drawing/2014/main" id="{00000000-0008-0000-0300-000070000000}"/>
            </a:ext>
          </a:extLst>
        </xdr:cNvPr>
        <xdr:cNvSpPr>
          <a:spLocks noChangeAspect="1" noChangeArrowheads="1"/>
        </xdr:cNvSpPr>
      </xdr:nvSpPr>
      <xdr:spPr bwMode="auto">
        <a:xfrm>
          <a:off x="2438400" y="9715500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5</xdr:col>
      <xdr:colOff>0</xdr:colOff>
      <xdr:row>55</xdr:row>
      <xdr:rowOff>0</xdr:rowOff>
    </xdr:from>
    <xdr:to>
      <xdr:col>5</xdr:col>
      <xdr:colOff>57150</xdr:colOff>
      <xdr:row>55</xdr:row>
      <xdr:rowOff>9525</xdr:rowOff>
    </xdr:to>
    <xdr:sp macro="" textlink="">
      <xdr:nvSpPr>
        <xdr:cNvPr id="116" name="AutoShape 178" descr="Formula">
          <a:extLst>
            <a:ext uri="{FF2B5EF4-FFF2-40B4-BE49-F238E27FC236}">
              <a16:creationId xmlns:a16="http://schemas.microsoft.com/office/drawing/2014/main" id="{00000000-0008-0000-0300-000074000000}"/>
            </a:ext>
          </a:extLst>
        </xdr:cNvPr>
        <xdr:cNvSpPr>
          <a:spLocks noChangeAspect="1" noChangeArrowheads="1"/>
        </xdr:cNvSpPr>
      </xdr:nvSpPr>
      <xdr:spPr bwMode="auto">
        <a:xfrm>
          <a:off x="2438400" y="9715500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5</xdr:col>
      <xdr:colOff>0</xdr:colOff>
      <xdr:row>22</xdr:row>
      <xdr:rowOff>0</xdr:rowOff>
    </xdr:from>
    <xdr:to>
      <xdr:col>5</xdr:col>
      <xdr:colOff>57150</xdr:colOff>
      <xdr:row>22</xdr:row>
      <xdr:rowOff>9525</xdr:rowOff>
    </xdr:to>
    <xdr:sp macro="" textlink="">
      <xdr:nvSpPr>
        <xdr:cNvPr id="55" name="AutoShape 17" descr="Formula">
          <a:extLst>
            <a:ext uri="{FF2B5EF4-FFF2-40B4-BE49-F238E27FC236}">
              <a16:creationId xmlns:a16="http://schemas.microsoft.com/office/drawing/2014/main" id="{00000000-0008-0000-0300-000037000000}"/>
            </a:ext>
          </a:extLst>
        </xdr:cNvPr>
        <xdr:cNvSpPr>
          <a:spLocks noChangeAspect="1" noChangeArrowheads="1"/>
        </xdr:cNvSpPr>
      </xdr:nvSpPr>
      <xdr:spPr bwMode="auto">
        <a:xfrm>
          <a:off x="7639050" y="3171825"/>
          <a:ext cx="57150" cy="9525"/>
        </a:xfrm>
        <a:prstGeom prst="rect">
          <a:avLst/>
        </a:prstGeom>
        <a:noFill/>
      </xdr:spPr>
    </xdr:sp>
    <xdr:clientData/>
  </xdr:twoCellAnchor>
  <xdr:twoCellAnchor editAs="oneCell">
    <xdr:from>
      <xdr:col>5</xdr:col>
      <xdr:colOff>0</xdr:colOff>
      <xdr:row>22</xdr:row>
      <xdr:rowOff>0</xdr:rowOff>
    </xdr:from>
    <xdr:to>
      <xdr:col>5</xdr:col>
      <xdr:colOff>57150</xdr:colOff>
      <xdr:row>22</xdr:row>
      <xdr:rowOff>9525</xdr:rowOff>
    </xdr:to>
    <xdr:sp macro="" textlink="">
      <xdr:nvSpPr>
        <xdr:cNvPr id="56" name="AutoShape 17" descr="Formula">
          <a:extLst>
            <a:ext uri="{FF2B5EF4-FFF2-40B4-BE49-F238E27FC236}">
              <a16:creationId xmlns:a16="http://schemas.microsoft.com/office/drawing/2014/main" id="{00000000-0008-0000-0300-000038000000}"/>
            </a:ext>
          </a:extLst>
        </xdr:cNvPr>
        <xdr:cNvSpPr>
          <a:spLocks noChangeAspect="1" noChangeArrowheads="1"/>
        </xdr:cNvSpPr>
      </xdr:nvSpPr>
      <xdr:spPr bwMode="auto">
        <a:xfrm>
          <a:off x="7639050" y="3171825"/>
          <a:ext cx="57150" cy="9525"/>
        </a:xfrm>
        <a:prstGeom prst="rect">
          <a:avLst/>
        </a:prstGeom>
        <a:noFill/>
      </xdr:spPr>
    </xdr:sp>
    <xdr:clientData/>
  </xdr:twoCellAnchor>
  <xdr:oneCellAnchor>
    <xdr:from>
      <xdr:col>5</xdr:col>
      <xdr:colOff>0</xdr:colOff>
      <xdr:row>7</xdr:row>
      <xdr:rowOff>0</xdr:rowOff>
    </xdr:from>
    <xdr:ext cx="57150" cy="9525"/>
    <xdr:sp macro="" textlink="">
      <xdr:nvSpPr>
        <xdr:cNvPr id="53" name="AutoShape 2" descr="Formula">
          <a:extLst>
            <a:ext uri="{FF2B5EF4-FFF2-40B4-BE49-F238E27FC236}">
              <a16:creationId xmlns:a16="http://schemas.microsoft.com/office/drawing/2014/main" id="{00000000-0008-0000-0300-000035000000}"/>
            </a:ext>
          </a:extLst>
        </xdr:cNvPr>
        <xdr:cNvSpPr>
          <a:spLocks noChangeAspect="1" noChangeArrowheads="1"/>
        </xdr:cNvSpPr>
      </xdr:nvSpPr>
      <xdr:spPr bwMode="auto">
        <a:xfrm>
          <a:off x="7639050" y="742950"/>
          <a:ext cx="57150" cy="9525"/>
        </a:xfrm>
        <a:prstGeom prst="rect">
          <a:avLst/>
        </a:prstGeom>
        <a:noFill/>
      </xdr:spPr>
    </xdr:sp>
    <xdr:clientData/>
  </xdr:oneCellAnchor>
  <xdr:oneCellAnchor>
    <xdr:from>
      <xdr:col>5</xdr:col>
      <xdr:colOff>0</xdr:colOff>
      <xdr:row>7</xdr:row>
      <xdr:rowOff>0</xdr:rowOff>
    </xdr:from>
    <xdr:ext cx="57150" cy="9525"/>
    <xdr:sp macro="" textlink="">
      <xdr:nvSpPr>
        <xdr:cNvPr id="54" name="AutoShape 2" descr="Formula">
          <a:extLst>
            <a:ext uri="{FF2B5EF4-FFF2-40B4-BE49-F238E27FC236}">
              <a16:creationId xmlns:a16="http://schemas.microsoft.com/office/drawing/2014/main" id="{00000000-0008-0000-0300-000036000000}"/>
            </a:ext>
          </a:extLst>
        </xdr:cNvPr>
        <xdr:cNvSpPr>
          <a:spLocks noChangeAspect="1" noChangeArrowheads="1"/>
        </xdr:cNvSpPr>
      </xdr:nvSpPr>
      <xdr:spPr bwMode="auto">
        <a:xfrm>
          <a:off x="7639050" y="742950"/>
          <a:ext cx="57150" cy="9525"/>
        </a:xfrm>
        <a:prstGeom prst="rect">
          <a:avLst/>
        </a:prstGeom>
        <a:noFill/>
      </xdr:spPr>
    </xdr:sp>
    <xdr:clientData/>
  </xdr:oneCellAnchor>
  <xdr:oneCellAnchor>
    <xdr:from>
      <xdr:col>5</xdr:col>
      <xdr:colOff>0</xdr:colOff>
      <xdr:row>40</xdr:row>
      <xdr:rowOff>0</xdr:rowOff>
    </xdr:from>
    <xdr:ext cx="57150" cy="9525"/>
    <xdr:sp macro="" textlink="">
      <xdr:nvSpPr>
        <xdr:cNvPr id="57" name="AutoShape 35" descr="Formula">
          <a:extLst>
            <a:ext uri="{FF2B5EF4-FFF2-40B4-BE49-F238E27FC236}">
              <a16:creationId xmlns:a16="http://schemas.microsoft.com/office/drawing/2014/main" id="{00000000-0008-0000-0300-000039000000}"/>
            </a:ext>
          </a:extLst>
        </xdr:cNvPr>
        <xdr:cNvSpPr>
          <a:spLocks noChangeAspect="1" noChangeArrowheads="1"/>
        </xdr:cNvSpPr>
      </xdr:nvSpPr>
      <xdr:spPr bwMode="auto">
        <a:xfrm>
          <a:off x="7639050" y="6086475"/>
          <a:ext cx="57150" cy="9525"/>
        </a:xfrm>
        <a:prstGeom prst="rect">
          <a:avLst/>
        </a:prstGeom>
        <a:noFill/>
      </xdr:spPr>
    </xdr:sp>
    <xdr:clientData/>
  </xdr:oneCellAnchor>
  <xdr:oneCellAnchor>
    <xdr:from>
      <xdr:col>5</xdr:col>
      <xdr:colOff>0</xdr:colOff>
      <xdr:row>40</xdr:row>
      <xdr:rowOff>0</xdr:rowOff>
    </xdr:from>
    <xdr:ext cx="57150" cy="9525"/>
    <xdr:sp macro="" textlink="">
      <xdr:nvSpPr>
        <xdr:cNvPr id="58" name="AutoShape 167" descr="Formula">
          <a:extLst>
            <a:ext uri="{FF2B5EF4-FFF2-40B4-BE49-F238E27FC236}">
              <a16:creationId xmlns:a16="http://schemas.microsoft.com/office/drawing/2014/main" id="{00000000-0008-0000-0300-00003A000000}"/>
            </a:ext>
          </a:extLst>
        </xdr:cNvPr>
        <xdr:cNvSpPr>
          <a:spLocks noChangeAspect="1" noChangeArrowheads="1"/>
        </xdr:cNvSpPr>
      </xdr:nvSpPr>
      <xdr:spPr bwMode="auto">
        <a:xfrm>
          <a:off x="7639050" y="6086475"/>
          <a:ext cx="57150" cy="9525"/>
        </a:xfrm>
        <a:prstGeom prst="rect">
          <a:avLst/>
        </a:prstGeom>
        <a:noFill/>
      </xdr:spPr>
    </xdr:sp>
    <xdr:clientData/>
  </xdr:oneCellAnchor>
  <xdr:oneCellAnchor>
    <xdr:from>
      <xdr:col>5</xdr:col>
      <xdr:colOff>0</xdr:colOff>
      <xdr:row>40</xdr:row>
      <xdr:rowOff>0</xdr:rowOff>
    </xdr:from>
    <xdr:ext cx="57150" cy="9525"/>
    <xdr:sp macro="" textlink="">
      <xdr:nvSpPr>
        <xdr:cNvPr id="59" name="AutoShape 35" descr="Formula">
          <a:extLst>
            <a:ext uri="{FF2B5EF4-FFF2-40B4-BE49-F238E27FC236}">
              <a16:creationId xmlns:a16="http://schemas.microsoft.com/office/drawing/2014/main" id="{00000000-0008-0000-0300-00003B000000}"/>
            </a:ext>
          </a:extLst>
        </xdr:cNvPr>
        <xdr:cNvSpPr>
          <a:spLocks noChangeAspect="1" noChangeArrowheads="1"/>
        </xdr:cNvSpPr>
      </xdr:nvSpPr>
      <xdr:spPr bwMode="auto">
        <a:xfrm>
          <a:off x="7639050" y="6086475"/>
          <a:ext cx="57150" cy="9525"/>
        </a:xfrm>
        <a:prstGeom prst="rect">
          <a:avLst/>
        </a:prstGeom>
        <a:noFill/>
      </xdr:spPr>
    </xdr:sp>
    <xdr:clientData/>
  </xdr:oneCellAnchor>
  <xdr:oneCellAnchor>
    <xdr:from>
      <xdr:col>5</xdr:col>
      <xdr:colOff>0</xdr:colOff>
      <xdr:row>40</xdr:row>
      <xdr:rowOff>0</xdr:rowOff>
    </xdr:from>
    <xdr:ext cx="57150" cy="9525"/>
    <xdr:sp macro="" textlink="">
      <xdr:nvSpPr>
        <xdr:cNvPr id="60" name="AutoShape 167" descr="Formula">
          <a:extLst>
            <a:ext uri="{FF2B5EF4-FFF2-40B4-BE49-F238E27FC236}">
              <a16:creationId xmlns:a16="http://schemas.microsoft.com/office/drawing/2014/main" id="{00000000-0008-0000-0300-00003C000000}"/>
            </a:ext>
          </a:extLst>
        </xdr:cNvPr>
        <xdr:cNvSpPr>
          <a:spLocks noChangeAspect="1" noChangeArrowheads="1"/>
        </xdr:cNvSpPr>
      </xdr:nvSpPr>
      <xdr:spPr bwMode="auto">
        <a:xfrm>
          <a:off x="7639050" y="6086475"/>
          <a:ext cx="57150" cy="9525"/>
        </a:xfrm>
        <a:prstGeom prst="rect">
          <a:avLst/>
        </a:prstGeom>
        <a:noFill/>
      </xdr:spPr>
    </xdr:sp>
    <xdr:clientData/>
  </xdr:oneCellAnchor>
  <xdr:oneCellAnchor>
    <xdr:from>
      <xdr:col>5</xdr:col>
      <xdr:colOff>0</xdr:colOff>
      <xdr:row>55</xdr:row>
      <xdr:rowOff>0</xdr:rowOff>
    </xdr:from>
    <xdr:ext cx="57150" cy="9525"/>
    <xdr:sp macro="" textlink="">
      <xdr:nvSpPr>
        <xdr:cNvPr id="61" name="AutoShape 50" descr="Formula">
          <a:extLst>
            <a:ext uri="{FF2B5EF4-FFF2-40B4-BE49-F238E27FC236}">
              <a16:creationId xmlns:a16="http://schemas.microsoft.com/office/drawing/2014/main" id="{00000000-0008-0000-0300-00003D000000}"/>
            </a:ext>
          </a:extLst>
        </xdr:cNvPr>
        <xdr:cNvSpPr>
          <a:spLocks noChangeAspect="1" noChangeArrowheads="1"/>
        </xdr:cNvSpPr>
      </xdr:nvSpPr>
      <xdr:spPr bwMode="auto">
        <a:xfrm>
          <a:off x="7639050" y="8515350"/>
          <a:ext cx="57150" cy="9525"/>
        </a:xfrm>
        <a:prstGeom prst="rect">
          <a:avLst/>
        </a:prstGeom>
        <a:noFill/>
      </xdr:spPr>
    </xdr:sp>
    <xdr:clientData/>
  </xdr:oneCellAnchor>
  <xdr:oneCellAnchor>
    <xdr:from>
      <xdr:col>5</xdr:col>
      <xdr:colOff>0</xdr:colOff>
      <xdr:row>55</xdr:row>
      <xdr:rowOff>0</xdr:rowOff>
    </xdr:from>
    <xdr:ext cx="57150" cy="9525"/>
    <xdr:sp macro="" textlink="">
      <xdr:nvSpPr>
        <xdr:cNvPr id="62" name="AutoShape 50" descr="Formula">
          <a:extLst>
            <a:ext uri="{FF2B5EF4-FFF2-40B4-BE49-F238E27FC236}">
              <a16:creationId xmlns:a16="http://schemas.microsoft.com/office/drawing/2014/main" id="{00000000-0008-0000-0300-00003E000000}"/>
            </a:ext>
          </a:extLst>
        </xdr:cNvPr>
        <xdr:cNvSpPr>
          <a:spLocks noChangeAspect="1" noChangeArrowheads="1"/>
        </xdr:cNvSpPr>
      </xdr:nvSpPr>
      <xdr:spPr bwMode="auto">
        <a:xfrm>
          <a:off x="7639050" y="8515350"/>
          <a:ext cx="57150" cy="9525"/>
        </a:xfrm>
        <a:prstGeom prst="rect">
          <a:avLst/>
        </a:prstGeom>
        <a:noFill/>
      </xdr:spPr>
    </xdr:sp>
    <xdr:clientData/>
  </xdr:oneCellAnchor>
  <xdr:oneCellAnchor>
    <xdr:from>
      <xdr:col>5</xdr:col>
      <xdr:colOff>0</xdr:colOff>
      <xdr:row>55</xdr:row>
      <xdr:rowOff>0</xdr:rowOff>
    </xdr:from>
    <xdr:ext cx="57150" cy="9525"/>
    <xdr:sp macro="" textlink="">
      <xdr:nvSpPr>
        <xdr:cNvPr id="63" name="AutoShape 47" descr="Formula">
          <a:extLst>
            <a:ext uri="{FF2B5EF4-FFF2-40B4-BE49-F238E27FC236}">
              <a16:creationId xmlns:a16="http://schemas.microsoft.com/office/drawing/2014/main" id="{00000000-0008-0000-0300-00003F000000}"/>
            </a:ext>
          </a:extLst>
        </xdr:cNvPr>
        <xdr:cNvSpPr>
          <a:spLocks noChangeAspect="1" noChangeArrowheads="1"/>
        </xdr:cNvSpPr>
      </xdr:nvSpPr>
      <xdr:spPr bwMode="auto">
        <a:xfrm>
          <a:off x="7639050" y="9001125"/>
          <a:ext cx="57150" cy="9525"/>
        </a:xfrm>
        <a:prstGeom prst="rect">
          <a:avLst/>
        </a:prstGeom>
        <a:noFill/>
      </xdr:spPr>
    </xdr:sp>
    <xdr:clientData/>
  </xdr:oneCellAnchor>
  <xdr:oneCellAnchor>
    <xdr:from>
      <xdr:col>5</xdr:col>
      <xdr:colOff>0</xdr:colOff>
      <xdr:row>55</xdr:row>
      <xdr:rowOff>0</xdr:rowOff>
    </xdr:from>
    <xdr:ext cx="57150" cy="9525"/>
    <xdr:sp macro="" textlink="">
      <xdr:nvSpPr>
        <xdr:cNvPr id="64" name="AutoShape 178" descr="Formula">
          <a:extLst>
            <a:ext uri="{FF2B5EF4-FFF2-40B4-BE49-F238E27FC236}">
              <a16:creationId xmlns:a16="http://schemas.microsoft.com/office/drawing/2014/main" id="{00000000-0008-0000-0300-000040000000}"/>
            </a:ext>
          </a:extLst>
        </xdr:cNvPr>
        <xdr:cNvSpPr>
          <a:spLocks noChangeAspect="1" noChangeArrowheads="1"/>
        </xdr:cNvSpPr>
      </xdr:nvSpPr>
      <xdr:spPr bwMode="auto">
        <a:xfrm>
          <a:off x="7639050" y="9001125"/>
          <a:ext cx="57150" cy="9525"/>
        </a:xfrm>
        <a:prstGeom prst="rect">
          <a:avLst/>
        </a:prstGeom>
        <a:noFill/>
      </xdr:spPr>
    </xdr:sp>
    <xdr:clientData/>
  </xdr:oneCellAnchor>
  <xdr:oneCellAnchor>
    <xdr:from>
      <xdr:col>5</xdr:col>
      <xdr:colOff>0</xdr:colOff>
      <xdr:row>55</xdr:row>
      <xdr:rowOff>0</xdr:rowOff>
    </xdr:from>
    <xdr:ext cx="57150" cy="9525"/>
    <xdr:sp macro="" textlink="">
      <xdr:nvSpPr>
        <xdr:cNvPr id="65" name="AutoShape 47" descr="Formula">
          <a:extLst>
            <a:ext uri="{FF2B5EF4-FFF2-40B4-BE49-F238E27FC236}">
              <a16:creationId xmlns:a16="http://schemas.microsoft.com/office/drawing/2014/main" id="{00000000-0008-0000-0300-000041000000}"/>
            </a:ext>
          </a:extLst>
        </xdr:cNvPr>
        <xdr:cNvSpPr>
          <a:spLocks noChangeAspect="1" noChangeArrowheads="1"/>
        </xdr:cNvSpPr>
      </xdr:nvSpPr>
      <xdr:spPr bwMode="auto">
        <a:xfrm>
          <a:off x="7639050" y="9001125"/>
          <a:ext cx="57150" cy="9525"/>
        </a:xfrm>
        <a:prstGeom prst="rect">
          <a:avLst/>
        </a:prstGeom>
        <a:noFill/>
      </xdr:spPr>
    </xdr:sp>
    <xdr:clientData/>
  </xdr:oneCellAnchor>
  <xdr:oneCellAnchor>
    <xdr:from>
      <xdr:col>5</xdr:col>
      <xdr:colOff>0</xdr:colOff>
      <xdr:row>55</xdr:row>
      <xdr:rowOff>0</xdr:rowOff>
    </xdr:from>
    <xdr:ext cx="57150" cy="9525"/>
    <xdr:sp macro="" textlink="">
      <xdr:nvSpPr>
        <xdr:cNvPr id="66" name="AutoShape 178" descr="Formula">
          <a:extLst>
            <a:ext uri="{FF2B5EF4-FFF2-40B4-BE49-F238E27FC236}">
              <a16:creationId xmlns:a16="http://schemas.microsoft.com/office/drawing/2014/main" id="{00000000-0008-0000-0300-000042000000}"/>
            </a:ext>
          </a:extLst>
        </xdr:cNvPr>
        <xdr:cNvSpPr>
          <a:spLocks noChangeAspect="1" noChangeArrowheads="1"/>
        </xdr:cNvSpPr>
      </xdr:nvSpPr>
      <xdr:spPr bwMode="auto">
        <a:xfrm>
          <a:off x="7639050" y="9001125"/>
          <a:ext cx="57150" cy="9525"/>
        </a:xfrm>
        <a:prstGeom prst="rect">
          <a:avLst/>
        </a:prstGeom>
        <a:noFill/>
      </xdr:spPr>
    </xdr:sp>
    <xdr:clientData/>
  </xdr:oneCellAnchor>
  <xdr:oneCellAnchor>
    <xdr:from>
      <xdr:col>5</xdr:col>
      <xdr:colOff>0</xdr:colOff>
      <xdr:row>55</xdr:row>
      <xdr:rowOff>0</xdr:rowOff>
    </xdr:from>
    <xdr:ext cx="57150" cy="9525"/>
    <xdr:sp macro="" textlink="">
      <xdr:nvSpPr>
        <xdr:cNvPr id="67" name="AutoShape 50" descr="Formula">
          <a:extLst>
            <a:ext uri="{FF2B5EF4-FFF2-40B4-BE49-F238E27FC236}">
              <a16:creationId xmlns:a16="http://schemas.microsoft.com/office/drawing/2014/main" id="{00000000-0008-0000-0300-000043000000}"/>
            </a:ext>
          </a:extLst>
        </xdr:cNvPr>
        <xdr:cNvSpPr>
          <a:spLocks noChangeAspect="1" noChangeArrowheads="1"/>
        </xdr:cNvSpPr>
      </xdr:nvSpPr>
      <xdr:spPr bwMode="auto">
        <a:xfrm>
          <a:off x="7639050" y="9001125"/>
          <a:ext cx="57150" cy="9525"/>
        </a:xfrm>
        <a:prstGeom prst="rect">
          <a:avLst/>
        </a:prstGeom>
        <a:noFill/>
      </xdr:spPr>
    </xdr:sp>
    <xdr:clientData/>
  </xdr:oneCellAnchor>
  <xdr:oneCellAnchor>
    <xdr:from>
      <xdr:col>5</xdr:col>
      <xdr:colOff>0</xdr:colOff>
      <xdr:row>55</xdr:row>
      <xdr:rowOff>0</xdr:rowOff>
    </xdr:from>
    <xdr:ext cx="57150" cy="9525"/>
    <xdr:sp macro="" textlink="">
      <xdr:nvSpPr>
        <xdr:cNvPr id="68" name="AutoShape 50" descr="Formula">
          <a:extLst>
            <a:ext uri="{FF2B5EF4-FFF2-40B4-BE49-F238E27FC236}">
              <a16:creationId xmlns:a16="http://schemas.microsoft.com/office/drawing/2014/main" id="{00000000-0008-0000-0300-000044000000}"/>
            </a:ext>
          </a:extLst>
        </xdr:cNvPr>
        <xdr:cNvSpPr>
          <a:spLocks noChangeAspect="1" noChangeArrowheads="1"/>
        </xdr:cNvSpPr>
      </xdr:nvSpPr>
      <xdr:spPr bwMode="auto">
        <a:xfrm>
          <a:off x="7639050" y="9001125"/>
          <a:ext cx="57150" cy="9525"/>
        </a:xfrm>
        <a:prstGeom prst="rect">
          <a:avLst/>
        </a:prstGeom>
        <a:noFill/>
      </xdr:spPr>
    </xdr:sp>
    <xdr:clientData/>
  </xdr:oneCellAnchor>
  <xdr:oneCellAnchor>
    <xdr:from>
      <xdr:col>5</xdr:col>
      <xdr:colOff>0</xdr:colOff>
      <xdr:row>55</xdr:row>
      <xdr:rowOff>0</xdr:rowOff>
    </xdr:from>
    <xdr:ext cx="57150" cy="9525"/>
    <xdr:sp macro="" textlink="">
      <xdr:nvSpPr>
        <xdr:cNvPr id="69" name="AutoShape 32" descr="Formula">
          <a:extLst>
            <a:ext uri="{FF2B5EF4-FFF2-40B4-BE49-F238E27FC236}">
              <a16:creationId xmlns:a16="http://schemas.microsoft.com/office/drawing/2014/main" id="{8610E8E9-34DE-4750-94F5-505F7B64DD73}"/>
            </a:ext>
          </a:extLst>
        </xdr:cNvPr>
        <xdr:cNvSpPr>
          <a:spLocks noChangeAspect="1" noChangeArrowheads="1"/>
        </xdr:cNvSpPr>
      </xdr:nvSpPr>
      <xdr:spPr bwMode="auto">
        <a:xfrm>
          <a:off x="7639050" y="5600700"/>
          <a:ext cx="57150" cy="9525"/>
        </a:xfrm>
        <a:prstGeom prst="rect">
          <a:avLst/>
        </a:prstGeom>
        <a:noFill/>
      </xdr:spPr>
    </xdr:sp>
    <xdr:clientData/>
  </xdr:oneCellAnchor>
  <xdr:oneCellAnchor>
    <xdr:from>
      <xdr:col>5</xdr:col>
      <xdr:colOff>0</xdr:colOff>
      <xdr:row>58</xdr:row>
      <xdr:rowOff>0</xdr:rowOff>
    </xdr:from>
    <xdr:ext cx="57150" cy="9525"/>
    <xdr:sp macro="" textlink="">
      <xdr:nvSpPr>
        <xdr:cNvPr id="70" name="AutoShape 35" descr="Formula">
          <a:extLst>
            <a:ext uri="{FF2B5EF4-FFF2-40B4-BE49-F238E27FC236}">
              <a16:creationId xmlns:a16="http://schemas.microsoft.com/office/drawing/2014/main" id="{65ED2C9B-8DC2-427D-BEC9-85419EB4857D}"/>
            </a:ext>
          </a:extLst>
        </xdr:cNvPr>
        <xdr:cNvSpPr>
          <a:spLocks noChangeAspect="1" noChangeArrowheads="1"/>
        </xdr:cNvSpPr>
      </xdr:nvSpPr>
      <xdr:spPr bwMode="auto">
        <a:xfrm>
          <a:off x="7639050" y="6086475"/>
          <a:ext cx="57150" cy="9525"/>
        </a:xfrm>
        <a:prstGeom prst="rect">
          <a:avLst/>
        </a:prstGeom>
        <a:noFill/>
      </xdr:spPr>
    </xdr:sp>
    <xdr:clientData/>
  </xdr:oneCellAnchor>
  <xdr:oneCellAnchor>
    <xdr:from>
      <xdr:col>5</xdr:col>
      <xdr:colOff>0</xdr:colOff>
      <xdr:row>61</xdr:row>
      <xdr:rowOff>0</xdr:rowOff>
    </xdr:from>
    <xdr:ext cx="57150" cy="9525"/>
    <xdr:sp macro="" textlink="">
      <xdr:nvSpPr>
        <xdr:cNvPr id="71" name="AutoShape 38" descr="Formula">
          <a:extLst>
            <a:ext uri="{FF2B5EF4-FFF2-40B4-BE49-F238E27FC236}">
              <a16:creationId xmlns:a16="http://schemas.microsoft.com/office/drawing/2014/main" id="{5130F8C7-8183-478B-863B-4FADD1F115ED}"/>
            </a:ext>
          </a:extLst>
        </xdr:cNvPr>
        <xdr:cNvSpPr>
          <a:spLocks noChangeAspect="1" noChangeArrowheads="1"/>
        </xdr:cNvSpPr>
      </xdr:nvSpPr>
      <xdr:spPr bwMode="auto">
        <a:xfrm>
          <a:off x="7639050" y="6572250"/>
          <a:ext cx="57150" cy="9525"/>
        </a:xfrm>
        <a:prstGeom prst="rect">
          <a:avLst/>
        </a:prstGeom>
        <a:noFill/>
      </xdr:spPr>
    </xdr:sp>
    <xdr:clientData/>
  </xdr:oneCellAnchor>
  <xdr:oneCellAnchor>
    <xdr:from>
      <xdr:col>5</xdr:col>
      <xdr:colOff>0</xdr:colOff>
      <xdr:row>64</xdr:row>
      <xdr:rowOff>0</xdr:rowOff>
    </xdr:from>
    <xdr:ext cx="57150" cy="9525"/>
    <xdr:sp macro="" textlink="">
      <xdr:nvSpPr>
        <xdr:cNvPr id="72" name="AutoShape 41" descr="Formula">
          <a:extLst>
            <a:ext uri="{FF2B5EF4-FFF2-40B4-BE49-F238E27FC236}">
              <a16:creationId xmlns:a16="http://schemas.microsoft.com/office/drawing/2014/main" id="{D93C56C5-D2DE-4B9C-9791-A5D01042B631}"/>
            </a:ext>
          </a:extLst>
        </xdr:cNvPr>
        <xdr:cNvSpPr>
          <a:spLocks noChangeAspect="1" noChangeArrowheads="1"/>
        </xdr:cNvSpPr>
      </xdr:nvSpPr>
      <xdr:spPr bwMode="auto">
        <a:xfrm>
          <a:off x="7639050" y="7058025"/>
          <a:ext cx="57150" cy="9525"/>
        </a:xfrm>
        <a:prstGeom prst="rect">
          <a:avLst/>
        </a:prstGeom>
        <a:noFill/>
      </xdr:spPr>
    </xdr:sp>
    <xdr:clientData/>
  </xdr:oneCellAnchor>
  <xdr:oneCellAnchor>
    <xdr:from>
      <xdr:col>5</xdr:col>
      <xdr:colOff>0</xdr:colOff>
      <xdr:row>67</xdr:row>
      <xdr:rowOff>0</xdr:rowOff>
    </xdr:from>
    <xdr:ext cx="57150" cy="9525"/>
    <xdr:sp macro="" textlink="">
      <xdr:nvSpPr>
        <xdr:cNvPr id="73" name="AutoShape 44" descr="Formula">
          <a:extLst>
            <a:ext uri="{FF2B5EF4-FFF2-40B4-BE49-F238E27FC236}">
              <a16:creationId xmlns:a16="http://schemas.microsoft.com/office/drawing/2014/main" id="{6031D672-5293-4B82-ABA4-D0A375B8B37C}"/>
            </a:ext>
          </a:extLst>
        </xdr:cNvPr>
        <xdr:cNvSpPr>
          <a:spLocks noChangeAspect="1" noChangeArrowheads="1"/>
        </xdr:cNvSpPr>
      </xdr:nvSpPr>
      <xdr:spPr bwMode="auto">
        <a:xfrm>
          <a:off x="7639050" y="7543800"/>
          <a:ext cx="57150" cy="9525"/>
        </a:xfrm>
        <a:prstGeom prst="rect">
          <a:avLst/>
        </a:prstGeom>
        <a:noFill/>
      </xdr:spPr>
    </xdr:sp>
    <xdr:clientData/>
  </xdr:oneCellAnchor>
  <xdr:oneCellAnchor>
    <xdr:from>
      <xdr:col>5</xdr:col>
      <xdr:colOff>0</xdr:colOff>
      <xdr:row>70</xdr:row>
      <xdr:rowOff>0</xdr:rowOff>
    </xdr:from>
    <xdr:ext cx="57150" cy="9525"/>
    <xdr:sp macro="" textlink="">
      <xdr:nvSpPr>
        <xdr:cNvPr id="75" name="AutoShape 47" descr="Formula">
          <a:extLst>
            <a:ext uri="{FF2B5EF4-FFF2-40B4-BE49-F238E27FC236}">
              <a16:creationId xmlns:a16="http://schemas.microsoft.com/office/drawing/2014/main" id="{329EE945-A269-4A56-A01D-CB508B690CC7}"/>
            </a:ext>
          </a:extLst>
        </xdr:cNvPr>
        <xdr:cNvSpPr>
          <a:spLocks noChangeAspect="1" noChangeArrowheads="1"/>
        </xdr:cNvSpPr>
      </xdr:nvSpPr>
      <xdr:spPr bwMode="auto">
        <a:xfrm>
          <a:off x="7639050" y="8029575"/>
          <a:ext cx="57150" cy="9525"/>
        </a:xfrm>
        <a:prstGeom prst="rect">
          <a:avLst/>
        </a:prstGeom>
        <a:noFill/>
      </xdr:spPr>
    </xdr:sp>
    <xdr:clientData/>
  </xdr:oneCellAnchor>
  <xdr:oneCellAnchor>
    <xdr:from>
      <xdr:col>5</xdr:col>
      <xdr:colOff>0</xdr:colOff>
      <xdr:row>73</xdr:row>
      <xdr:rowOff>0</xdr:rowOff>
    </xdr:from>
    <xdr:ext cx="57150" cy="9525"/>
    <xdr:sp macro="" textlink="">
      <xdr:nvSpPr>
        <xdr:cNvPr id="90" name="AutoShape 50" descr="Formula">
          <a:extLst>
            <a:ext uri="{FF2B5EF4-FFF2-40B4-BE49-F238E27FC236}">
              <a16:creationId xmlns:a16="http://schemas.microsoft.com/office/drawing/2014/main" id="{F485C4D9-BF6C-49AE-8969-6730C121746D}"/>
            </a:ext>
          </a:extLst>
        </xdr:cNvPr>
        <xdr:cNvSpPr>
          <a:spLocks noChangeAspect="1" noChangeArrowheads="1"/>
        </xdr:cNvSpPr>
      </xdr:nvSpPr>
      <xdr:spPr bwMode="auto">
        <a:xfrm>
          <a:off x="7639050" y="8515350"/>
          <a:ext cx="57150" cy="9525"/>
        </a:xfrm>
        <a:prstGeom prst="rect">
          <a:avLst/>
        </a:prstGeom>
        <a:noFill/>
      </xdr:spPr>
    </xdr:sp>
    <xdr:clientData/>
  </xdr:oneCellAnchor>
  <xdr:oneCellAnchor>
    <xdr:from>
      <xdr:col>5</xdr:col>
      <xdr:colOff>0</xdr:colOff>
      <xdr:row>58</xdr:row>
      <xdr:rowOff>0</xdr:rowOff>
    </xdr:from>
    <xdr:ext cx="57150" cy="9525"/>
    <xdr:sp macro="" textlink="">
      <xdr:nvSpPr>
        <xdr:cNvPr id="91" name="AutoShape 167" descr="Formula">
          <a:extLst>
            <a:ext uri="{FF2B5EF4-FFF2-40B4-BE49-F238E27FC236}">
              <a16:creationId xmlns:a16="http://schemas.microsoft.com/office/drawing/2014/main" id="{B25AD921-5353-4259-A66C-3C8D4A8FAF71}"/>
            </a:ext>
          </a:extLst>
        </xdr:cNvPr>
        <xdr:cNvSpPr>
          <a:spLocks noChangeAspect="1" noChangeArrowheads="1"/>
        </xdr:cNvSpPr>
      </xdr:nvSpPr>
      <xdr:spPr bwMode="auto">
        <a:xfrm>
          <a:off x="7639050" y="6086475"/>
          <a:ext cx="57150" cy="9525"/>
        </a:xfrm>
        <a:prstGeom prst="rect">
          <a:avLst/>
        </a:prstGeom>
        <a:noFill/>
      </xdr:spPr>
    </xdr:sp>
    <xdr:clientData/>
  </xdr:oneCellAnchor>
  <xdr:oneCellAnchor>
    <xdr:from>
      <xdr:col>5</xdr:col>
      <xdr:colOff>0</xdr:colOff>
      <xdr:row>61</xdr:row>
      <xdr:rowOff>0</xdr:rowOff>
    </xdr:from>
    <xdr:ext cx="57150" cy="9525"/>
    <xdr:sp macro="" textlink="">
      <xdr:nvSpPr>
        <xdr:cNvPr id="92" name="AutoShape 169" descr="Formula">
          <a:extLst>
            <a:ext uri="{FF2B5EF4-FFF2-40B4-BE49-F238E27FC236}">
              <a16:creationId xmlns:a16="http://schemas.microsoft.com/office/drawing/2014/main" id="{17567DCD-8D94-424F-B643-A4AC8D790B9C}"/>
            </a:ext>
          </a:extLst>
        </xdr:cNvPr>
        <xdr:cNvSpPr>
          <a:spLocks noChangeAspect="1" noChangeArrowheads="1"/>
        </xdr:cNvSpPr>
      </xdr:nvSpPr>
      <xdr:spPr bwMode="auto">
        <a:xfrm>
          <a:off x="7639050" y="6572250"/>
          <a:ext cx="57150" cy="9525"/>
        </a:xfrm>
        <a:prstGeom prst="rect">
          <a:avLst/>
        </a:prstGeom>
        <a:noFill/>
      </xdr:spPr>
    </xdr:sp>
    <xdr:clientData/>
  </xdr:oneCellAnchor>
  <xdr:oneCellAnchor>
    <xdr:from>
      <xdr:col>5</xdr:col>
      <xdr:colOff>0</xdr:colOff>
      <xdr:row>64</xdr:row>
      <xdr:rowOff>0</xdr:rowOff>
    </xdr:from>
    <xdr:ext cx="57150" cy="9525"/>
    <xdr:sp macro="" textlink="">
      <xdr:nvSpPr>
        <xdr:cNvPr id="93" name="AutoShape 172" descr="Formula">
          <a:extLst>
            <a:ext uri="{FF2B5EF4-FFF2-40B4-BE49-F238E27FC236}">
              <a16:creationId xmlns:a16="http://schemas.microsoft.com/office/drawing/2014/main" id="{AC5EF00D-C555-4252-8FD8-0F375618A6FE}"/>
            </a:ext>
          </a:extLst>
        </xdr:cNvPr>
        <xdr:cNvSpPr>
          <a:spLocks noChangeAspect="1" noChangeArrowheads="1"/>
        </xdr:cNvSpPr>
      </xdr:nvSpPr>
      <xdr:spPr bwMode="auto">
        <a:xfrm>
          <a:off x="7639050" y="7058025"/>
          <a:ext cx="57150" cy="9525"/>
        </a:xfrm>
        <a:prstGeom prst="rect">
          <a:avLst/>
        </a:prstGeom>
        <a:noFill/>
      </xdr:spPr>
    </xdr:sp>
    <xdr:clientData/>
  </xdr:oneCellAnchor>
  <xdr:oneCellAnchor>
    <xdr:from>
      <xdr:col>5</xdr:col>
      <xdr:colOff>0</xdr:colOff>
      <xdr:row>67</xdr:row>
      <xdr:rowOff>0</xdr:rowOff>
    </xdr:from>
    <xdr:ext cx="57150" cy="9525"/>
    <xdr:sp macro="" textlink="">
      <xdr:nvSpPr>
        <xdr:cNvPr id="94" name="AutoShape 175" descr="Formula">
          <a:extLst>
            <a:ext uri="{FF2B5EF4-FFF2-40B4-BE49-F238E27FC236}">
              <a16:creationId xmlns:a16="http://schemas.microsoft.com/office/drawing/2014/main" id="{A37059A9-CF99-47FF-BB40-1EE439878ADF}"/>
            </a:ext>
          </a:extLst>
        </xdr:cNvPr>
        <xdr:cNvSpPr>
          <a:spLocks noChangeAspect="1" noChangeArrowheads="1"/>
        </xdr:cNvSpPr>
      </xdr:nvSpPr>
      <xdr:spPr bwMode="auto">
        <a:xfrm>
          <a:off x="7639050" y="7543800"/>
          <a:ext cx="57150" cy="9525"/>
        </a:xfrm>
        <a:prstGeom prst="rect">
          <a:avLst/>
        </a:prstGeom>
        <a:noFill/>
      </xdr:spPr>
    </xdr:sp>
    <xdr:clientData/>
  </xdr:oneCellAnchor>
  <xdr:oneCellAnchor>
    <xdr:from>
      <xdr:col>5</xdr:col>
      <xdr:colOff>0</xdr:colOff>
      <xdr:row>70</xdr:row>
      <xdr:rowOff>0</xdr:rowOff>
    </xdr:from>
    <xdr:ext cx="57150" cy="9525"/>
    <xdr:sp macro="" textlink="">
      <xdr:nvSpPr>
        <xdr:cNvPr id="95" name="AutoShape 178" descr="Formula">
          <a:extLst>
            <a:ext uri="{FF2B5EF4-FFF2-40B4-BE49-F238E27FC236}">
              <a16:creationId xmlns:a16="http://schemas.microsoft.com/office/drawing/2014/main" id="{B2646A96-257C-4C5F-B2F6-844A4571DF0F}"/>
            </a:ext>
          </a:extLst>
        </xdr:cNvPr>
        <xdr:cNvSpPr>
          <a:spLocks noChangeAspect="1" noChangeArrowheads="1"/>
        </xdr:cNvSpPr>
      </xdr:nvSpPr>
      <xdr:spPr bwMode="auto">
        <a:xfrm>
          <a:off x="7639050" y="8029575"/>
          <a:ext cx="57150" cy="9525"/>
        </a:xfrm>
        <a:prstGeom prst="rect">
          <a:avLst/>
        </a:prstGeom>
        <a:noFill/>
      </xdr:spPr>
    </xdr:sp>
    <xdr:clientData/>
  </xdr:oneCellAnchor>
  <xdr:oneCellAnchor>
    <xdr:from>
      <xdr:col>5</xdr:col>
      <xdr:colOff>0</xdr:colOff>
      <xdr:row>55</xdr:row>
      <xdr:rowOff>0</xdr:rowOff>
    </xdr:from>
    <xdr:ext cx="57150" cy="9525"/>
    <xdr:sp macro="" textlink="">
      <xdr:nvSpPr>
        <xdr:cNvPr id="96" name="AutoShape 32" descr="Formula">
          <a:extLst>
            <a:ext uri="{FF2B5EF4-FFF2-40B4-BE49-F238E27FC236}">
              <a16:creationId xmlns:a16="http://schemas.microsoft.com/office/drawing/2014/main" id="{5C0A8742-6DCF-4CBC-B9A4-653FAA3C6DE6}"/>
            </a:ext>
          </a:extLst>
        </xdr:cNvPr>
        <xdr:cNvSpPr>
          <a:spLocks noChangeAspect="1" noChangeArrowheads="1"/>
        </xdr:cNvSpPr>
      </xdr:nvSpPr>
      <xdr:spPr bwMode="auto">
        <a:xfrm>
          <a:off x="7639050" y="5600700"/>
          <a:ext cx="57150" cy="9525"/>
        </a:xfrm>
        <a:prstGeom prst="rect">
          <a:avLst/>
        </a:prstGeom>
        <a:noFill/>
      </xdr:spPr>
    </xdr:sp>
    <xdr:clientData/>
  </xdr:oneCellAnchor>
  <xdr:oneCellAnchor>
    <xdr:from>
      <xdr:col>5</xdr:col>
      <xdr:colOff>0</xdr:colOff>
      <xdr:row>58</xdr:row>
      <xdr:rowOff>0</xdr:rowOff>
    </xdr:from>
    <xdr:ext cx="57150" cy="9525"/>
    <xdr:sp macro="" textlink="">
      <xdr:nvSpPr>
        <xdr:cNvPr id="97" name="AutoShape 35" descr="Formula">
          <a:extLst>
            <a:ext uri="{FF2B5EF4-FFF2-40B4-BE49-F238E27FC236}">
              <a16:creationId xmlns:a16="http://schemas.microsoft.com/office/drawing/2014/main" id="{0F05E5E8-672C-4344-BDBD-3351378B870E}"/>
            </a:ext>
          </a:extLst>
        </xdr:cNvPr>
        <xdr:cNvSpPr>
          <a:spLocks noChangeAspect="1" noChangeArrowheads="1"/>
        </xdr:cNvSpPr>
      </xdr:nvSpPr>
      <xdr:spPr bwMode="auto">
        <a:xfrm>
          <a:off x="7639050" y="6086475"/>
          <a:ext cx="57150" cy="9525"/>
        </a:xfrm>
        <a:prstGeom prst="rect">
          <a:avLst/>
        </a:prstGeom>
        <a:noFill/>
      </xdr:spPr>
    </xdr:sp>
    <xdr:clientData/>
  </xdr:oneCellAnchor>
  <xdr:oneCellAnchor>
    <xdr:from>
      <xdr:col>5</xdr:col>
      <xdr:colOff>0</xdr:colOff>
      <xdr:row>61</xdr:row>
      <xdr:rowOff>0</xdr:rowOff>
    </xdr:from>
    <xdr:ext cx="57150" cy="9525"/>
    <xdr:sp macro="" textlink="">
      <xdr:nvSpPr>
        <xdr:cNvPr id="98" name="AutoShape 38" descr="Formula">
          <a:extLst>
            <a:ext uri="{FF2B5EF4-FFF2-40B4-BE49-F238E27FC236}">
              <a16:creationId xmlns:a16="http://schemas.microsoft.com/office/drawing/2014/main" id="{A56CD1AD-BC26-403D-802E-24ADBE6BCA92}"/>
            </a:ext>
          </a:extLst>
        </xdr:cNvPr>
        <xdr:cNvSpPr>
          <a:spLocks noChangeAspect="1" noChangeArrowheads="1"/>
        </xdr:cNvSpPr>
      </xdr:nvSpPr>
      <xdr:spPr bwMode="auto">
        <a:xfrm>
          <a:off x="7639050" y="6572250"/>
          <a:ext cx="57150" cy="9525"/>
        </a:xfrm>
        <a:prstGeom prst="rect">
          <a:avLst/>
        </a:prstGeom>
        <a:noFill/>
      </xdr:spPr>
    </xdr:sp>
    <xdr:clientData/>
  </xdr:oneCellAnchor>
  <xdr:oneCellAnchor>
    <xdr:from>
      <xdr:col>5</xdr:col>
      <xdr:colOff>0</xdr:colOff>
      <xdr:row>64</xdr:row>
      <xdr:rowOff>0</xdr:rowOff>
    </xdr:from>
    <xdr:ext cx="57150" cy="9525"/>
    <xdr:sp macro="" textlink="">
      <xdr:nvSpPr>
        <xdr:cNvPr id="99" name="AutoShape 41" descr="Formula">
          <a:extLst>
            <a:ext uri="{FF2B5EF4-FFF2-40B4-BE49-F238E27FC236}">
              <a16:creationId xmlns:a16="http://schemas.microsoft.com/office/drawing/2014/main" id="{F6C4A826-56A8-4F2C-8697-8BC8CB0F0D2C}"/>
            </a:ext>
          </a:extLst>
        </xdr:cNvPr>
        <xdr:cNvSpPr>
          <a:spLocks noChangeAspect="1" noChangeArrowheads="1"/>
        </xdr:cNvSpPr>
      </xdr:nvSpPr>
      <xdr:spPr bwMode="auto">
        <a:xfrm>
          <a:off x="7639050" y="7058025"/>
          <a:ext cx="57150" cy="9525"/>
        </a:xfrm>
        <a:prstGeom prst="rect">
          <a:avLst/>
        </a:prstGeom>
        <a:noFill/>
      </xdr:spPr>
    </xdr:sp>
    <xdr:clientData/>
  </xdr:oneCellAnchor>
  <xdr:oneCellAnchor>
    <xdr:from>
      <xdr:col>5</xdr:col>
      <xdr:colOff>0</xdr:colOff>
      <xdr:row>67</xdr:row>
      <xdr:rowOff>0</xdr:rowOff>
    </xdr:from>
    <xdr:ext cx="57150" cy="9525"/>
    <xdr:sp macro="" textlink="">
      <xdr:nvSpPr>
        <xdr:cNvPr id="100" name="AutoShape 44" descr="Formula">
          <a:extLst>
            <a:ext uri="{FF2B5EF4-FFF2-40B4-BE49-F238E27FC236}">
              <a16:creationId xmlns:a16="http://schemas.microsoft.com/office/drawing/2014/main" id="{AE1E7A86-60C0-4EA2-8840-52ACDC16333C}"/>
            </a:ext>
          </a:extLst>
        </xdr:cNvPr>
        <xdr:cNvSpPr>
          <a:spLocks noChangeAspect="1" noChangeArrowheads="1"/>
        </xdr:cNvSpPr>
      </xdr:nvSpPr>
      <xdr:spPr bwMode="auto">
        <a:xfrm>
          <a:off x="7639050" y="7543800"/>
          <a:ext cx="57150" cy="9525"/>
        </a:xfrm>
        <a:prstGeom prst="rect">
          <a:avLst/>
        </a:prstGeom>
        <a:noFill/>
      </xdr:spPr>
    </xdr:sp>
    <xdr:clientData/>
  </xdr:oneCellAnchor>
  <xdr:oneCellAnchor>
    <xdr:from>
      <xdr:col>5</xdr:col>
      <xdr:colOff>0</xdr:colOff>
      <xdr:row>70</xdr:row>
      <xdr:rowOff>0</xdr:rowOff>
    </xdr:from>
    <xdr:ext cx="57150" cy="9525"/>
    <xdr:sp macro="" textlink="">
      <xdr:nvSpPr>
        <xdr:cNvPr id="101" name="AutoShape 47" descr="Formula">
          <a:extLst>
            <a:ext uri="{FF2B5EF4-FFF2-40B4-BE49-F238E27FC236}">
              <a16:creationId xmlns:a16="http://schemas.microsoft.com/office/drawing/2014/main" id="{01203215-793B-4510-BC5E-61C3B2EF73C2}"/>
            </a:ext>
          </a:extLst>
        </xdr:cNvPr>
        <xdr:cNvSpPr>
          <a:spLocks noChangeAspect="1" noChangeArrowheads="1"/>
        </xdr:cNvSpPr>
      </xdr:nvSpPr>
      <xdr:spPr bwMode="auto">
        <a:xfrm>
          <a:off x="7639050" y="8029575"/>
          <a:ext cx="57150" cy="9525"/>
        </a:xfrm>
        <a:prstGeom prst="rect">
          <a:avLst/>
        </a:prstGeom>
        <a:noFill/>
      </xdr:spPr>
    </xdr:sp>
    <xdr:clientData/>
  </xdr:oneCellAnchor>
  <xdr:oneCellAnchor>
    <xdr:from>
      <xdr:col>5</xdr:col>
      <xdr:colOff>0</xdr:colOff>
      <xdr:row>73</xdr:row>
      <xdr:rowOff>0</xdr:rowOff>
    </xdr:from>
    <xdr:ext cx="57150" cy="9525"/>
    <xdr:sp macro="" textlink="">
      <xdr:nvSpPr>
        <xdr:cNvPr id="102" name="AutoShape 50" descr="Formula">
          <a:extLst>
            <a:ext uri="{FF2B5EF4-FFF2-40B4-BE49-F238E27FC236}">
              <a16:creationId xmlns:a16="http://schemas.microsoft.com/office/drawing/2014/main" id="{E379948B-31D0-4B2E-A143-5D907E3B43FE}"/>
            </a:ext>
          </a:extLst>
        </xdr:cNvPr>
        <xdr:cNvSpPr>
          <a:spLocks noChangeAspect="1" noChangeArrowheads="1"/>
        </xdr:cNvSpPr>
      </xdr:nvSpPr>
      <xdr:spPr bwMode="auto">
        <a:xfrm>
          <a:off x="7639050" y="8515350"/>
          <a:ext cx="57150" cy="9525"/>
        </a:xfrm>
        <a:prstGeom prst="rect">
          <a:avLst/>
        </a:prstGeom>
        <a:noFill/>
      </xdr:spPr>
    </xdr:sp>
    <xdr:clientData/>
  </xdr:oneCellAnchor>
  <xdr:oneCellAnchor>
    <xdr:from>
      <xdr:col>5</xdr:col>
      <xdr:colOff>0</xdr:colOff>
      <xdr:row>58</xdr:row>
      <xdr:rowOff>0</xdr:rowOff>
    </xdr:from>
    <xdr:ext cx="57150" cy="9525"/>
    <xdr:sp macro="" textlink="">
      <xdr:nvSpPr>
        <xdr:cNvPr id="103" name="AutoShape 167" descr="Formula">
          <a:extLst>
            <a:ext uri="{FF2B5EF4-FFF2-40B4-BE49-F238E27FC236}">
              <a16:creationId xmlns:a16="http://schemas.microsoft.com/office/drawing/2014/main" id="{519C6EC4-3974-44A6-AD8D-F5C20E79712A}"/>
            </a:ext>
          </a:extLst>
        </xdr:cNvPr>
        <xdr:cNvSpPr>
          <a:spLocks noChangeAspect="1" noChangeArrowheads="1"/>
        </xdr:cNvSpPr>
      </xdr:nvSpPr>
      <xdr:spPr bwMode="auto">
        <a:xfrm>
          <a:off x="7639050" y="6086475"/>
          <a:ext cx="57150" cy="9525"/>
        </a:xfrm>
        <a:prstGeom prst="rect">
          <a:avLst/>
        </a:prstGeom>
        <a:noFill/>
      </xdr:spPr>
    </xdr:sp>
    <xdr:clientData/>
  </xdr:oneCellAnchor>
  <xdr:oneCellAnchor>
    <xdr:from>
      <xdr:col>5</xdr:col>
      <xdr:colOff>0</xdr:colOff>
      <xdr:row>61</xdr:row>
      <xdr:rowOff>0</xdr:rowOff>
    </xdr:from>
    <xdr:ext cx="57150" cy="9525"/>
    <xdr:sp macro="" textlink="">
      <xdr:nvSpPr>
        <xdr:cNvPr id="104" name="AutoShape 169" descr="Formula">
          <a:extLst>
            <a:ext uri="{FF2B5EF4-FFF2-40B4-BE49-F238E27FC236}">
              <a16:creationId xmlns:a16="http://schemas.microsoft.com/office/drawing/2014/main" id="{3B5E172C-03AB-45A7-86CA-D9CFD970FB33}"/>
            </a:ext>
          </a:extLst>
        </xdr:cNvPr>
        <xdr:cNvSpPr>
          <a:spLocks noChangeAspect="1" noChangeArrowheads="1"/>
        </xdr:cNvSpPr>
      </xdr:nvSpPr>
      <xdr:spPr bwMode="auto">
        <a:xfrm>
          <a:off x="7639050" y="6572250"/>
          <a:ext cx="57150" cy="9525"/>
        </a:xfrm>
        <a:prstGeom prst="rect">
          <a:avLst/>
        </a:prstGeom>
        <a:noFill/>
      </xdr:spPr>
    </xdr:sp>
    <xdr:clientData/>
  </xdr:oneCellAnchor>
  <xdr:oneCellAnchor>
    <xdr:from>
      <xdr:col>5</xdr:col>
      <xdr:colOff>0</xdr:colOff>
      <xdr:row>64</xdr:row>
      <xdr:rowOff>0</xdr:rowOff>
    </xdr:from>
    <xdr:ext cx="57150" cy="9525"/>
    <xdr:sp macro="" textlink="">
      <xdr:nvSpPr>
        <xdr:cNvPr id="105" name="AutoShape 172" descr="Formula">
          <a:extLst>
            <a:ext uri="{FF2B5EF4-FFF2-40B4-BE49-F238E27FC236}">
              <a16:creationId xmlns:a16="http://schemas.microsoft.com/office/drawing/2014/main" id="{A818FF82-7CD8-45CD-8736-B59EDA6F5196}"/>
            </a:ext>
          </a:extLst>
        </xdr:cNvPr>
        <xdr:cNvSpPr>
          <a:spLocks noChangeAspect="1" noChangeArrowheads="1"/>
        </xdr:cNvSpPr>
      </xdr:nvSpPr>
      <xdr:spPr bwMode="auto">
        <a:xfrm>
          <a:off x="7639050" y="7058025"/>
          <a:ext cx="57150" cy="9525"/>
        </a:xfrm>
        <a:prstGeom prst="rect">
          <a:avLst/>
        </a:prstGeom>
        <a:noFill/>
      </xdr:spPr>
    </xdr:sp>
    <xdr:clientData/>
  </xdr:oneCellAnchor>
  <xdr:oneCellAnchor>
    <xdr:from>
      <xdr:col>5</xdr:col>
      <xdr:colOff>0</xdr:colOff>
      <xdr:row>67</xdr:row>
      <xdr:rowOff>0</xdr:rowOff>
    </xdr:from>
    <xdr:ext cx="57150" cy="9525"/>
    <xdr:sp macro="" textlink="">
      <xdr:nvSpPr>
        <xdr:cNvPr id="113" name="AutoShape 175" descr="Formula">
          <a:extLst>
            <a:ext uri="{FF2B5EF4-FFF2-40B4-BE49-F238E27FC236}">
              <a16:creationId xmlns:a16="http://schemas.microsoft.com/office/drawing/2014/main" id="{CA5EB92B-B645-4870-9021-6ABA1AB1576D}"/>
            </a:ext>
          </a:extLst>
        </xdr:cNvPr>
        <xdr:cNvSpPr>
          <a:spLocks noChangeAspect="1" noChangeArrowheads="1"/>
        </xdr:cNvSpPr>
      </xdr:nvSpPr>
      <xdr:spPr bwMode="auto">
        <a:xfrm>
          <a:off x="7639050" y="7543800"/>
          <a:ext cx="57150" cy="9525"/>
        </a:xfrm>
        <a:prstGeom prst="rect">
          <a:avLst/>
        </a:prstGeom>
        <a:noFill/>
      </xdr:spPr>
    </xdr:sp>
    <xdr:clientData/>
  </xdr:oneCellAnchor>
  <xdr:oneCellAnchor>
    <xdr:from>
      <xdr:col>5</xdr:col>
      <xdr:colOff>0</xdr:colOff>
      <xdr:row>70</xdr:row>
      <xdr:rowOff>0</xdr:rowOff>
    </xdr:from>
    <xdr:ext cx="57150" cy="9525"/>
    <xdr:sp macro="" textlink="">
      <xdr:nvSpPr>
        <xdr:cNvPr id="114" name="AutoShape 178" descr="Formula">
          <a:extLst>
            <a:ext uri="{FF2B5EF4-FFF2-40B4-BE49-F238E27FC236}">
              <a16:creationId xmlns:a16="http://schemas.microsoft.com/office/drawing/2014/main" id="{1086ACB5-948F-4D89-987B-7856BA923793}"/>
            </a:ext>
          </a:extLst>
        </xdr:cNvPr>
        <xdr:cNvSpPr>
          <a:spLocks noChangeAspect="1" noChangeArrowheads="1"/>
        </xdr:cNvSpPr>
      </xdr:nvSpPr>
      <xdr:spPr bwMode="auto">
        <a:xfrm>
          <a:off x="7639050" y="8029575"/>
          <a:ext cx="57150" cy="9525"/>
        </a:xfrm>
        <a:prstGeom prst="rect">
          <a:avLst/>
        </a:prstGeom>
        <a:noFill/>
      </xdr:spPr>
    </xdr:sp>
    <xdr:clientData/>
  </xdr:oneCellAnchor>
  <xdr:oneCellAnchor>
    <xdr:from>
      <xdr:col>5</xdr:col>
      <xdr:colOff>0</xdr:colOff>
      <xdr:row>61</xdr:row>
      <xdr:rowOff>0</xdr:rowOff>
    </xdr:from>
    <xdr:ext cx="57150" cy="9525"/>
    <xdr:sp macro="" textlink="">
      <xdr:nvSpPr>
        <xdr:cNvPr id="115" name="AutoShape 35" descr="Formula">
          <a:extLst>
            <a:ext uri="{FF2B5EF4-FFF2-40B4-BE49-F238E27FC236}">
              <a16:creationId xmlns:a16="http://schemas.microsoft.com/office/drawing/2014/main" id="{694622BE-49A2-4E96-A8F3-3ABD27F91403}"/>
            </a:ext>
          </a:extLst>
        </xdr:cNvPr>
        <xdr:cNvSpPr>
          <a:spLocks noChangeAspect="1" noChangeArrowheads="1"/>
        </xdr:cNvSpPr>
      </xdr:nvSpPr>
      <xdr:spPr bwMode="auto">
        <a:xfrm>
          <a:off x="7639050" y="6572250"/>
          <a:ext cx="57150" cy="9525"/>
        </a:xfrm>
        <a:prstGeom prst="rect">
          <a:avLst/>
        </a:prstGeom>
        <a:noFill/>
      </xdr:spPr>
    </xdr:sp>
    <xdr:clientData/>
  </xdr:oneCellAnchor>
  <xdr:oneCellAnchor>
    <xdr:from>
      <xdr:col>5</xdr:col>
      <xdr:colOff>0</xdr:colOff>
      <xdr:row>61</xdr:row>
      <xdr:rowOff>0</xdr:rowOff>
    </xdr:from>
    <xdr:ext cx="57150" cy="9525"/>
    <xdr:sp macro="" textlink="">
      <xdr:nvSpPr>
        <xdr:cNvPr id="117" name="AutoShape 167" descr="Formula">
          <a:extLst>
            <a:ext uri="{FF2B5EF4-FFF2-40B4-BE49-F238E27FC236}">
              <a16:creationId xmlns:a16="http://schemas.microsoft.com/office/drawing/2014/main" id="{6083F0B0-F296-41EF-911A-2D678543CCDF}"/>
            </a:ext>
          </a:extLst>
        </xdr:cNvPr>
        <xdr:cNvSpPr>
          <a:spLocks noChangeAspect="1" noChangeArrowheads="1"/>
        </xdr:cNvSpPr>
      </xdr:nvSpPr>
      <xdr:spPr bwMode="auto">
        <a:xfrm>
          <a:off x="7639050" y="6572250"/>
          <a:ext cx="57150" cy="9525"/>
        </a:xfrm>
        <a:prstGeom prst="rect">
          <a:avLst/>
        </a:prstGeom>
        <a:noFill/>
      </xdr:spPr>
    </xdr:sp>
    <xdr:clientData/>
  </xdr:oneCellAnchor>
  <xdr:oneCellAnchor>
    <xdr:from>
      <xdr:col>5</xdr:col>
      <xdr:colOff>0</xdr:colOff>
      <xdr:row>61</xdr:row>
      <xdr:rowOff>0</xdr:rowOff>
    </xdr:from>
    <xdr:ext cx="57150" cy="9525"/>
    <xdr:sp macro="" textlink="">
      <xdr:nvSpPr>
        <xdr:cNvPr id="118" name="AutoShape 35" descr="Formula">
          <a:extLst>
            <a:ext uri="{FF2B5EF4-FFF2-40B4-BE49-F238E27FC236}">
              <a16:creationId xmlns:a16="http://schemas.microsoft.com/office/drawing/2014/main" id="{B06447DA-5E41-45ED-A010-AFEE38F25E6E}"/>
            </a:ext>
          </a:extLst>
        </xdr:cNvPr>
        <xdr:cNvSpPr>
          <a:spLocks noChangeAspect="1" noChangeArrowheads="1"/>
        </xdr:cNvSpPr>
      </xdr:nvSpPr>
      <xdr:spPr bwMode="auto">
        <a:xfrm>
          <a:off x="7639050" y="6572250"/>
          <a:ext cx="57150" cy="9525"/>
        </a:xfrm>
        <a:prstGeom prst="rect">
          <a:avLst/>
        </a:prstGeom>
        <a:noFill/>
      </xdr:spPr>
    </xdr:sp>
    <xdr:clientData/>
  </xdr:oneCellAnchor>
  <xdr:oneCellAnchor>
    <xdr:from>
      <xdr:col>5</xdr:col>
      <xdr:colOff>0</xdr:colOff>
      <xdr:row>61</xdr:row>
      <xdr:rowOff>0</xdr:rowOff>
    </xdr:from>
    <xdr:ext cx="57150" cy="9525"/>
    <xdr:sp macro="" textlink="">
      <xdr:nvSpPr>
        <xdr:cNvPr id="119" name="AutoShape 167" descr="Formula">
          <a:extLst>
            <a:ext uri="{FF2B5EF4-FFF2-40B4-BE49-F238E27FC236}">
              <a16:creationId xmlns:a16="http://schemas.microsoft.com/office/drawing/2014/main" id="{D74D9C0E-1489-40A8-A997-301256C54593}"/>
            </a:ext>
          </a:extLst>
        </xdr:cNvPr>
        <xdr:cNvSpPr>
          <a:spLocks noChangeAspect="1" noChangeArrowheads="1"/>
        </xdr:cNvSpPr>
      </xdr:nvSpPr>
      <xdr:spPr bwMode="auto">
        <a:xfrm>
          <a:off x="7639050" y="6572250"/>
          <a:ext cx="57150" cy="9525"/>
        </a:xfrm>
        <a:prstGeom prst="rect">
          <a:avLst/>
        </a:prstGeom>
        <a:noFill/>
      </xdr:spPr>
    </xdr:sp>
    <xdr:clientData/>
  </xdr:oneCellAnchor>
  <xdr:oneCellAnchor>
    <xdr:from>
      <xdr:col>5</xdr:col>
      <xdr:colOff>0</xdr:colOff>
      <xdr:row>55</xdr:row>
      <xdr:rowOff>0</xdr:rowOff>
    </xdr:from>
    <xdr:ext cx="57150" cy="9525"/>
    <xdr:sp macro="" textlink="">
      <xdr:nvSpPr>
        <xdr:cNvPr id="120" name="AutoShape 50" descr="Formula">
          <a:extLst>
            <a:ext uri="{FF2B5EF4-FFF2-40B4-BE49-F238E27FC236}">
              <a16:creationId xmlns:a16="http://schemas.microsoft.com/office/drawing/2014/main" id="{BC715CE4-7CED-4AFB-843E-7306B6C926B7}"/>
            </a:ext>
          </a:extLst>
        </xdr:cNvPr>
        <xdr:cNvSpPr>
          <a:spLocks noChangeAspect="1" noChangeArrowheads="1"/>
        </xdr:cNvSpPr>
      </xdr:nvSpPr>
      <xdr:spPr bwMode="auto">
        <a:xfrm>
          <a:off x="7639050" y="8515350"/>
          <a:ext cx="57150" cy="9525"/>
        </a:xfrm>
        <a:prstGeom prst="rect">
          <a:avLst/>
        </a:prstGeom>
        <a:noFill/>
      </xdr:spPr>
    </xdr:sp>
    <xdr:clientData/>
  </xdr:oneCellAnchor>
  <xdr:oneCellAnchor>
    <xdr:from>
      <xdr:col>5</xdr:col>
      <xdr:colOff>0</xdr:colOff>
      <xdr:row>55</xdr:row>
      <xdr:rowOff>0</xdr:rowOff>
    </xdr:from>
    <xdr:ext cx="57150" cy="9525"/>
    <xdr:sp macro="" textlink="">
      <xdr:nvSpPr>
        <xdr:cNvPr id="121" name="AutoShape 50" descr="Formula">
          <a:extLst>
            <a:ext uri="{FF2B5EF4-FFF2-40B4-BE49-F238E27FC236}">
              <a16:creationId xmlns:a16="http://schemas.microsoft.com/office/drawing/2014/main" id="{38AC15EE-1DAF-408B-9135-11F8F0FF683B}"/>
            </a:ext>
          </a:extLst>
        </xdr:cNvPr>
        <xdr:cNvSpPr>
          <a:spLocks noChangeAspect="1" noChangeArrowheads="1"/>
        </xdr:cNvSpPr>
      </xdr:nvSpPr>
      <xdr:spPr bwMode="auto">
        <a:xfrm>
          <a:off x="7639050" y="8515350"/>
          <a:ext cx="57150" cy="9525"/>
        </a:xfrm>
        <a:prstGeom prst="rect">
          <a:avLst/>
        </a:prstGeom>
        <a:noFill/>
      </xdr:spPr>
    </xdr:sp>
    <xdr:clientData/>
  </xdr:oneCellAnchor>
  <xdr:oneCellAnchor>
    <xdr:from>
      <xdr:col>5</xdr:col>
      <xdr:colOff>0</xdr:colOff>
      <xdr:row>58</xdr:row>
      <xdr:rowOff>0</xdr:rowOff>
    </xdr:from>
    <xdr:ext cx="57150" cy="9525"/>
    <xdr:sp macro="" textlink="">
      <xdr:nvSpPr>
        <xdr:cNvPr id="122" name="AutoShape 50" descr="Formula">
          <a:extLst>
            <a:ext uri="{FF2B5EF4-FFF2-40B4-BE49-F238E27FC236}">
              <a16:creationId xmlns:a16="http://schemas.microsoft.com/office/drawing/2014/main" id="{55BBF07C-DCD8-4DC6-AC3B-D598B2E69538}"/>
            </a:ext>
          </a:extLst>
        </xdr:cNvPr>
        <xdr:cNvSpPr>
          <a:spLocks noChangeAspect="1" noChangeArrowheads="1"/>
        </xdr:cNvSpPr>
      </xdr:nvSpPr>
      <xdr:spPr bwMode="auto">
        <a:xfrm>
          <a:off x="7639050" y="8515350"/>
          <a:ext cx="57150" cy="9525"/>
        </a:xfrm>
        <a:prstGeom prst="rect">
          <a:avLst/>
        </a:prstGeom>
        <a:noFill/>
      </xdr:spPr>
    </xdr:sp>
    <xdr:clientData/>
  </xdr:oneCellAnchor>
  <xdr:oneCellAnchor>
    <xdr:from>
      <xdr:col>5</xdr:col>
      <xdr:colOff>0</xdr:colOff>
      <xdr:row>58</xdr:row>
      <xdr:rowOff>0</xdr:rowOff>
    </xdr:from>
    <xdr:ext cx="57150" cy="9525"/>
    <xdr:sp macro="" textlink="">
      <xdr:nvSpPr>
        <xdr:cNvPr id="123" name="AutoShape 50" descr="Formula">
          <a:extLst>
            <a:ext uri="{FF2B5EF4-FFF2-40B4-BE49-F238E27FC236}">
              <a16:creationId xmlns:a16="http://schemas.microsoft.com/office/drawing/2014/main" id="{479E486C-BA35-4A73-9C35-029EF3D7196A}"/>
            </a:ext>
          </a:extLst>
        </xdr:cNvPr>
        <xdr:cNvSpPr>
          <a:spLocks noChangeAspect="1" noChangeArrowheads="1"/>
        </xdr:cNvSpPr>
      </xdr:nvSpPr>
      <xdr:spPr bwMode="auto">
        <a:xfrm>
          <a:off x="7639050" y="8515350"/>
          <a:ext cx="57150" cy="9525"/>
        </a:xfrm>
        <a:prstGeom prst="rect">
          <a:avLst/>
        </a:prstGeom>
        <a:noFill/>
      </xdr:spPr>
    </xdr:sp>
    <xdr:clientData/>
  </xdr:oneCellAnchor>
  <xdr:oneCellAnchor>
    <xdr:from>
      <xdr:col>5</xdr:col>
      <xdr:colOff>0</xdr:colOff>
      <xdr:row>61</xdr:row>
      <xdr:rowOff>0</xdr:rowOff>
    </xdr:from>
    <xdr:ext cx="57150" cy="9525"/>
    <xdr:sp macro="" textlink="">
      <xdr:nvSpPr>
        <xdr:cNvPr id="124" name="AutoShape 50" descr="Formula">
          <a:extLst>
            <a:ext uri="{FF2B5EF4-FFF2-40B4-BE49-F238E27FC236}">
              <a16:creationId xmlns:a16="http://schemas.microsoft.com/office/drawing/2014/main" id="{EA2AB79D-138D-4E11-B67B-5FDFE72FF353}"/>
            </a:ext>
          </a:extLst>
        </xdr:cNvPr>
        <xdr:cNvSpPr>
          <a:spLocks noChangeAspect="1" noChangeArrowheads="1"/>
        </xdr:cNvSpPr>
      </xdr:nvSpPr>
      <xdr:spPr bwMode="auto">
        <a:xfrm>
          <a:off x="7639050" y="8515350"/>
          <a:ext cx="57150" cy="9525"/>
        </a:xfrm>
        <a:prstGeom prst="rect">
          <a:avLst/>
        </a:prstGeom>
        <a:noFill/>
      </xdr:spPr>
    </xdr:sp>
    <xdr:clientData/>
  </xdr:oneCellAnchor>
  <xdr:oneCellAnchor>
    <xdr:from>
      <xdr:col>5</xdr:col>
      <xdr:colOff>0</xdr:colOff>
      <xdr:row>61</xdr:row>
      <xdr:rowOff>0</xdr:rowOff>
    </xdr:from>
    <xdr:ext cx="57150" cy="9525"/>
    <xdr:sp macro="" textlink="">
      <xdr:nvSpPr>
        <xdr:cNvPr id="125" name="AutoShape 50" descr="Formula">
          <a:extLst>
            <a:ext uri="{FF2B5EF4-FFF2-40B4-BE49-F238E27FC236}">
              <a16:creationId xmlns:a16="http://schemas.microsoft.com/office/drawing/2014/main" id="{2ECC5D90-6C12-44FE-B8CF-891DFCEF47A9}"/>
            </a:ext>
          </a:extLst>
        </xdr:cNvPr>
        <xdr:cNvSpPr>
          <a:spLocks noChangeAspect="1" noChangeArrowheads="1"/>
        </xdr:cNvSpPr>
      </xdr:nvSpPr>
      <xdr:spPr bwMode="auto">
        <a:xfrm>
          <a:off x="7639050" y="8515350"/>
          <a:ext cx="57150" cy="9525"/>
        </a:xfrm>
        <a:prstGeom prst="rect">
          <a:avLst/>
        </a:prstGeom>
        <a:noFill/>
      </xdr:spPr>
    </xdr:sp>
    <xdr:clientData/>
  </xdr:oneCellAnchor>
  <xdr:oneCellAnchor>
    <xdr:from>
      <xdr:col>5</xdr:col>
      <xdr:colOff>0</xdr:colOff>
      <xdr:row>64</xdr:row>
      <xdr:rowOff>0</xdr:rowOff>
    </xdr:from>
    <xdr:ext cx="57150" cy="9525"/>
    <xdr:sp macro="" textlink="">
      <xdr:nvSpPr>
        <xdr:cNvPr id="126" name="AutoShape 50" descr="Formula">
          <a:extLst>
            <a:ext uri="{FF2B5EF4-FFF2-40B4-BE49-F238E27FC236}">
              <a16:creationId xmlns:a16="http://schemas.microsoft.com/office/drawing/2014/main" id="{22D95B50-15D4-47AE-ABD1-A01E45C20B1D}"/>
            </a:ext>
          </a:extLst>
        </xdr:cNvPr>
        <xdr:cNvSpPr>
          <a:spLocks noChangeAspect="1" noChangeArrowheads="1"/>
        </xdr:cNvSpPr>
      </xdr:nvSpPr>
      <xdr:spPr bwMode="auto">
        <a:xfrm>
          <a:off x="7639050" y="8515350"/>
          <a:ext cx="57150" cy="9525"/>
        </a:xfrm>
        <a:prstGeom prst="rect">
          <a:avLst/>
        </a:prstGeom>
        <a:noFill/>
      </xdr:spPr>
    </xdr:sp>
    <xdr:clientData/>
  </xdr:oneCellAnchor>
  <xdr:oneCellAnchor>
    <xdr:from>
      <xdr:col>5</xdr:col>
      <xdr:colOff>0</xdr:colOff>
      <xdr:row>64</xdr:row>
      <xdr:rowOff>0</xdr:rowOff>
    </xdr:from>
    <xdr:ext cx="57150" cy="9525"/>
    <xdr:sp macro="" textlink="">
      <xdr:nvSpPr>
        <xdr:cNvPr id="127" name="AutoShape 50" descr="Formula">
          <a:extLst>
            <a:ext uri="{FF2B5EF4-FFF2-40B4-BE49-F238E27FC236}">
              <a16:creationId xmlns:a16="http://schemas.microsoft.com/office/drawing/2014/main" id="{7EB5D697-7546-428E-A2A2-2C3E31FCDAB6}"/>
            </a:ext>
          </a:extLst>
        </xdr:cNvPr>
        <xdr:cNvSpPr>
          <a:spLocks noChangeAspect="1" noChangeArrowheads="1"/>
        </xdr:cNvSpPr>
      </xdr:nvSpPr>
      <xdr:spPr bwMode="auto">
        <a:xfrm>
          <a:off x="7639050" y="8515350"/>
          <a:ext cx="57150" cy="9525"/>
        </a:xfrm>
        <a:prstGeom prst="rect">
          <a:avLst/>
        </a:prstGeom>
        <a:noFill/>
      </xdr:spPr>
    </xdr:sp>
    <xdr:clientData/>
  </xdr:oneCellAnchor>
  <xdr:oneCellAnchor>
    <xdr:from>
      <xdr:col>5</xdr:col>
      <xdr:colOff>0</xdr:colOff>
      <xdr:row>67</xdr:row>
      <xdr:rowOff>0</xdr:rowOff>
    </xdr:from>
    <xdr:ext cx="57150" cy="9525"/>
    <xdr:sp macro="" textlink="">
      <xdr:nvSpPr>
        <xdr:cNvPr id="128" name="AutoShape 50" descr="Formula">
          <a:extLst>
            <a:ext uri="{FF2B5EF4-FFF2-40B4-BE49-F238E27FC236}">
              <a16:creationId xmlns:a16="http://schemas.microsoft.com/office/drawing/2014/main" id="{1A45A9ED-01BA-4CBB-9ADB-55A2FCD7A035}"/>
            </a:ext>
          </a:extLst>
        </xdr:cNvPr>
        <xdr:cNvSpPr>
          <a:spLocks noChangeAspect="1" noChangeArrowheads="1"/>
        </xdr:cNvSpPr>
      </xdr:nvSpPr>
      <xdr:spPr bwMode="auto">
        <a:xfrm>
          <a:off x="7639050" y="8515350"/>
          <a:ext cx="57150" cy="9525"/>
        </a:xfrm>
        <a:prstGeom prst="rect">
          <a:avLst/>
        </a:prstGeom>
        <a:noFill/>
      </xdr:spPr>
    </xdr:sp>
    <xdr:clientData/>
  </xdr:oneCellAnchor>
  <xdr:oneCellAnchor>
    <xdr:from>
      <xdr:col>5</xdr:col>
      <xdr:colOff>0</xdr:colOff>
      <xdr:row>67</xdr:row>
      <xdr:rowOff>0</xdr:rowOff>
    </xdr:from>
    <xdr:ext cx="57150" cy="9525"/>
    <xdr:sp macro="" textlink="">
      <xdr:nvSpPr>
        <xdr:cNvPr id="129" name="AutoShape 50" descr="Formula">
          <a:extLst>
            <a:ext uri="{FF2B5EF4-FFF2-40B4-BE49-F238E27FC236}">
              <a16:creationId xmlns:a16="http://schemas.microsoft.com/office/drawing/2014/main" id="{8E210EFB-6093-44F4-866B-84028AD29703}"/>
            </a:ext>
          </a:extLst>
        </xdr:cNvPr>
        <xdr:cNvSpPr>
          <a:spLocks noChangeAspect="1" noChangeArrowheads="1"/>
        </xdr:cNvSpPr>
      </xdr:nvSpPr>
      <xdr:spPr bwMode="auto">
        <a:xfrm>
          <a:off x="7639050" y="8515350"/>
          <a:ext cx="57150" cy="9525"/>
        </a:xfrm>
        <a:prstGeom prst="rect">
          <a:avLst/>
        </a:prstGeom>
        <a:noFill/>
      </xdr:spPr>
    </xdr:sp>
    <xdr:clientData/>
  </xdr:oneCellAnchor>
  <xdr:oneCellAnchor>
    <xdr:from>
      <xdr:col>5</xdr:col>
      <xdr:colOff>0</xdr:colOff>
      <xdr:row>70</xdr:row>
      <xdr:rowOff>0</xdr:rowOff>
    </xdr:from>
    <xdr:ext cx="57150" cy="9525"/>
    <xdr:sp macro="" textlink="">
      <xdr:nvSpPr>
        <xdr:cNvPr id="130" name="AutoShape 50" descr="Formula">
          <a:extLst>
            <a:ext uri="{FF2B5EF4-FFF2-40B4-BE49-F238E27FC236}">
              <a16:creationId xmlns:a16="http://schemas.microsoft.com/office/drawing/2014/main" id="{2F61EFFA-9BE1-4E2E-AB03-8E956EB70C21}"/>
            </a:ext>
          </a:extLst>
        </xdr:cNvPr>
        <xdr:cNvSpPr>
          <a:spLocks noChangeAspect="1" noChangeArrowheads="1"/>
        </xdr:cNvSpPr>
      </xdr:nvSpPr>
      <xdr:spPr bwMode="auto">
        <a:xfrm>
          <a:off x="7639050" y="8515350"/>
          <a:ext cx="57150" cy="9525"/>
        </a:xfrm>
        <a:prstGeom prst="rect">
          <a:avLst/>
        </a:prstGeom>
        <a:noFill/>
      </xdr:spPr>
    </xdr:sp>
    <xdr:clientData/>
  </xdr:oneCellAnchor>
  <xdr:oneCellAnchor>
    <xdr:from>
      <xdr:col>5</xdr:col>
      <xdr:colOff>0</xdr:colOff>
      <xdr:row>70</xdr:row>
      <xdr:rowOff>0</xdr:rowOff>
    </xdr:from>
    <xdr:ext cx="57150" cy="9525"/>
    <xdr:sp macro="" textlink="">
      <xdr:nvSpPr>
        <xdr:cNvPr id="131" name="AutoShape 50" descr="Formula">
          <a:extLst>
            <a:ext uri="{FF2B5EF4-FFF2-40B4-BE49-F238E27FC236}">
              <a16:creationId xmlns:a16="http://schemas.microsoft.com/office/drawing/2014/main" id="{1BED4821-01EC-485F-80E3-A0FD2CB3A251}"/>
            </a:ext>
          </a:extLst>
        </xdr:cNvPr>
        <xdr:cNvSpPr>
          <a:spLocks noChangeAspect="1" noChangeArrowheads="1"/>
        </xdr:cNvSpPr>
      </xdr:nvSpPr>
      <xdr:spPr bwMode="auto">
        <a:xfrm>
          <a:off x="7639050" y="8515350"/>
          <a:ext cx="57150" cy="9525"/>
        </a:xfrm>
        <a:prstGeom prst="rect">
          <a:avLst/>
        </a:prstGeom>
        <a:noFill/>
      </xdr:spPr>
    </xdr:sp>
    <xdr:clientData/>
  </xdr:oneCellAnchor>
  <xdr:oneCellAnchor>
    <xdr:from>
      <xdr:col>5</xdr:col>
      <xdr:colOff>0</xdr:colOff>
      <xdr:row>73</xdr:row>
      <xdr:rowOff>0</xdr:rowOff>
    </xdr:from>
    <xdr:ext cx="57150" cy="9525"/>
    <xdr:sp macro="" textlink="">
      <xdr:nvSpPr>
        <xdr:cNvPr id="132" name="AutoShape 50" descr="Formula">
          <a:extLst>
            <a:ext uri="{FF2B5EF4-FFF2-40B4-BE49-F238E27FC236}">
              <a16:creationId xmlns:a16="http://schemas.microsoft.com/office/drawing/2014/main" id="{7FFEA68B-2007-4080-8016-28B8048A3F37}"/>
            </a:ext>
          </a:extLst>
        </xdr:cNvPr>
        <xdr:cNvSpPr>
          <a:spLocks noChangeAspect="1" noChangeArrowheads="1"/>
        </xdr:cNvSpPr>
      </xdr:nvSpPr>
      <xdr:spPr bwMode="auto">
        <a:xfrm>
          <a:off x="7639050" y="8515350"/>
          <a:ext cx="57150" cy="9525"/>
        </a:xfrm>
        <a:prstGeom prst="rect">
          <a:avLst/>
        </a:prstGeom>
        <a:noFill/>
      </xdr:spPr>
    </xdr:sp>
    <xdr:clientData/>
  </xdr:oneCellAnchor>
  <xdr:oneCellAnchor>
    <xdr:from>
      <xdr:col>5</xdr:col>
      <xdr:colOff>0</xdr:colOff>
      <xdr:row>73</xdr:row>
      <xdr:rowOff>0</xdr:rowOff>
    </xdr:from>
    <xdr:ext cx="57150" cy="9525"/>
    <xdr:sp macro="" textlink="">
      <xdr:nvSpPr>
        <xdr:cNvPr id="133" name="AutoShape 50" descr="Formula">
          <a:extLst>
            <a:ext uri="{FF2B5EF4-FFF2-40B4-BE49-F238E27FC236}">
              <a16:creationId xmlns:a16="http://schemas.microsoft.com/office/drawing/2014/main" id="{2D0ADF09-0305-4283-BD31-C6FD8416C394}"/>
            </a:ext>
          </a:extLst>
        </xdr:cNvPr>
        <xdr:cNvSpPr>
          <a:spLocks noChangeAspect="1" noChangeArrowheads="1"/>
        </xdr:cNvSpPr>
      </xdr:nvSpPr>
      <xdr:spPr bwMode="auto">
        <a:xfrm>
          <a:off x="7639050" y="8515350"/>
          <a:ext cx="57150" cy="9525"/>
        </a:xfrm>
        <a:prstGeom prst="rect">
          <a:avLst/>
        </a:prstGeom>
        <a:noFill/>
      </xdr:spPr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19050</xdr:colOff>
      <xdr:row>20</xdr:row>
      <xdr:rowOff>28575</xdr:rowOff>
    </xdr:from>
    <xdr:to>
      <xdr:col>2</xdr:col>
      <xdr:colOff>238125</xdr:colOff>
      <xdr:row>20</xdr:row>
      <xdr:rowOff>190500</xdr:rowOff>
    </xdr:to>
    <xdr:pic>
      <xdr:nvPicPr>
        <xdr:cNvPr id="3073" name="Picture 1" descr="http://en.f1-live.com/f1/img/drapeau/drap_eng.gif">
          <a:extLst>
            <a:ext uri="{FF2B5EF4-FFF2-40B4-BE49-F238E27FC236}">
              <a16:creationId xmlns:a16="http://schemas.microsoft.com/office/drawing/2014/main" id="{00000000-0008-0000-0600-00000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28650" y="28575"/>
          <a:ext cx="219075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19050</xdr:colOff>
      <xdr:row>20</xdr:row>
      <xdr:rowOff>19050</xdr:rowOff>
    </xdr:from>
    <xdr:to>
      <xdr:col>4</xdr:col>
      <xdr:colOff>238125</xdr:colOff>
      <xdr:row>20</xdr:row>
      <xdr:rowOff>180975</xdr:rowOff>
    </xdr:to>
    <xdr:pic>
      <xdr:nvPicPr>
        <xdr:cNvPr id="3074" name="Picture 2" descr="http://en.f1-live.com/f1/img/drapeau/drap_ita.gif">
          <a:extLst>
            <a:ext uri="{FF2B5EF4-FFF2-40B4-BE49-F238E27FC236}">
              <a16:creationId xmlns:a16="http://schemas.microsoft.com/office/drawing/2014/main" id="{00000000-0008-0000-0600-00000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705225" y="552450"/>
          <a:ext cx="219075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19050</xdr:colOff>
      <xdr:row>21</xdr:row>
      <xdr:rowOff>28575</xdr:rowOff>
    </xdr:from>
    <xdr:to>
      <xdr:col>2</xdr:col>
      <xdr:colOff>238125</xdr:colOff>
      <xdr:row>21</xdr:row>
      <xdr:rowOff>190500</xdr:rowOff>
    </xdr:to>
    <xdr:pic>
      <xdr:nvPicPr>
        <xdr:cNvPr id="3075" name="Picture 3" descr="http://en.f1-live.com/f1/img/drapeau/drap_fin.gif">
          <a:extLst>
            <a:ext uri="{FF2B5EF4-FFF2-40B4-BE49-F238E27FC236}">
              <a16:creationId xmlns:a16="http://schemas.microsoft.com/office/drawing/2014/main" id="{00000000-0008-0000-0600-00000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28650" y="228600"/>
          <a:ext cx="219075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19050</xdr:colOff>
      <xdr:row>21</xdr:row>
      <xdr:rowOff>19050</xdr:rowOff>
    </xdr:from>
    <xdr:to>
      <xdr:col>4</xdr:col>
      <xdr:colOff>238125</xdr:colOff>
      <xdr:row>21</xdr:row>
      <xdr:rowOff>180975</xdr:rowOff>
    </xdr:to>
    <xdr:pic>
      <xdr:nvPicPr>
        <xdr:cNvPr id="3076" name="Picture 4" descr="http://en.f1-live.com/f1/img/drapeau/drap_ita.gif">
          <a:extLst>
            <a:ext uri="{FF2B5EF4-FFF2-40B4-BE49-F238E27FC236}">
              <a16:creationId xmlns:a16="http://schemas.microsoft.com/office/drawing/2014/main" id="{00000000-0008-0000-0600-00000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705225" y="752475"/>
          <a:ext cx="219075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19050</xdr:colOff>
      <xdr:row>22</xdr:row>
      <xdr:rowOff>28575</xdr:rowOff>
    </xdr:from>
    <xdr:to>
      <xdr:col>2</xdr:col>
      <xdr:colOff>238125</xdr:colOff>
      <xdr:row>22</xdr:row>
      <xdr:rowOff>190500</xdr:rowOff>
    </xdr:to>
    <xdr:pic>
      <xdr:nvPicPr>
        <xdr:cNvPr id="3077" name="Picture 5" descr="http://en.f1-live.com/f1/img/drapeau/drap_esp.gif">
          <a:extLst>
            <a:ext uri="{FF2B5EF4-FFF2-40B4-BE49-F238E27FC236}">
              <a16:creationId xmlns:a16="http://schemas.microsoft.com/office/drawing/2014/main" id="{00000000-0008-0000-0600-00000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28650" y="428625"/>
          <a:ext cx="219075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19050</xdr:colOff>
      <xdr:row>22</xdr:row>
      <xdr:rowOff>28575</xdr:rowOff>
    </xdr:from>
    <xdr:to>
      <xdr:col>4</xdr:col>
      <xdr:colOff>238125</xdr:colOff>
      <xdr:row>22</xdr:row>
      <xdr:rowOff>190500</xdr:rowOff>
    </xdr:to>
    <xdr:pic>
      <xdr:nvPicPr>
        <xdr:cNvPr id="3078" name="Picture 6" descr="http://en.f1-live.com/f1/img/drapeau/drap_fra.gif">
          <a:extLst>
            <a:ext uri="{FF2B5EF4-FFF2-40B4-BE49-F238E27FC236}">
              <a16:creationId xmlns:a16="http://schemas.microsoft.com/office/drawing/2014/main" id="{00000000-0008-0000-0600-00000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3705225" y="962025"/>
          <a:ext cx="219075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19050</xdr:colOff>
      <xdr:row>23</xdr:row>
      <xdr:rowOff>28575</xdr:rowOff>
    </xdr:from>
    <xdr:to>
      <xdr:col>2</xdr:col>
      <xdr:colOff>238125</xdr:colOff>
      <xdr:row>23</xdr:row>
      <xdr:rowOff>190500</xdr:rowOff>
    </xdr:to>
    <xdr:pic>
      <xdr:nvPicPr>
        <xdr:cNvPr id="3079" name="Picture 7" descr="http://en.f1-live.com/f1/img/drapeau/drap_esp.gif">
          <a:extLst>
            <a:ext uri="{FF2B5EF4-FFF2-40B4-BE49-F238E27FC236}">
              <a16:creationId xmlns:a16="http://schemas.microsoft.com/office/drawing/2014/main" id="{00000000-0008-0000-0600-00000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238250" y="1162050"/>
          <a:ext cx="219075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19050</xdr:colOff>
      <xdr:row>23</xdr:row>
      <xdr:rowOff>28575</xdr:rowOff>
    </xdr:from>
    <xdr:to>
      <xdr:col>4</xdr:col>
      <xdr:colOff>238125</xdr:colOff>
      <xdr:row>23</xdr:row>
      <xdr:rowOff>190500</xdr:rowOff>
    </xdr:to>
    <xdr:pic>
      <xdr:nvPicPr>
        <xdr:cNvPr id="3080" name="Picture 8" descr="http://en.f1-live.com/f1/img/drapeau/drap_fra.gif">
          <a:extLst>
            <a:ext uri="{FF2B5EF4-FFF2-40B4-BE49-F238E27FC236}">
              <a16:creationId xmlns:a16="http://schemas.microsoft.com/office/drawing/2014/main" id="{00000000-0008-0000-0600-00000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3705225" y="1162050"/>
          <a:ext cx="219075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19050</xdr:colOff>
      <xdr:row>24</xdr:row>
      <xdr:rowOff>28575</xdr:rowOff>
    </xdr:from>
    <xdr:to>
      <xdr:col>2</xdr:col>
      <xdr:colOff>238125</xdr:colOff>
      <xdr:row>24</xdr:row>
      <xdr:rowOff>190500</xdr:rowOff>
    </xdr:to>
    <xdr:pic>
      <xdr:nvPicPr>
        <xdr:cNvPr id="3081" name="Picture 9" descr="http://en.f1-live.com/f1/img/drapeau/drap_all.gif">
          <a:extLst>
            <a:ext uri="{FF2B5EF4-FFF2-40B4-BE49-F238E27FC236}">
              <a16:creationId xmlns:a16="http://schemas.microsoft.com/office/drawing/2014/main" id="{00000000-0008-0000-0600-00000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1238250" y="1362075"/>
          <a:ext cx="219075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19050</xdr:colOff>
      <xdr:row>24</xdr:row>
      <xdr:rowOff>28575</xdr:rowOff>
    </xdr:from>
    <xdr:to>
      <xdr:col>4</xdr:col>
      <xdr:colOff>238125</xdr:colOff>
      <xdr:row>24</xdr:row>
      <xdr:rowOff>190500</xdr:rowOff>
    </xdr:to>
    <xdr:pic>
      <xdr:nvPicPr>
        <xdr:cNvPr id="3082" name="Picture 10" descr="http://en.f1-live.com/f1/img/drapeau/drap_ita.gif">
          <a:extLst>
            <a:ext uri="{FF2B5EF4-FFF2-40B4-BE49-F238E27FC236}">
              <a16:creationId xmlns:a16="http://schemas.microsoft.com/office/drawing/2014/main" id="{00000000-0008-0000-0600-00000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705225" y="1362075"/>
          <a:ext cx="219075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19050</xdr:colOff>
      <xdr:row>25</xdr:row>
      <xdr:rowOff>28575</xdr:rowOff>
    </xdr:from>
    <xdr:to>
      <xdr:col>2</xdr:col>
      <xdr:colOff>238125</xdr:colOff>
      <xdr:row>25</xdr:row>
      <xdr:rowOff>190500</xdr:rowOff>
    </xdr:to>
    <xdr:pic>
      <xdr:nvPicPr>
        <xdr:cNvPr id="3083" name="Picture 11" descr="http://en.f1-live.com/f1/img/drapeau/drap_all.gif">
          <a:extLst>
            <a:ext uri="{FF2B5EF4-FFF2-40B4-BE49-F238E27FC236}">
              <a16:creationId xmlns:a16="http://schemas.microsoft.com/office/drawing/2014/main" id="{00000000-0008-0000-0600-00000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1238250" y="1562100"/>
          <a:ext cx="219075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19050</xdr:colOff>
      <xdr:row>25</xdr:row>
      <xdr:rowOff>19050</xdr:rowOff>
    </xdr:from>
    <xdr:to>
      <xdr:col>4</xdr:col>
      <xdr:colOff>238125</xdr:colOff>
      <xdr:row>25</xdr:row>
      <xdr:rowOff>180975</xdr:rowOff>
    </xdr:to>
    <xdr:pic>
      <xdr:nvPicPr>
        <xdr:cNvPr id="3084" name="Picture 12" descr="http://en.f1-live.com/f1/img/drapeau/drap_ita.gif">
          <a:extLst>
            <a:ext uri="{FF2B5EF4-FFF2-40B4-BE49-F238E27FC236}">
              <a16:creationId xmlns:a16="http://schemas.microsoft.com/office/drawing/2014/main" id="{00000000-0008-0000-0600-00000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705225" y="1552575"/>
          <a:ext cx="219075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19050</xdr:colOff>
      <xdr:row>26</xdr:row>
      <xdr:rowOff>28575</xdr:rowOff>
    </xdr:from>
    <xdr:to>
      <xdr:col>2</xdr:col>
      <xdr:colOff>238125</xdr:colOff>
      <xdr:row>26</xdr:row>
      <xdr:rowOff>190500</xdr:rowOff>
    </xdr:to>
    <xdr:pic>
      <xdr:nvPicPr>
        <xdr:cNvPr id="3085" name="Picture 13" descr="http://en.f1-live.com/f1/img/drapeau/drap_all.gif">
          <a:extLst>
            <a:ext uri="{FF2B5EF4-FFF2-40B4-BE49-F238E27FC236}">
              <a16:creationId xmlns:a16="http://schemas.microsoft.com/office/drawing/2014/main" id="{00000000-0008-0000-0600-00000D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1238250" y="1762125"/>
          <a:ext cx="219075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19050</xdr:colOff>
      <xdr:row>26</xdr:row>
      <xdr:rowOff>28575</xdr:rowOff>
    </xdr:from>
    <xdr:to>
      <xdr:col>4</xdr:col>
      <xdr:colOff>238125</xdr:colOff>
      <xdr:row>26</xdr:row>
      <xdr:rowOff>190500</xdr:rowOff>
    </xdr:to>
    <xdr:pic>
      <xdr:nvPicPr>
        <xdr:cNvPr id="3086" name="Picture 14" descr="http://en.f1-live.com/f1/img/drapeau/drap_ita.gif">
          <a:extLst>
            <a:ext uri="{FF2B5EF4-FFF2-40B4-BE49-F238E27FC236}">
              <a16:creationId xmlns:a16="http://schemas.microsoft.com/office/drawing/2014/main" id="{00000000-0008-0000-0600-00000E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705225" y="1762125"/>
          <a:ext cx="219075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19050</xdr:colOff>
      <xdr:row>27</xdr:row>
      <xdr:rowOff>28575</xdr:rowOff>
    </xdr:from>
    <xdr:to>
      <xdr:col>2</xdr:col>
      <xdr:colOff>238125</xdr:colOff>
      <xdr:row>27</xdr:row>
      <xdr:rowOff>190500</xdr:rowOff>
    </xdr:to>
    <xdr:pic>
      <xdr:nvPicPr>
        <xdr:cNvPr id="3087" name="Picture 15" descr="http://en.f1-live.com/f1/img/drapeau/drap_all.gif">
          <a:extLst>
            <a:ext uri="{FF2B5EF4-FFF2-40B4-BE49-F238E27FC236}">
              <a16:creationId xmlns:a16="http://schemas.microsoft.com/office/drawing/2014/main" id="{00000000-0008-0000-0600-00000F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1238250" y="1962150"/>
          <a:ext cx="219075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19050</xdr:colOff>
      <xdr:row>27</xdr:row>
      <xdr:rowOff>28575</xdr:rowOff>
    </xdr:from>
    <xdr:to>
      <xdr:col>4</xdr:col>
      <xdr:colOff>238125</xdr:colOff>
      <xdr:row>27</xdr:row>
      <xdr:rowOff>190500</xdr:rowOff>
    </xdr:to>
    <xdr:pic>
      <xdr:nvPicPr>
        <xdr:cNvPr id="3088" name="Picture 16" descr="http://en.f1-live.com/f1/img/drapeau/drap_ita.gif">
          <a:extLst>
            <a:ext uri="{FF2B5EF4-FFF2-40B4-BE49-F238E27FC236}">
              <a16:creationId xmlns:a16="http://schemas.microsoft.com/office/drawing/2014/main" id="{00000000-0008-0000-0600-00001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705225" y="1962150"/>
          <a:ext cx="219075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19050</xdr:colOff>
      <xdr:row>28</xdr:row>
      <xdr:rowOff>28575</xdr:rowOff>
    </xdr:from>
    <xdr:to>
      <xdr:col>2</xdr:col>
      <xdr:colOff>238125</xdr:colOff>
      <xdr:row>28</xdr:row>
      <xdr:rowOff>190500</xdr:rowOff>
    </xdr:to>
    <xdr:pic>
      <xdr:nvPicPr>
        <xdr:cNvPr id="3089" name="Picture 17" descr="http://en.f1-live.com/f1/img/drapeau/drap_all.gif">
          <a:extLst>
            <a:ext uri="{FF2B5EF4-FFF2-40B4-BE49-F238E27FC236}">
              <a16:creationId xmlns:a16="http://schemas.microsoft.com/office/drawing/2014/main" id="{00000000-0008-0000-0600-00001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1238250" y="2162175"/>
          <a:ext cx="219075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19050</xdr:colOff>
      <xdr:row>28</xdr:row>
      <xdr:rowOff>19050</xdr:rowOff>
    </xdr:from>
    <xdr:to>
      <xdr:col>4</xdr:col>
      <xdr:colOff>238125</xdr:colOff>
      <xdr:row>28</xdr:row>
      <xdr:rowOff>180975</xdr:rowOff>
    </xdr:to>
    <xdr:pic>
      <xdr:nvPicPr>
        <xdr:cNvPr id="3090" name="Picture 18" descr="http://en.f1-live.com/f1/img/drapeau/drap_ita.gif">
          <a:extLst>
            <a:ext uri="{FF2B5EF4-FFF2-40B4-BE49-F238E27FC236}">
              <a16:creationId xmlns:a16="http://schemas.microsoft.com/office/drawing/2014/main" id="{00000000-0008-0000-0600-00001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705225" y="2152650"/>
          <a:ext cx="219075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19050</xdr:colOff>
      <xdr:row>29</xdr:row>
      <xdr:rowOff>28575</xdr:rowOff>
    </xdr:from>
    <xdr:to>
      <xdr:col>2</xdr:col>
      <xdr:colOff>238125</xdr:colOff>
      <xdr:row>29</xdr:row>
      <xdr:rowOff>190500</xdr:rowOff>
    </xdr:to>
    <xdr:pic>
      <xdr:nvPicPr>
        <xdr:cNvPr id="3091" name="Picture 19" descr="http://en.f1-live.com/f1/img/drapeau/drap_fin.gif">
          <a:extLst>
            <a:ext uri="{FF2B5EF4-FFF2-40B4-BE49-F238E27FC236}">
              <a16:creationId xmlns:a16="http://schemas.microsoft.com/office/drawing/2014/main" id="{00000000-0008-0000-0600-00001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238250" y="2362200"/>
          <a:ext cx="219075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19050</xdr:colOff>
      <xdr:row>29</xdr:row>
      <xdr:rowOff>19050</xdr:rowOff>
    </xdr:from>
    <xdr:to>
      <xdr:col>4</xdr:col>
      <xdr:colOff>238125</xdr:colOff>
      <xdr:row>29</xdr:row>
      <xdr:rowOff>180975</xdr:rowOff>
    </xdr:to>
    <xdr:pic>
      <xdr:nvPicPr>
        <xdr:cNvPr id="3092" name="Picture 20" descr="http://en.f1-live.com/f1/img/drapeau/drap_ita.gif">
          <a:extLst>
            <a:ext uri="{FF2B5EF4-FFF2-40B4-BE49-F238E27FC236}">
              <a16:creationId xmlns:a16="http://schemas.microsoft.com/office/drawing/2014/main" id="{00000000-0008-0000-0600-00001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705225" y="2352675"/>
          <a:ext cx="219075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19050</xdr:colOff>
      <xdr:row>30</xdr:row>
      <xdr:rowOff>28575</xdr:rowOff>
    </xdr:from>
    <xdr:to>
      <xdr:col>2</xdr:col>
      <xdr:colOff>238125</xdr:colOff>
      <xdr:row>30</xdr:row>
      <xdr:rowOff>190500</xdr:rowOff>
    </xdr:to>
    <xdr:pic>
      <xdr:nvPicPr>
        <xdr:cNvPr id="3093" name="Picture 21" descr="http://en.f1-live.com/f1/img/drapeau/drap_fin.gif">
          <a:extLst>
            <a:ext uri="{FF2B5EF4-FFF2-40B4-BE49-F238E27FC236}">
              <a16:creationId xmlns:a16="http://schemas.microsoft.com/office/drawing/2014/main" id="{00000000-0008-0000-0600-00001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238250" y="2562225"/>
          <a:ext cx="219075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19050</xdr:colOff>
      <xdr:row>30</xdr:row>
      <xdr:rowOff>28575</xdr:rowOff>
    </xdr:from>
    <xdr:to>
      <xdr:col>4</xdr:col>
      <xdr:colOff>238125</xdr:colOff>
      <xdr:row>30</xdr:row>
      <xdr:rowOff>190500</xdr:rowOff>
    </xdr:to>
    <xdr:pic>
      <xdr:nvPicPr>
        <xdr:cNvPr id="3094" name="Picture 22" descr="http://en.f1-live.com/f1/img/drapeau/drap_eng.gif">
          <a:extLst>
            <a:ext uri="{FF2B5EF4-FFF2-40B4-BE49-F238E27FC236}">
              <a16:creationId xmlns:a16="http://schemas.microsoft.com/office/drawing/2014/main" id="{00000000-0008-0000-0600-00001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705225" y="2562225"/>
          <a:ext cx="219075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19050</xdr:colOff>
      <xdr:row>31</xdr:row>
      <xdr:rowOff>28575</xdr:rowOff>
    </xdr:from>
    <xdr:to>
      <xdr:col>2</xdr:col>
      <xdr:colOff>238125</xdr:colOff>
      <xdr:row>31</xdr:row>
      <xdr:rowOff>190500</xdr:rowOff>
    </xdr:to>
    <xdr:pic>
      <xdr:nvPicPr>
        <xdr:cNvPr id="3095" name="Picture 23" descr="http://en.f1-live.com/f1/img/drapeau/drap_can.gif">
          <a:extLst>
            <a:ext uri="{FF2B5EF4-FFF2-40B4-BE49-F238E27FC236}">
              <a16:creationId xmlns:a16="http://schemas.microsoft.com/office/drawing/2014/main" id="{00000000-0008-0000-0600-00001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1238250" y="2762250"/>
          <a:ext cx="219075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19050</xdr:colOff>
      <xdr:row>31</xdr:row>
      <xdr:rowOff>28575</xdr:rowOff>
    </xdr:from>
    <xdr:to>
      <xdr:col>4</xdr:col>
      <xdr:colOff>238125</xdr:colOff>
      <xdr:row>31</xdr:row>
      <xdr:rowOff>190500</xdr:rowOff>
    </xdr:to>
    <xdr:pic>
      <xdr:nvPicPr>
        <xdr:cNvPr id="3096" name="Picture 24" descr="http://en.f1-live.com/f1/img/drapeau/drap_eng.gif">
          <a:extLst>
            <a:ext uri="{FF2B5EF4-FFF2-40B4-BE49-F238E27FC236}">
              <a16:creationId xmlns:a16="http://schemas.microsoft.com/office/drawing/2014/main" id="{00000000-0008-0000-0600-00001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705225" y="2762250"/>
          <a:ext cx="219075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19050</xdr:colOff>
      <xdr:row>32</xdr:row>
      <xdr:rowOff>28575</xdr:rowOff>
    </xdr:from>
    <xdr:to>
      <xdr:col>2</xdr:col>
      <xdr:colOff>238125</xdr:colOff>
      <xdr:row>32</xdr:row>
      <xdr:rowOff>190500</xdr:rowOff>
    </xdr:to>
    <xdr:pic>
      <xdr:nvPicPr>
        <xdr:cNvPr id="3097" name="Picture 25" descr="http://en.f1-live.com/f1/img/drapeau/drap_eng.gif">
          <a:extLst>
            <a:ext uri="{FF2B5EF4-FFF2-40B4-BE49-F238E27FC236}">
              <a16:creationId xmlns:a16="http://schemas.microsoft.com/office/drawing/2014/main" id="{00000000-0008-0000-0600-00001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0" y="2962275"/>
          <a:ext cx="219075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19050</xdr:colOff>
      <xdr:row>32</xdr:row>
      <xdr:rowOff>38100</xdr:rowOff>
    </xdr:from>
    <xdr:to>
      <xdr:col>4</xdr:col>
      <xdr:colOff>238125</xdr:colOff>
      <xdr:row>33</xdr:row>
      <xdr:rowOff>0</xdr:rowOff>
    </xdr:to>
    <xdr:pic>
      <xdr:nvPicPr>
        <xdr:cNvPr id="3098" name="Picture 26" descr="http://en.f1-live.com/f1/img/drapeau/drap_eng.gif">
          <a:extLst>
            <a:ext uri="{FF2B5EF4-FFF2-40B4-BE49-F238E27FC236}">
              <a16:creationId xmlns:a16="http://schemas.microsoft.com/office/drawing/2014/main" id="{00000000-0008-0000-0600-00001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705225" y="2971800"/>
          <a:ext cx="219075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19050</xdr:colOff>
      <xdr:row>33</xdr:row>
      <xdr:rowOff>19050</xdr:rowOff>
    </xdr:from>
    <xdr:to>
      <xdr:col>2</xdr:col>
      <xdr:colOff>238125</xdr:colOff>
      <xdr:row>33</xdr:row>
      <xdr:rowOff>180975</xdr:rowOff>
    </xdr:to>
    <xdr:pic>
      <xdr:nvPicPr>
        <xdr:cNvPr id="3099" name="Picture 27" descr="http://en.f1-live.com/f1/img/drapeau/drap_all.gif">
          <a:extLst>
            <a:ext uri="{FF2B5EF4-FFF2-40B4-BE49-F238E27FC236}">
              <a16:creationId xmlns:a16="http://schemas.microsoft.com/office/drawing/2014/main" id="{00000000-0008-0000-0600-00001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1238250" y="3171825"/>
          <a:ext cx="219075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19050</xdr:colOff>
      <xdr:row>33</xdr:row>
      <xdr:rowOff>19050</xdr:rowOff>
    </xdr:from>
    <xdr:to>
      <xdr:col>4</xdr:col>
      <xdr:colOff>238125</xdr:colOff>
      <xdr:row>33</xdr:row>
      <xdr:rowOff>180975</xdr:rowOff>
    </xdr:to>
    <xdr:pic>
      <xdr:nvPicPr>
        <xdr:cNvPr id="3100" name="Picture 28" descr="http://en.f1-live.com/f1/img/drapeau/drap_eng.gif">
          <a:extLst>
            <a:ext uri="{FF2B5EF4-FFF2-40B4-BE49-F238E27FC236}">
              <a16:creationId xmlns:a16="http://schemas.microsoft.com/office/drawing/2014/main" id="{00000000-0008-0000-0600-00001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705225" y="3171825"/>
          <a:ext cx="219075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19050</xdr:colOff>
      <xdr:row>34</xdr:row>
      <xdr:rowOff>19050</xdr:rowOff>
    </xdr:from>
    <xdr:to>
      <xdr:col>2</xdr:col>
      <xdr:colOff>238125</xdr:colOff>
      <xdr:row>34</xdr:row>
      <xdr:rowOff>180975</xdr:rowOff>
    </xdr:to>
    <xdr:pic>
      <xdr:nvPicPr>
        <xdr:cNvPr id="3101" name="Picture 29" descr="http://en.f1-live.com/f1/img/drapeau/drap_all.gif">
          <a:extLst>
            <a:ext uri="{FF2B5EF4-FFF2-40B4-BE49-F238E27FC236}">
              <a16:creationId xmlns:a16="http://schemas.microsoft.com/office/drawing/2014/main" id="{00000000-0008-0000-0600-00001D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1238250" y="3371850"/>
          <a:ext cx="219075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19050</xdr:colOff>
      <xdr:row>34</xdr:row>
      <xdr:rowOff>19050</xdr:rowOff>
    </xdr:from>
    <xdr:to>
      <xdr:col>4</xdr:col>
      <xdr:colOff>238125</xdr:colOff>
      <xdr:row>34</xdr:row>
      <xdr:rowOff>180975</xdr:rowOff>
    </xdr:to>
    <xdr:pic>
      <xdr:nvPicPr>
        <xdr:cNvPr id="3102" name="Picture 30" descr="http://en.f1-live.com/f1/img/drapeau/drap_eng.gif">
          <a:extLst>
            <a:ext uri="{FF2B5EF4-FFF2-40B4-BE49-F238E27FC236}">
              <a16:creationId xmlns:a16="http://schemas.microsoft.com/office/drawing/2014/main" id="{00000000-0008-0000-0600-00001E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705225" y="3371850"/>
          <a:ext cx="219075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19050</xdr:colOff>
      <xdr:row>35</xdr:row>
      <xdr:rowOff>19050</xdr:rowOff>
    </xdr:from>
    <xdr:to>
      <xdr:col>2</xdr:col>
      <xdr:colOff>238125</xdr:colOff>
      <xdr:row>35</xdr:row>
      <xdr:rowOff>180975</xdr:rowOff>
    </xdr:to>
    <xdr:pic>
      <xdr:nvPicPr>
        <xdr:cNvPr id="3103" name="Picture 31" descr="http://en.f1-live.com/f1/img/drapeau/drap_fra.gif">
          <a:extLst>
            <a:ext uri="{FF2B5EF4-FFF2-40B4-BE49-F238E27FC236}">
              <a16:creationId xmlns:a16="http://schemas.microsoft.com/office/drawing/2014/main" id="{00000000-0008-0000-0600-00001F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238250" y="3571875"/>
          <a:ext cx="219075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19050</xdr:colOff>
      <xdr:row>35</xdr:row>
      <xdr:rowOff>28575</xdr:rowOff>
    </xdr:from>
    <xdr:to>
      <xdr:col>4</xdr:col>
      <xdr:colOff>238125</xdr:colOff>
      <xdr:row>35</xdr:row>
      <xdr:rowOff>190500</xdr:rowOff>
    </xdr:to>
    <xdr:pic>
      <xdr:nvPicPr>
        <xdr:cNvPr id="3104" name="Picture 32" descr="http://en.f1-live.com/f1/img/drapeau/drap_eng.gif">
          <a:extLst>
            <a:ext uri="{FF2B5EF4-FFF2-40B4-BE49-F238E27FC236}">
              <a16:creationId xmlns:a16="http://schemas.microsoft.com/office/drawing/2014/main" id="{00000000-0008-0000-0600-00002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705225" y="3581400"/>
          <a:ext cx="219075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19050</xdr:colOff>
      <xdr:row>36</xdr:row>
      <xdr:rowOff>28575</xdr:rowOff>
    </xdr:from>
    <xdr:to>
      <xdr:col>2</xdr:col>
      <xdr:colOff>238125</xdr:colOff>
      <xdr:row>36</xdr:row>
      <xdr:rowOff>190500</xdr:rowOff>
    </xdr:to>
    <xdr:pic>
      <xdr:nvPicPr>
        <xdr:cNvPr id="3105" name="Picture 33" descr="http://en.f1-live.com/f1/img/drapeau/drap_eng.gif">
          <a:extLst>
            <a:ext uri="{FF2B5EF4-FFF2-40B4-BE49-F238E27FC236}">
              <a16:creationId xmlns:a16="http://schemas.microsoft.com/office/drawing/2014/main" id="{00000000-0008-0000-0600-00002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0" y="3781425"/>
          <a:ext cx="219075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19050</xdr:colOff>
      <xdr:row>36</xdr:row>
      <xdr:rowOff>28575</xdr:rowOff>
    </xdr:from>
    <xdr:to>
      <xdr:col>4</xdr:col>
      <xdr:colOff>238125</xdr:colOff>
      <xdr:row>36</xdr:row>
      <xdr:rowOff>190500</xdr:rowOff>
    </xdr:to>
    <xdr:pic>
      <xdr:nvPicPr>
        <xdr:cNvPr id="3106" name="Picture 34" descr="http://en.f1-live.com/f1/img/drapeau/drap_eng.gif">
          <a:extLst>
            <a:ext uri="{FF2B5EF4-FFF2-40B4-BE49-F238E27FC236}">
              <a16:creationId xmlns:a16="http://schemas.microsoft.com/office/drawing/2014/main" id="{00000000-0008-0000-0600-00002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705225" y="3781425"/>
          <a:ext cx="219075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19050</xdr:colOff>
      <xdr:row>37</xdr:row>
      <xdr:rowOff>28575</xdr:rowOff>
    </xdr:from>
    <xdr:to>
      <xdr:col>2</xdr:col>
      <xdr:colOff>238125</xdr:colOff>
      <xdr:row>37</xdr:row>
      <xdr:rowOff>190500</xdr:rowOff>
    </xdr:to>
    <xdr:pic>
      <xdr:nvPicPr>
        <xdr:cNvPr id="3107" name="Picture 35" descr="http://en.f1-live.com/f1/img/drapeau/drap_bre.gif">
          <a:extLst>
            <a:ext uri="{FF2B5EF4-FFF2-40B4-BE49-F238E27FC236}">
              <a16:creationId xmlns:a16="http://schemas.microsoft.com/office/drawing/2014/main" id="{00000000-0008-0000-0600-00002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1238250" y="3981450"/>
          <a:ext cx="219075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19050</xdr:colOff>
      <xdr:row>37</xdr:row>
      <xdr:rowOff>28575</xdr:rowOff>
    </xdr:from>
    <xdr:to>
      <xdr:col>4</xdr:col>
      <xdr:colOff>238125</xdr:colOff>
      <xdr:row>37</xdr:row>
      <xdr:rowOff>190500</xdr:rowOff>
    </xdr:to>
    <xdr:pic>
      <xdr:nvPicPr>
        <xdr:cNvPr id="3108" name="Picture 36" descr="http://en.f1-live.com/f1/img/drapeau/drap_eng.gif">
          <a:extLst>
            <a:ext uri="{FF2B5EF4-FFF2-40B4-BE49-F238E27FC236}">
              <a16:creationId xmlns:a16="http://schemas.microsoft.com/office/drawing/2014/main" id="{00000000-0008-0000-0600-00002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705225" y="3981450"/>
          <a:ext cx="219075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19050</xdr:colOff>
      <xdr:row>38</xdr:row>
      <xdr:rowOff>28575</xdr:rowOff>
    </xdr:from>
    <xdr:to>
      <xdr:col>2</xdr:col>
      <xdr:colOff>238125</xdr:colOff>
      <xdr:row>38</xdr:row>
      <xdr:rowOff>190500</xdr:rowOff>
    </xdr:to>
    <xdr:pic>
      <xdr:nvPicPr>
        <xdr:cNvPr id="3109" name="Picture 37" descr="http://en.f1-live.com/f1/img/drapeau/drap_bre.gif">
          <a:extLst>
            <a:ext uri="{FF2B5EF4-FFF2-40B4-BE49-F238E27FC236}">
              <a16:creationId xmlns:a16="http://schemas.microsoft.com/office/drawing/2014/main" id="{00000000-0008-0000-0600-00002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1238250" y="4181475"/>
          <a:ext cx="219075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19050</xdr:colOff>
      <xdr:row>38</xdr:row>
      <xdr:rowOff>38100</xdr:rowOff>
    </xdr:from>
    <xdr:to>
      <xdr:col>4</xdr:col>
      <xdr:colOff>238125</xdr:colOff>
      <xdr:row>39</xdr:row>
      <xdr:rowOff>0</xdr:rowOff>
    </xdr:to>
    <xdr:pic>
      <xdr:nvPicPr>
        <xdr:cNvPr id="3110" name="Picture 38" descr="http://en.f1-live.com/f1/img/drapeau/drap_eng.gif">
          <a:extLst>
            <a:ext uri="{FF2B5EF4-FFF2-40B4-BE49-F238E27FC236}">
              <a16:creationId xmlns:a16="http://schemas.microsoft.com/office/drawing/2014/main" id="{00000000-0008-0000-0600-00002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705225" y="4191000"/>
          <a:ext cx="219075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19050</xdr:colOff>
      <xdr:row>39</xdr:row>
      <xdr:rowOff>28575</xdr:rowOff>
    </xdr:from>
    <xdr:to>
      <xdr:col>2</xdr:col>
      <xdr:colOff>238125</xdr:colOff>
      <xdr:row>39</xdr:row>
      <xdr:rowOff>190500</xdr:rowOff>
    </xdr:to>
    <xdr:pic>
      <xdr:nvPicPr>
        <xdr:cNvPr id="3111" name="Picture 39" descr="http://en.f1-live.com/f1/img/drapeau/drap_fra.gif">
          <a:extLst>
            <a:ext uri="{FF2B5EF4-FFF2-40B4-BE49-F238E27FC236}">
              <a16:creationId xmlns:a16="http://schemas.microsoft.com/office/drawing/2014/main" id="{00000000-0008-0000-0600-00002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076325" y="7477125"/>
          <a:ext cx="219075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9525</xdr:colOff>
      <xdr:row>39</xdr:row>
      <xdr:rowOff>38100</xdr:rowOff>
    </xdr:from>
    <xdr:to>
      <xdr:col>4</xdr:col>
      <xdr:colOff>228600</xdr:colOff>
      <xdr:row>40</xdr:row>
      <xdr:rowOff>0</xdr:rowOff>
    </xdr:to>
    <xdr:pic>
      <xdr:nvPicPr>
        <xdr:cNvPr id="3112" name="Picture 40" descr="http://en.f1-live.com/f1/img/drapeau/drap_eng.gif">
          <a:extLst>
            <a:ext uri="{FF2B5EF4-FFF2-40B4-BE49-F238E27FC236}">
              <a16:creationId xmlns:a16="http://schemas.microsoft.com/office/drawing/2014/main" id="{00000000-0008-0000-0600-00002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695700" y="4391025"/>
          <a:ext cx="219075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19050</xdr:colOff>
      <xdr:row>40</xdr:row>
      <xdr:rowOff>28575</xdr:rowOff>
    </xdr:from>
    <xdr:to>
      <xdr:col>2</xdr:col>
      <xdr:colOff>238125</xdr:colOff>
      <xdr:row>40</xdr:row>
      <xdr:rowOff>190500</xdr:rowOff>
    </xdr:to>
    <xdr:pic>
      <xdr:nvPicPr>
        <xdr:cNvPr id="3113" name="Picture 41" descr="http://en.f1-live.com/f1/img/drapeau/drap_bre.gif">
          <a:extLst>
            <a:ext uri="{FF2B5EF4-FFF2-40B4-BE49-F238E27FC236}">
              <a16:creationId xmlns:a16="http://schemas.microsoft.com/office/drawing/2014/main" id="{00000000-0008-0000-0600-00002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1238250" y="4581525"/>
          <a:ext cx="219075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9525</xdr:colOff>
      <xdr:row>40</xdr:row>
      <xdr:rowOff>28575</xdr:rowOff>
    </xdr:from>
    <xdr:to>
      <xdr:col>4</xdr:col>
      <xdr:colOff>228600</xdr:colOff>
      <xdr:row>40</xdr:row>
      <xdr:rowOff>190500</xdr:rowOff>
    </xdr:to>
    <xdr:pic>
      <xdr:nvPicPr>
        <xdr:cNvPr id="3114" name="Picture 42" descr="http://en.f1-live.com/f1/img/drapeau/drap_eng.gif">
          <a:extLst>
            <a:ext uri="{FF2B5EF4-FFF2-40B4-BE49-F238E27FC236}">
              <a16:creationId xmlns:a16="http://schemas.microsoft.com/office/drawing/2014/main" id="{00000000-0008-0000-0600-00002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695700" y="4581525"/>
          <a:ext cx="219075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19050</xdr:colOff>
      <xdr:row>41</xdr:row>
      <xdr:rowOff>28575</xdr:rowOff>
    </xdr:from>
    <xdr:to>
      <xdr:col>2</xdr:col>
      <xdr:colOff>238125</xdr:colOff>
      <xdr:row>41</xdr:row>
      <xdr:rowOff>190500</xdr:rowOff>
    </xdr:to>
    <xdr:pic>
      <xdr:nvPicPr>
        <xdr:cNvPr id="3115" name="Picture 43" descr="http://en.f1-live.com/f1/img/drapeau/drap_bre.gif">
          <a:extLst>
            <a:ext uri="{FF2B5EF4-FFF2-40B4-BE49-F238E27FC236}">
              <a16:creationId xmlns:a16="http://schemas.microsoft.com/office/drawing/2014/main" id="{00000000-0008-0000-0600-00002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1238250" y="4781550"/>
          <a:ext cx="219075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9525</xdr:colOff>
      <xdr:row>41</xdr:row>
      <xdr:rowOff>28575</xdr:rowOff>
    </xdr:from>
    <xdr:to>
      <xdr:col>4</xdr:col>
      <xdr:colOff>228600</xdr:colOff>
      <xdr:row>41</xdr:row>
      <xdr:rowOff>190500</xdr:rowOff>
    </xdr:to>
    <xdr:pic>
      <xdr:nvPicPr>
        <xdr:cNvPr id="3116" name="Picture 44" descr="http://en.f1-live.com/f1/img/drapeau/drap_eng.gif">
          <a:extLst>
            <a:ext uri="{FF2B5EF4-FFF2-40B4-BE49-F238E27FC236}">
              <a16:creationId xmlns:a16="http://schemas.microsoft.com/office/drawing/2014/main" id="{00000000-0008-0000-0600-00002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695700" y="4781550"/>
          <a:ext cx="219075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19050</xdr:colOff>
      <xdr:row>42</xdr:row>
      <xdr:rowOff>19050</xdr:rowOff>
    </xdr:from>
    <xdr:to>
      <xdr:col>2</xdr:col>
      <xdr:colOff>238125</xdr:colOff>
      <xdr:row>42</xdr:row>
      <xdr:rowOff>180975</xdr:rowOff>
    </xdr:to>
    <xdr:pic>
      <xdr:nvPicPr>
        <xdr:cNvPr id="3117" name="Picture 45" descr="http://en.f1-live.com/f1/img/drapeau/drap_fra.gif">
          <a:extLst>
            <a:ext uri="{FF2B5EF4-FFF2-40B4-BE49-F238E27FC236}">
              <a16:creationId xmlns:a16="http://schemas.microsoft.com/office/drawing/2014/main" id="{00000000-0008-0000-0600-00002D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238250" y="4972050"/>
          <a:ext cx="219075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9525</xdr:colOff>
      <xdr:row>42</xdr:row>
      <xdr:rowOff>28575</xdr:rowOff>
    </xdr:from>
    <xdr:to>
      <xdr:col>4</xdr:col>
      <xdr:colOff>228600</xdr:colOff>
      <xdr:row>42</xdr:row>
      <xdr:rowOff>190500</xdr:rowOff>
    </xdr:to>
    <xdr:pic>
      <xdr:nvPicPr>
        <xdr:cNvPr id="3118" name="Picture 46" descr="http://en.f1-live.com/f1/img/drapeau/drap_eng.gif">
          <a:extLst>
            <a:ext uri="{FF2B5EF4-FFF2-40B4-BE49-F238E27FC236}">
              <a16:creationId xmlns:a16="http://schemas.microsoft.com/office/drawing/2014/main" id="{00000000-0008-0000-0600-00002E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695700" y="4981575"/>
          <a:ext cx="219075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19050</xdr:colOff>
      <xdr:row>43</xdr:row>
      <xdr:rowOff>28575</xdr:rowOff>
    </xdr:from>
    <xdr:to>
      <xdr:col>2</xdr:col>
      <xdr:colOff>238125</xdr:colOff>
      <xdr:row>43</xdr:row>
      <xdr:rowOff>190500</xdr:rowOff>
    </xdr:to>
    <xdr:pic>
      <xdr:nvPicPr>
        <xdr:cNvPr id="3119" name="Picture 47" descr="http://en.f1-live.com/f1/img/drapeau/drap_fra.gif">
          <a:extLst>
            <a:ext uri="{FF2B5EF4-FFF2-40B4-BE49-F238E27FC236}">
              <a16:creationId xmlns:a16="http://schemas.microsoft.com/office/drawing/2014/main" id="{00000000-0008-0000-0600-00002F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238250" y="5181600"/>
          <a:ext cx="219075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9525</xdr:colOff>
      <xdr:row>43</xdr:row>
      <xdr:rowOff>28575</xdr:rowOff>
    </xdr:from>
    <xdr:to>
      <xdr:col>4</xdr:col>
      <xdr:colOff>228600</xdr:colOff>
      <xdr:row>43</xdr:row>
      <xdr:rowOff>190500</xdr:rowOff>
    </xdr:to>
    <xdr:pic>
      <xdr:nvPicPr>
        <xdr:cNvPr id="3120" name="Picture 48" descr="http://en.f1-live.com/f1/img/drapeau/drap_eng.gif">
          <a:extLst>
            <a:ext uri="{FF2B5EF4-FFF2-40B4-BE49-F238E27FC236}">
              <a16:creationId xmlns:a16="http://schemas.microsoft.com/office/drawing/2014/main" id="{00000000-0008-0000-0600-00003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695700" y="5181600"/>
          <a:ext cx="219075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19050</xdr:colOff>
      <xdr:row>44</xdr:row>
      <xdr:rowOff>38100</xdr:rowOff>
    </xdr:from>
    <xdr:to>
      <xdr:col>2</xdr:col>
      <xdr:colOff>238125</xdr:colOff>
      <xdr:row>45</xdr:row>
      <xdr:rowOff>0</xdr:rowOff>
    </xdr:to>
    <xdr:pic>
      <xdr:nvPicPr>
        <xdr:cNvPr id="3121" name="Picture 49" descr="http://en.f1-live.com/f1/img/drapeau/drap_aut.gif">
          <a:extLst>
            <a:ext uri="{FF2B5EF4-FFF2-40B4-BE49-F238E27FC236}">
              <a16:creationId xmlns:a16="http://schemas.microsoft.com/office/drawing/2014/main" id="{00000000-0008-0000-0600-00003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1238250" y="5391150"/>
          <a:ext cx="219075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9525</xdr:colOff>
      <xdr:row>44</xdr:row>
      <xdr:rowOff>28575</xdr:rowOff>
    </xdr:from>
    <xdr:to>
      <xdr:col>4</xdr:col>
      <xdr:colOff>228600</xdr:colOff>
      <xdr:row>44</xdr:row>
      <xdr:rowOff>190500</xdr:rowOff>
    </xdr:to>
    <xdr:pic>
      <xdr:nvPicPr>
        <xdr:cNvPr id="3122" name="Picture 50" descr="http://en.f1-live.com/f1/img/drapeau/drap_eng.gif">
          <a:extLst>
            <a:ext uri="{FF2B5EF4-FFF2-40B4-BE49-F238E27FC236}">
              <a16:creationId xmlns:a16="http://schemas.microsoft.com/office/drawing/2014/main" id="{00000000-0008-0000-0600-00003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695700" y="5381625"/>
          <a:ext cx="219075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28575</xdr:colOff>
      <xdr:row>45</xdr:row>
      <xdr:rowOff>28575</xdr:rowOff>
    </xdr:from>
    <xdr:to>
      <xdr:col>3</xdr:col>
      <xdr:colOff>0</xdr:colOff>
      <xdr:row>45</xdr:row>
      <xdr:rowOff>190500</xdr:rowOff>
    </xdr:to>
    <xdr:pic>
      <xdr:nvPicPr>
        <xdr:cNvPr id="3123" name="Picture 51" descr="http://en.f1-live.com/f1/img/drapeau/drap_bre.gif">
          <a:extLst>
            <a:ext uri="{FF2B5EF4-FFF2-40B4-BE49-F238E27FC236}">
              <a16:creationId xmlns:a16="http://schemas.microsoft.com/office/drawing/2014/main" id="{00000000-0008-0000-0600-00003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1085850" y="8677275"/>
          <a:ext cx="219075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9525</xdr:colOff>
      <xdr:row>45</xdr:row>
      <xdr:rowOff>28575</xdr:rowOff>
    </xdr:from>
    <xdr:to>
      <xdr:col>4</xdr:col>
      <xdr:colOff>228600</xdr:colOff>
      <xdr:row>45</xdr:row>
      <xdr:rowOff>190500</xdr:rowOff>
    </xdr:to>
    <xdr:pic>
      <xdr:nvPicPr>
        <xdr:cNvPr id="3124" name="Picture 52" descr="http://en.f1-live.com/f1/img/drapeau/drap_ita.gif">
          <a:extLst>
            <a:ext uri="{FF2B5EF4-FFF2-40B4-BE49-F238E27FC236}">
              <a16:creationId xmlns:a16="http://schemas.microsoft.com/office/drawing/2014/main" id="{00000000-0008-0000-0600-00003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695700" y="5581650"/>
          <a:ext cx="219075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19050</xdr:colOff>
      <xdr:row>46</xdr:row>
      <xdr:rowOff>28575</xdr:rowOff>
    </xdr:from>
    <xdr:to>
      <xdr:col>2</xdr:col>
      <xdr:colOff>238125</xdr:colOff>
      <xdr:row>46</xdr:row>
      <xdr:rowOff>190500</xdr:rowOff>
    </xdr:to>
    <xdr:pic>
      <xdr:nvPicPr>
        <xdr:cNvPr id="3125" name="Picture 53" descr="http://en.f1-live.com/f1/img/drapeau/drap_fin.gif">
          <a:extLst>
            <a:ext uri="{FF2B5EF4-FFF2-40B4-BE49-F238E27FC236}">
              <a16:creationId xmlns:a16="http://schemas.microsoft.com/office/drawing/2014/main" id="{00000000-0008-0000-0600-00003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238250" y="5781675"/>
          <a:ext cx="219075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9525</xdr:colOff>
      <xdr:row>46</xdr:row>
      <xdr:rowOff>28575</xdr:rowOff>
    </xdr:from>
    <xdr:to>
      <xdr:col>4</xdr:col>
      <xdr:colOff>228600</xdr:colOff>
      <xdr:row>46</xdr:row>
      <xdr:rowOff>190500</xdr:rowOff>
    </xdr:to>
    <xdr:pic>
      <xdr:nvPicPr>
        <xdr:cNvPr id="3126" name="Picture 54" descr="http://en.f1-live.com/f1/img/drapeau/drap_ita.gif">
          <a:extLst>
            <a:ext uri="{FF2B5EF4-FFF2-40B4-BE49-F238E27FC236}">
              <a16:creationId xmlns:a16="http://schemas.microsoft.com/office/drawing/2014/main" id="{00000000-0008-0000-0600-00003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695700" y="5781675"/>
          <a:ext cx="219075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28575</xdr:colOff>
      <xdr:row>47</xdr:row>
      <xdr:rowOff>28575</xdr:rowOff>
    </xdr:from>
    <xdr:to>
      <xdr:col>3</xdr:col>
      <xdr:colOff>0</xdr:colOff>
      <xdr:row>47</xdr:row>
      <xdr:rowOff>190500</xdr:rowOff>
    </xdr:to>
    <xdr:pic>
      <xdr:nvPicPr>
        <xdr:cNvPr id="3127" name="Picture 55" descr="http://en.f1-live.com/f1/img/drapeau/drap_bre.gif">
          <a:extLst>
            <a:ext uri="{FF2B5EF4-FFF2-40B4-BE49-F238E27FC236}">
              <a16:creationId xmlns:a16="http://schemas.microsoft.com/office/drawing/2014/main" id="{00000000-0008-0000-0600-00003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1085850" y="9077325"/>
          <a:ext cx="219075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9525</xdr:colOff>
      <xdr:row>47</xdr:row>
      <xdr:rowOff>38100</xdr:rowOff>
    </xdr:from>
    <xdr:to>
      <xdr:col>4</xdr:col>
      <xdr:colOff>228600</xdr:colOff>
      <xdr:row>48</xdr:row>
      <xdr:rowOff>0</xdr:rowOff>
    </xdr:to>
    <xdr:pic>
      <xdr:nvPicPr>
        <xdr:cNvPr id="3128" name="Picture 56" descr="http://en.f1-live.com/f1/img/drapeau/drap_eng.gif">
          <a:extLst>
            <a:ext uri="{FF2B5EF4-FFF2-40B4-BE49-F238E27FC236}">
              <a16:creationId xmlns:a16="http://schemas.microsoft.com/office/drawing/2014/main" id="{00000000-0008-0000-0600-00003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695700" y="5991225"/>
          <a:ext cx="219075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19050</xdr:colOff>
      <xdr:row>48</xdr:row>
      <xdr:rowOff>19050</xdr:rowOff>
    </xdr:from>
    <xdr:to>
      <xdr:col>2</xdr:col>
      <xdr:colOff>238125</xdr:colOff>
      <xdr:row>48</xdr:row>
      <xdr:rowOff>180975</xdr:rowOff>
    </xdr:to>
    <xdr:pic>
      <xdr:nvPicPr>
        <xdr:cNvPr id="3129" name="Picture 57" descr="http://en.f1-live.com/f1/img/drapeau/drap_aus.gif">
          <a:extLst>
            <a:ext uri="{FF2B5EF4-FFF2-40B4-BE49-F238E27FC236}">
              <a16:creationId xmlns:a16="http://schemas.microsoft.com/office/drawing/2014/main" id="{00000000-0008-0000-0600-00003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1076325" y="9267825"/>
          <a:ext cx="219075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9525</xdr:colOff>
      <xdr:row>48</xdr:row>
      <xdr:rowOff>28575</xdr:rowOff>
    </xdr:from>
    <xdr:to>
      <xdr:col>4</xdr:col>
      <xdr:colOff>228600</xdr:colOff>
      <xdr:row>48</xdr:row>
      <xdr:rowOff>190500</xdr:rowOff>
    </xdr:to>
    <xdr:pic>
      <xdr:nvPicPr>
        <xdr:cNvPr id="3130" name="Picture 58" descr="http://en.f1-live.com/f1/img/drapeau/drap_eng.gif">
          <a:extLst>
            <a:ext uri="{FF2B5EF4-FFF2-40B4-BE49-F238E27FC236}">
              <a16:creationId xmlns:a16="http://schemas.microsoft.com/office/drawing/2014/main" id="{00000000-0008-0000-0600-00003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695700" y="6181725"/>
          <a:ext cx="219075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9525</xdr:colOff>
      <xdr:row>49</xdr:row>
      <xdr:rowOff>28575</xdr:rowOff>
    </xdr:from>
    <xdr:to>
      <xdr:col>2</xdr:col>
      <xdr:colOff>228600</xdr:colOff>
      <xdr:row>49</xdr:row>
      <xdr:rowOff>190500</xdr:rowOff>
    </xdr:to>
    <xdr:pic>
      <xdr:nvPicPr>
        <xdr:cNvPr id="3131" name="Picture 59" descr="http://en.f1-live.com/f1/img/drapeau/drap_afs.gif">
          <a:extLst>
            <a:ext uri="{FF2B5EF4-FFF2-40B4-BE49-F238E27FC236}">
              <a16:creationId xmlns:a16="http://schemas.microsoft.com/office/drawing/2014/main" id="{00000000-0008-0000-0600-00003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1228725" y="6381750"/>
          <a:ext cx="219075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9525</xdr:colOff>
      <xdr:row>49</xdr:row>
      <xdr:rowOff>28575</xdr:rowOff>
    </xdr:from>
    <xdr:to>
      <xdr:col>4</xdr:col>
      <xdr:colOff>228600</xdr:colOff>
      <xdr:row>49</xdr:row>
      <xdr:rowOff>190500</xdr:rowOff>
    </xdr:to>
    <xdr:pic>
      <xdr:nvPicPr>
        <xdr:cNvPr id="3132" name="Picture 60" descr="http://en.f1-live.com/f1/img/drapeau/drap_ita.gif">
          <a:extLst>
            <a:ext uri="{FF2B5EF4-FFF2-40B4-BE49-F238E27FC236}">
              <a16:creationId xmlns:a16="http://schemas.microsoft.com/office/drawing/2014/main" id="{00000000-0008-0000-0600-00003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695700" y="6381750"/>
          <a:ext cx="219075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19050</xdr:colOff>
      <xdr:row>50</xdr:row>
      <xdr:rowOff>28575</xdr:rowOff>
    </xdr:from>
    <xdr:to>
      <xdr:col>2</xdr:col>
      <xdr:colOff>238125</xdr:colOff>
      <xdr:row>50</xdr:row>
      <xdr:rowOff>190500</xdr:rowOff>
    </xdr:to>
    <xdr:pic>
      <xdr:nvPicPr>
        <xdr:cNvPr id="3133" name="Picture 61" descr="http://en.f1-live.com/f1/img/drapeau/drap_usa.gif">
          <a:extLst>
            <a:ext uri="{FF2B5EF4-FFF2-40B4-BE49-F238E27FC236}">
              <a16:creationId xmlns:a16="http://schemas.microsoft.com/office/drawing/2014/main" id="{00000000-0008-0000-0600-00003D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/>
        <a:srcRect/>
        <a:stretch>
          <a:fillRect/>
        </a:stretch>
      </xdr:blipFill>
      <xdr:spPr bwMode="auto">
        <a:xfrm>
          <a:off x="1238250" y="6581775"/>
          <a:ext cx="219075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9525</xdr:colOff>
      <xdr:row>50</xdr:row>
      <xdr:rowOff>38100</xdr:rowOff>
    </xdr:from>
    <xdr:to>
      <xdr:col>4</xdr:col>
      <xdr:colOff>228600</xdr:colOff>
      <xdr:row>51</xdr:row>
      <xdr:rowOff>0</xdr:rowOff>
    </xdr:to>
    <xdr:pic>
      <xdr:nvPicPr>
        <xdr:cNvPr id="3134" name="Picture 62" descr="http://en.f1-live.com/f1/img/drapeau/drap_eng.gif">
          <a:extLst>
            <a:ext uri="{FF2B5EF4-FFF2-40B4-BE49-F238E27FC236}">
              <a16:creationId xmlns:a16="http://schemas.microsoft.com/office/drawing/2014/main" id="{00000000-0008-0000-0600-00003E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695700" y="6591300"/>
          <a:ext cx="219075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9525</xdr:colOff>
      <xdr:row>51</xdr:row>
      <xdr:rowOff>28575</xdr:rowOff>
    </xdr:from>
    <xdr:to>
      <xdr:col>2</xdr:col>
      <xdr:colOff>228600</xdr:colOff>
      <xdr:row>51</xdr:row>
      <xdr:rowOff>190500</xdr:rowOff>
    </xdr:to>
    <xdr:pic>
      <xdr:nvPicPr>
        <xdr:cNvPr id="3135" name="Picture 63" descr="http://en.f1-live.com/f1/img/drapeau/drap_aut.gif">
          <a:extLst>
            <a:ext uri="{FF2B5EF4-FFF2-40B4-BE49-F238E27FC236}">
              <a16:creationId xmlns:a16="http://schemas.microsoft.com/office/drawing/2014/main" id="{00000000-0008-0000-0600-00003F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1228725" y="6781800"/>
          <a:ext cx="219075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9525</xdr:colOff>
      <xdr:row>51</xdr:row>
      <xdr:rowOff>28575</xdr:rowOff>
    </xdr:from>
    <xdr:to>
      <xdr:col>4</xdr:col>
      <xdr:colOff>228600</xdr:colOff>
      <xdr:row>51</xdr:row>
      <xdr:rowOff>190500</xdr:rowOff>
    </xdr:to>
    <xdr:pic>
      <xdr:nvPicPr>
        <xdr:cNvPr id="3136" name="Picture 64" descr="http://en.f1-live.com/f1/img/drapeau/drap_ita.gif">
          <a:extLst>
            <a:ext uri="{FF2B5EF4-FFF2-40B4-BE49-F238E27FC236}">
              <a16:creationId xmlns:a16="http://schemas.microsoft.com/office/drawing/2014/main" id="{00000000-0008-0000-0600-00004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695700" y="6781800"/>
          <a:ext cx="219075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9525</xdr:colOff>
      <xdr:row>52</xdr:row>
      <xdr:rowOff>28575</xdr:rowOff>
    </xdr:from>
    <xdr:to>
      <xdr:col>2</xdr:col>
      <xdr:colOff>228600</xdr:colOff>
      <xdr:row>52</xdr:row>
      <xdr:rowOff>190500</xdr:rowOff>
    </xdr:to>
    <xdr:pic>
      <xdr:nvPicPr>
        <xdr:cNvPr id="3137" name="Picture 65" descr="http://en.f1-live.com/f1/img/drapeau/drap_eng.gif">
          <a:extLst>
            <a:ext uri="{FF2B5EF4-FFF2-40B4-BE49-F238E27FC236}">
              <a16:creationId xmlns:a16="http://schemas.microsoft.com/office/drawing/2014/main" id="{00000000-0008-0000-0600-00004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28725" y="6981825"/>
          <a:ext cx="219075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9525</xdr:colOff>
      <xdr:row>52</xdr:row>
      <xdr:rowOff>28575</xdr:rowOff>
    </xdr:from>
    <xdr:to>
      <xdr:col>4</xdr:col>
      <xdr:colOff>228600</xdr:colOff>
      <xdr:row>52</xdr:row>
      <xdr:rowOff>190500</xdr:rowOff>
    </xdr:to>
    <xdr:pic>
      <xdr:nvPicPr>
        <xdr:cNvPr id="3138" name="Picture 66" descr="http://en.f1-live.com/f1/img/drapeau/drap_ita.gif">
          <a:extLst>
            <a:ext uri="{FF2B5EF4-FFF2-40B4-BE49-F238E27FC236}">
              <a16:creationId xmlns:a16="http://schemas.microsoft.com/office/drawing/2014/main" id="{00000000-0008-0000-0600-00004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695700" y="6981825"/>
          <a:ext cx="219075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9525</xdr:colOff>
      <xdr:row>53</xdr:row>
      <xdr:rowOff>28575</xdr:rowOff>
    </xdr:from>
    <xdr:to>
      <xdr:col>2</xdr:col>
      <xdr:colOff>228600</xdr:colOff>
      <xdr:row>53</xdr:row>
      <xdr:rowOff>190500</xdr:rowOff>
    </xdr:to>
    <xdr:pic>
      <xdr:nvPicPr>
        <xdr:cNvPr id="3139" name="Picture 67" descr="http://en.f1-live.com/f1/img/drapeau/drap_aut.gif">
          <a:extLst>
            <a:ext uri="{FF2B5EF4-FFF2-40B4-BE49-F238E27FC236}">
              <a16:creationId xmlns:a16="http://schemas.microsoft.com/office/drawing/2014/main" id="{00000000-0008-0000-0600-00004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1228725" y="7181850"/>
          <a:ext cx="219075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9525</xdr:colOff>
      <xdr:row>53</xdr:row>
      <xdr:rowOff>28575</xdr:rowOff>
    </xdr:from>
    <xdr:to>
      <xdr:col>4</xdr:col>
      <xdr:colOff>228600</xdr:colOff>
      <xdr:row>53</xdr:row>
      <xdr:rowOff>190500</xdr:rowOff>
    </xdr:to>
    <xdr:pic>
      <xdr:nvPicPr>
        <xdr:cNvPr id="3140" name="Picture 68" descr="http://en.f1-live.com/f1/img/drapeau/drap_ita.gif">
          <a:extLst>
            <a:ext uri="{FF2B5EF4-FFF2-40B4-BE49-F238E27FC236}">
              <a16:creationId xmlns:a16="http://schemas.microsoft.com/office/drawing/2014/main" id="{00000000-0008-0000-0600-00004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695700" y="7181850"/>
          <a:ext cx="219075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19050</xdr:colOff>
      <xdr:row>54</xdr:row>
      <xdr:rowOff>28575</xdr:rowOff>
    </xdr:from>
    <xdr:to>
      <xdr:col>2</xdr:col>
      <xdr:colOff>238125</xdr:colOff>
      <xdr:row>54</xdr:row>
      <xdr:rowOff>190500</xdr:rowOff>
    </xdr:to>
    <xdr:pic>
      <xdr:nvPicPr>
        <xdr:cNvPr id="3141" name="Picture 69" descr="http://en.f1-live.com/f1/img/drapeau/drap_bre.gif">
          <a:extLst>
            <a:ext uri="{FF2B5EF4-FFF2-40B4-BE49-F238E27FC236}">
              <a16:creationId xmlns:a16="http://schemas.microsoft.com/office/drawing/2014/main" id="{00000000-0008-0000-0600-00004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1238250" y="7381875"/>
          <a:ext cx="219075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9525</xdr:colOff>
      <xdr:row>54</xdr:row>
      <xdr:rowOff>38100</xdr:rowOff>
    </xdr:from>
    <xdr:to>
      <xdr:col>4</xdr:col>
      <xdr:colOff>228600</xdr:colOff>
      <xdr:row>55</xdr:row>
      <xdr:rowOff>0</xdr:rowOff>
    </xdr:to>
    <xdr:pic>
      <xdr:nvPicPr>
        <xdr:cNvPr id="3142" name="Picture 70" descr="http://en.f1-live.com/f1/img/drapeau/drap_eng.gif">
          <a:extLst>
            <a:ext uri="{FF2B5EF4-FFF2-40B4-BE49-F238E27FC236}">
              <a16:creationId xmlns:a16="http://schemas.microsoft.com/office/drawing/2014/main" id="{00000000-0008-0000-0600-00004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695700" y="7391400"/>
          <a:ext cx="219075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9525</xdr:colOff>
      <xdr:row>55</xdr:row>
      <xdr:rowOff>28575</xdr:rowOff>
    </xdr:from>
    <xdr:to>
      <xdr:col>2</xdr:col>
      <xdr:colOff>228600</xdr:colOff>
      <xdr:row>55</xdr:row>
      <xdr:rowOff>190500</xdr:rowOff>
    </xdr:to>
    <xdr:pic>
      <xdr:nvPicPr>
        <xdr:cNvPr id="3143" name="Picture 71" descr="http://en.f1-live.com/f1/img/drapeau/drap_eng.gif">
          <a:extLst>
            <a:ext uri="{FF2B5EF4-FFF2-40B4-BE49-F238E27FC236}">
              <a16:creationId xmlns:a16="http://schemas.microsoft.com/office/drawing/2014/main" id="{00000000-0008-0000-0600-00004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28725" y="7581900"/>
          <a:ext cx="219075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9525</xdr:colOff>
      <xdr:row>55</xdr:row>
      <xdr:rowOff>38100</xdr:rowOff>
    </xdr:from>
    <xdr:to>
      <xdr:col>4</xdr:col>
      <xdr:colOff>228600</xdr:colOff>
      <xdr:row>56</xdr:row>
      <xdr:rowOff>0</xdr:rowOff>
    </xdr:to>
    <xdr:pic>
      <xdr:nvPicPr>
        <xdr:cNvPr id="3144" name="Picture 72" descr="http://en.f1-live.com/f1/img/drapeau/drap_eng.gif">
          <a:extLst>
            <a:ext uri="{FF2B5EF4-FFF2-40B4-BE49-F238E27FC236}">
              <a16:creationId xmlns:a16="http://schemas.microsoft.com/office/drawing/2014/main" id="{00000000-0008-0000-0600-00004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695700" y="7591425"/>
          <a:ext cx="219075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19050</xdr:colOff>
      <xdr:row>56</xdr:row>
      <xdr:rowOff>38100</xdr:rowOff>
    </xdr:from>
    <xdr:to>
      <xdr:col>2</xdr:col>
      <xdr:colOff>238125</xdr:colOff>
      <xdr:row>57</xdr:row>
      <xdr:rowOff>0</xdr:rowOff>
    </xdr:to>
    <xdr:pic>
      <xdr:nvPicPr>
        <xdr:cNvPr id="3145" name="Picture 73" descr="http://en.f1-live.com/f1/img/drapeau/drap_bre.gif">
          <a:extLst>
            <a:ext uri="{FF2B5EF4-FFF2-40B4-BE49-F238E27FC236}">
              <a16:creationId xmlns:a16="http://schemas.microsoft.com/office/drawing/2014/main" id="{00000000-0008-0000-0600-00004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1238250" y="7791450"/>
          <a:ext cx="219075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9525</xdr:colOff>
      <xdr:row>56</xdr:row>
      <xdr:rowOff>28575</xdr:rowOff>
    </xdr:from>
    <xdr:to>
      <xdr:col>4</xdr:col>
      <xdr:colOff>228600</xdr:colOff>
      <xdr:row>56</xdr:row>
      <xdr:rowOff>190500</xdr:rowOff>
    </xdr:to>
    <xdr:pic>
      <xdr:nvPicPr>
        <xdr:cNvPr id="3146" name="Picture 74" descr="http://en.f1-live.com/f1/img/drapeau/drap_eng.gif">
          <a:extLst>
            <a:ext uri="{FF2B5EF4-FFF2-40B4-BE49-F238E27FC236}">
              <a16:creationId xmlns:a16="http://schemas.microsoft.com/office/drawing/2014/main" id="{00000000-0008-0000-0600-00004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695700" y="7781925"/>
          <a:ext cx="219075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9525</xdr:colOff>
      <xdr:row>57</xdr:row>
      <xdr:rowOff>38100</xdr:rowOff>
    </xdr:from>
    <xdr:to>
      <xdr:col>2</xdr:col>
      <xdr:colOff>228600</xdr:colOff>
      <xdr:row>58</xdr:row>
      <xdr:rowOff>0</xdr:rowOff>
    </xdr:to>
    <xdr:pic>
      <xdr:nvPicPr>
        <xdr:cNvPr id="3147" name="Picture 75" descr="http://en.f1-live.com/f1/img/drapeau/drap_eng.gif">
          <a:extLst>
            <a:ext uri="{FF2B5EF4-FFF2-40B4-BE49-F238E27FC236}">
              <a16:creationId xmlns:a16="http://schemas.microsoft.com/office/drawing/2014/main" id="{00000000-0008-0000-0600-00004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28725" y="7991475"/>
          <a:ext cx="219075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9525</xdr:colOff>
      <xdr:row>57</xdr:row>
      <xdr:rowOff>28575</xdr:rowOff>
    </xdr:from>
    <xdr:to>
      <xdr:col>4</xdr:col>
      <xdr:colOff>228600</xdr:colOff>
      <xdr:row>57</xdr:row>
      <xdr:rowOff>190500</xdr:rowOff>
    </xdr:to>
    <xdr:pic>
      <xdr:nvPicPr>
        <xdr:cNvPr id="3148" name="Picture 76" descr="http://en.f1-live.com/f1/img/drapeau/drap_eng.gif">
          <a:extLst>
            <a:ext uri="{FF2B5EF4-FFF2-40B4-BE49-F238E27FC236}">
              <a16:creationId xmlns:a16="http://schemas.microsoft.com/office/drawing/2014/main" id="{00000000-0008-0000-0600-00004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695700" y="7981950"/>
          <a:ext cx="219075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9525</xdr:colOff>
      <xdr:row>58</xdr:row>
      <xdr:rowOff>38100</xdr:rowOff>
    </xdr:from>
    <xdr:to>
      <xdr:col>2</xdr:col>
      <xdr:colOff>228600</xdr:colOff>
      <xdr:row>59</xdr:row>
      <xdr:rowOff>0</xdr:rowOff>
    </xdr:to>
    <xdr:pic>
      <xdr:nvPicPr>
        <xdr:cNvPr id="3149" name="Picture 77" descr="http://en.f1-live.com/f1/img/drapeau/drap_aut.gif">
          <a:extLst>
            <a:ext uri="{FF2B5EF4-FFF2-40B4-BE49-F238E27FC236}">
              <a16:creationId xmlns:a16="http://schemas.microsoft.com/office/drawing/2014/main" id="{00000000-0008-0000-0600-00004D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1228725" y="8191500"/>
          <a:ext cx="219075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9525</xdr:colOff>
      <xdr:row>58</xdr:row>
      <xdr:rowOff>38100</xdr:rowOff>
    </xdr:from>
    <xdr:to>
      <xdr:col>4</xdr:col>
      <xdr:colOff>228600</xdr:colOff>
      <xdr:row>59</xdr:row>
      <xdr:rowOff>0</xdr:rowOff>
    </xdr:to>
    <xdr:pic>
      <xdr:nvPicPr>
        <xdr:cNvPr id="3150" name="Picture 78" descr="http://en.f1-live.com/f1/img/drapeau/drap_eng.gif">
          <a:extLst>
            <a:ext uri="{FF2B5EF4-FFF2-40B4-BE49-F238E27FC236}">
              <a16:creationId xmlns:a16="http://schemas.microsoft.com/office/drawing/2014/main" id="{00000000-0008-0000-0600-00004E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695700" y="8191500"/>
          <a:ext cx="219075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19050</xdr:colOff>
      <xdr:row>59</xdr:row>
      <xdr:rowOff>28575</xdr:rowOff>
    </xdr:from>
    <xdr:to>
      <xdr:col>2</xdr:col>
      <xdr:colOff>238125</xdr:colOff>
      <xdr:row>59</xdr:row>
      <xdr:rowOff>190500</xdr:rowOff>
    </xdr:to>
    <xdr:pic>
      <xdr:nvPicPr>
        <xdr:cNvPr id="3151" name="Picture 79" descr="http://en.f1-live.com/f1/img/drapeau/drap_eng.gif">
          <a:extLst>
            <a:ext uri="{FF2B5EF4-FFF2-40B4-BE49-F238E27FC236}">
              <a16:creationId xmlns:a16="http://schemas.microsoft.com/office/drawing/2014/main" id="{00000000-0008-0000-0600-00004F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0" y="8382000"/>
          <a:ext cx="219075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9525</xdr:colOff>
      <xdr:row>59</xdr:row>
      <xdr:rowOff>38100</xdr:rowOff>
    </xdr:from>
    <xdr:to>
      <xdr:col>4</xdr:col>
      <xdr:colOff>228600</xdr:colOff>
      <xdr:row>60</xdr:row>
      <xdr:rowOff>0</xdr:rowOff>
    </xdr:to>
    <xdr:pic>
      <xdr:nvPicPr>
        <xdr:cNvPr id="3152" name="Picture 80" descr="http://en.f1-live.com/f1/img/drapeau/drap_fra.gif">
          <a:extLst>
            <a:ext uri="{FF2B5EF4-FFF2-40B4-BE49-F238E27FC236}">
              <a16:creationId xmlns:a16="http://schemas.microsoft.com/office/drawing/2014/main" id="{00000000-0008-0000-0600-00005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3695700" y="8391525"/>
          <a:ext cx="219075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19050</xdr:colOff>
      <xdr:row>60</xdr:row>
      <xdr:rowOff>28575</xdr:rowOff>
    </xdr:from>
    <xdr:to>
      <xdr:col>2</xdr:col>
      <xdr:colOff>238125</xdr:colOff>
      <xdr:row>60</xdr:row>
      <xdr:rowOff>190500</xdr:rowOff>
    </xdr:to>
    <xdr:pic>
      <xdr:nvPicPr>
        <xdr:cNvPr id="3153" name="Picture 81" descr="http://en.f1-live.com/f1/img/drapeau/drap_eng.gif">
          <a:extLst>
            <a:ext uri="{FF2B5EF4-FFF2-40B4-BE49-F238E27FC236}">
              <a16:creationId xmlns:a16="http://schemas.microsoft.com/office/drawing/2014/main" id="{00000000-0008-0000-0600-00005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0" y="8582025"/>
          <a:ext cx="219075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9525</xdr:colOff>
      <xdr:row>60</xdr:row>
      <xdr:rowOff>28575</xdr:rowOff>
    </xdr:from>
    <xdr:to>
      <xdr:col>4</xdr:col>
      <xdr:colOff>228600</xdr:colOff>
      <xdr:row>60</xdr:row>
      <xdr:rowOff>190500</xdr:rowOff>
    </xdr:to>
    <xdr:pic>
      <xdr:nvPicPr>
        <xdr:cNvPr id="3154" name="Picture 82" descr="http://en.f1-live.com/f1/img/drapeau/drap_eng.gif">
          <a:extLst>
            <a:ext uri="{FF2B5EF4-FFF2-40B4-BE49-F238E27FC236}">
              <a16:creationId xmlns:a16="http://schemas.microsoft.com/office/drawing/2014/main" id="{00000000-0008-0000-0600-00005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695700" y="8582025"/>
          <a:ext cx="219075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19050</xdr:colOff>
      <xdr:row>61</xdr:row>
      <xdr:rowOff>38100</xdr:rowOff>
    </xdr:from>
    <xdr:to>
      <xdr:col>2</xdr:col>
      <xdr:colOff>238125</xdr:colOff>
      <xdr:row>62</xdr:row>
      <xdr:rowOff>0</xdr:rowOff>
    </xdr:to>
    <xdr:pic>
      <xdr:nvPicPr>
        <xdr:cNvPr id="3155" name="Picture 83" descr="http://en.f1-live.com/f1/img/drapeau/drap_nwz.gif">
          <a:extLst>
            <a:ext uri="{FF2B5EF4-FFF2-40B4-BE49-F238E27FC236}">
              <a16:creationId xmlns:a16="http://schemas.microsoft.com/office/drawing/2014/main" id="{00000000-0008-0000-0600-00005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/>
        <a:srcRect/>
        <a:stretch>
          <a:fillRect/>
        </a:stretch>
      </xdr:blipFill>
      <xdr:spPr bwMode="auto">
        <a:xfrm>
          <a:off x="1238250" y="8791575"/>
          <a:ext cx="219075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9525</xdr:colOff>
      <xdr:row>61</xdr:row>
      <xdr:rowOff>28575</xdr:rowOff>
    </xdr:from>
    <xdr:to>
      <xdr:col>4</xdr:col>
      <xdr:colOff>228600</xdr:colOff>
      <xdr:row>61</xdr:row>
      <xdr:rowOff>190500</xdr:rowOff>
    </xdr:to>
    <xdr:pic>
      <xdr:nvPicPr>
        <xdr:cNvPr id="3156" name="Picture 84" descr="http://en.f1-live.com/f1/img/drapeau/drap_eng.gif">
          <a:extLst>
            <a:ext uri="{FF2B5EF4-FFF2-40B4-BE49-F238E27FC236}">
              <a16:creationId xmlns:a16="http://schemas.microsoft.com/office/drawing/2014/main" id="{00000000-0008-0000-0600-00005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695700" y="8782050"/>
          <a:ext cx="219075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19050</xdr:colOff>
      <xdr:row>62</xdr:row>
      <xdr:rowOff>38100</xdr:rowOff>
    </xdr:from>
    <xdr:to>
      <xdr:col>2</xdr:col>
      <xdr:colOff>238125</xdr:colOff>
      <xdr:row>63</xdr:row>
      <xdr:rowOff>0</xdr:rowOff>
    </xdr:to>
    <xdr:pic>
      <xdr:nvPicPr>
        <xdr:cNvPr id="3157" name="Picture 85" descr="http://en.f1-live.com/f1/img/drapeau/drap_aus.gif">
          <a:extLst>
            <a:ext uri="{FF2B5EF4-FFF2-40B4-BE49-F238E27FC236}">
              <a16:creationId xmlns:a16="http://schemas.microsoft.com/office/drawing/2014/main" id="{00000000-0008-0000-0600-00005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1238250" y="8991600"/>
          <a:ext cx="219075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9525</xdr:colOff>
      <xdr:row>62</xdr:row>
      <xdr:rowOff>28575</xdr:rowOff>
    </xdr:from>
    <xdr:to>
      <xdr:col>4</xdr:col>
      <xdr:colOff>228600</xdr:colOff>
      <xdr:row>62</xdr:row>
      <xdr:rowOff>190500</xdr:rowOff>
    </xdr:to>
    <xdr:pic>
      <xdr:nvPicPr>
        <xdr:cNvPr id="3158" name="Picture 86" descr="http://en.f1-live.com/f1/img/drapeau/drap_eng.gif">
          <a:extLst>
            <a:ext uri="{FF2B5EF4-FFF2-40B4-BE49-F238E27FC236}">
              <a16:creationId xmlns:a16="http://schemas.microsoft.com/office/drawing/2014/main" id="{00000000-0008-0000-0600-00005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695700" y="8982075"/>
          <a:ext cx="219075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9525</xdr:colOff>
      <xdr:row>63</xdr:row>
      <xdr:rowOff>38100</xdr:rowOff>
    </xdr:from>
    <xdr:to>
      <xdr:col>2</xdr:col>
      <xdr:colOff>228600</xdr:colOff>
      <xdr:row>64</xdr:row>
      <xdr:rowOff>0</xdr:rowOff>
    </xdr:to>
    <xdr:pic>
      <xdr:nvPicPr>
        <xdr:cNvPr id="3159" name="Picture 87" descr="http://en.f1-live.com/f1/img/drapeau/drap_eng.gif">
          <a:extLst>
            <a:ext uri="{FF2B5EF4-FFF2-40B4-BE49-F238E27FC236}">
              <a16:creationId xmlns:a16="http://schemas.microsoft.com/office/drawing/2014/main" id="{00000000-0008-0000-0600-00005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28725" y="9191625"/>
          <a:ext cx="219075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9525</xdr:colOff>
      <xdr:row>63</xdr:row>
      <xdr:rowOff>38100</xdr:rowOff>
    </xdr:from>
    <xdr:to>
      <xdr:col>4</xdr:col>
      <xdr:colOff>228600</xdr:colOff>
      <xdr:row>64</xdr:row>
      <xdr:rowOff>0</xdr:rowOff>
    </xdr:to>
    <xdr:pic>
      <xdr:nvPicPr>
        <xdr:cNvPr id="3160" name="Picture 88" descr="http://en.f1-live.com/f1/img/drapeau/drap_eng.gif">
          <a:extLst>
            <a:ext uri="{FF2B5EF4-FFF2-40B4-BE49-F238E27FC236}">
              <a16:creationId xmlns:a16="http://schemas.microsoft.com/office/drawing/2014/main" id="{00000000-0008-0000-0600-00005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695700" y="9191625"/>
          <a:ext cx="219075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9525</xdr:colOff>
      <xdr:row>64</xdr:row>
      <xdr:rowOff>38100</xdr:rowOff>
    </xdr:from>
    <xdr:to>
      <xdr:col>2</xdr:col>
      <xdr:colOff>228600</xdr:colOff>
      <xdr:row>65</xdr:row>
      <xdr:rowOff>0</xdr:rowOff>
    </xdr:to>
    <xdr:pic>
      <xdr:nvPicPr>
        <xdr:cNvPr id="3161" name="Picture 89" descr="http://en.f1-live.com/f1/img/drapeau/drap_eng.gif">
          <a:extLst>
            <a:ext uri="{FF2B5EF4-FFF2-40B4-BE49-F238E27FC236}">
              <a16:creationId xmlns:a16="http://schemas.microsoft.com/office/drawing/2014/main" id="{00000000-0008-0000-0600-00005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28725" y="9391650"/>
          <a:ext cx="219075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9525</xdr:colOff>
      <xdr:row>64</xdr:row>
      <xdr:rowOff>28575</xdr:rowOff>
    </xdr:from>
    <xdr:to>
      <xdr:col>4</xdr:col>
      <xdr:colOff>228600</xdr:colOff>
      <xdr:row>64</xdr:row>
      <xdr:rowOff>190500</xdr:rowOff>
    </xdr:to>
    <xdr:pic>
      <xdr:nvPicPr>
        <xdr:cNvPr id="3162" name="Picture 90" descr="http://en.f1-live.com/f1/img/drapeau/drap_ita.gif">
          <a:extLst>
            <a:ext uri="{FF2B5EF4-FFF2-40B4-BE49-F238E27FC236}">
              <a16:creationId xmlns:a16="http://schemas.microsoft.com/office/drawing/2014/main" id="{00000000-0008-0000-0600-00005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695700" y="9382125"/>
          <a:ext cx="219075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9525</xdr:colOff>
      <xdr:row>65</xdr:row>
      <xdr:rowOff>28575</xdr:rowOff>
    </xdr:from>
    <xdr:to>
      <xdr:col>2</xdr:col>
      <xdr:colOff>228600</xdr:colOff>
      <xdr:row>65</xdr:row>
      <xdr:rowOff>190500</xdr:rowOff>
    </xdr:to>
    <xdr:pic>
      <xdr:nvPicPr>
        <xdr:cNvPr id="3163" name="Picture 91" descr="http://en.f1-live.com/f1/img/drapeau/drap_eng.gif">
          <a:extLst>
            <a:ext uri="{FF2B5EF4-FFF2-40B4-BE49-F238E27FC236}">
              <a16:creationId xmlns:a16="http://schemas.microsoft.com/office/drawing/2014/main" id="{00000000-0008-0000-0600-00005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28725" y="9582150"/>
          <a:ext cx="219075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9525</xdr:colOff>
      <xdr:row>65</xdr:row>
      <xdr:rowOff>38100</xdr:rowOff>
    </xdr:from>
    <xdr:to>
      <xdr:col>4</xdr:col>
      <xdr:colOff>228600</xdr:colOff>
      <xdr:row>66</xdr:row>
      <xdr:rowOff>0</xdr:rowOff>
    </xdr:to>
    <xdr:pic>
      <xdr:nvPicPr>
        <xdr:cNvPr id="3164" name="Picture 92" descr="http://en.f1-live.com/f1/img/drapeau/drap_eng.gif">
          <a:extLst>
            <a:ext uri="{FF2B5EF4-FFF2-40B4-BE49-F238E27FC236}">
              <a16:creationId xmlns:a16="http://schemas.microsoft.com/office/drawing/2014/main" id="{00000000-0008-0000-0600-00005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695700" y="9591675"/>
          <a:ext cx="219075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19050</xdr:colOff>
      <xdr:row>66</xdr:row>
      <xdr:rowOff>38100</xdr:rowOff>
    </xdr:from>
    <xdr:to>
      <xdr:col>2</xdr:col>
      <xdr:colOff>238125</xdr:colOff>
      <xdr:row>67</xdr:row>
      <xdr:rowOff>0</xdr:rowOff>
    </xdr:to>
    <xdr:pic>
      <xdr:nvPicPr>
        <xdr:cNvPr id="3165" name="Picture 93" descr="http://en.f1-live.com/f1/img/drapeau/drap_eng.gif">
          <a:extLst>
            <a:ext uri="{FF2B5EF4-FFF2-40B4-BE49-F238E27FC236}">
              <a16:creationId xmlns:a16="http://schemas.microsoft.com/office/drawing/2014/main" id="{00000000-0008-0000-0600-00005D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0" y="9791700"/>
          <a:ext cx="219075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9525</xdr:colOff>
      <xdr:row>66</xdr:row>
      <xdr:rowOff>38100</xdr:rowOff>
    </xdr:from>
    <xdr:to>
      <xdr:col>4</xdr:col>
      <xdr:colOff>228600</xdr:colOff>
      <xdr:row>67</xdr:row>
      <xdr:rowOff>0</xdr:rowOff>
    </xdr:to>
    <xdr:pic>
      <xdr:nvPicPr>
        <xdr:cNvPr id="3166" name="Picture 94" descr="http://en.f1-live.com/f1/img/drapeau/drap_eng.gif">
          <a:extLst>
            <a:ext uri="{FF2B5EF4-FFF2-40B4-BE49-F238E27FC236}">
              <a16:creationId xmlns:a16="http://schemas.microsoft.com/office/drawing/2014/main" id="{00000000-0008-0000-0600-00005E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695700" y="9791700"/>
          <a:ext cx="219075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19050</xdr:colOff>
      <xdr:row>67</xdr:row>
      <xdr:rowOff>38100</xdr:rowOff>
    </xdr:from>
    <xdr:to>
      <xdr:col>2</xdr:col>
      <xdr:colOff>238125</xdr:colOff>
      <xdr:row>68</xdr:row>
      <xdr:rowOff>0</xdr:rowOff>
    </xdr:to>
    <xdr:pic>
      <xdr:nvPicPr>
        <xdr:cNvPr id="3167" name="Picture 95" descr="http://en.f1-live.com/f1/img/drapeau/drap_usa.gif">
          <a:extLst>
            <a:ext uri="{FF2B5EF4-FFF2-40B4-BE49-F238E27FC236}">
              <a16:creationId xmlns:a16="http://schemas.microsoft.com/office/drawing/2014/main" id="{00000000-0008-0000-0600-00005F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/>
        <a:srcRect/>
        <a:stretch>
          <a:fillRect/>
        </a:stretch>
      </xdr:blipFill>
      <xdr:spPr bwMode="auto">
        <a:xfrm>
          <a:off x="1238250" y="9991725"/>
          <a:ext cx="219075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9525</xdr:colOff>
      <xdr:row>67</xdr:row>
      <xdr:rowOff>38100</xdr:rowOff>
    </xdr:from>
    <xdr:to>
      <xdr:col>4</xdr:col>
      <xdr:colOff>228600</xdr:colOff>
      <xdr:row>68</xdr:row>
      <xdr:rowOff>0</xdr:rowOff>
    </xdr:to>
    <xdr:pic>
      <xdr:nvPicPr>
        <xdr:cNvPr id="3168" name="Picture 96" descr="http://en.f1-live.com/f1/img/drapeau/drap_ita.gif">
          <a:extLst>
            <a:ext uri="{FF2B5EF4-FFF2-40B4-BE49-F238E27FC236}">
              <a16:creationId xmlns:a16="http://schemas.microsoft.com/office/drawing/2014/main" id="{00000000-0008-0000-0600-00006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695700" y="9991725"/>
          <a:ext cx="219075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19050</xdr:colOff>
      <xdr:row>68</xdr:row>
      <xdr:rowOff>28575</xdr:rowOff>
    </xdr:from>
    <xdr:to>
      <xdr:col>2</xdr:col>
      <xdr:colOff>238125</xdr:colOff>
      <xdr:row>68</xdr:row>
      <xdr:rowOff>190500</xdr:rowOff>
    </xdr:to>
    <xdr:pic>
      <xdr:nvPicPr>
        <xdr:cNvPr id="3169" name="Picture 97" descr="http://en.f1-live.com/f1/img/drapeau/drap_aus.gif">
          <a:extLst>
            <a:ext uri="{FF2B5EF4-FFF2-40B4-BE49-F238E27FC236}">
              <a16:creationId xmlns:a16="http://schemas.microsoft.com/office/drawing/2014/main" id="{00000000-0008-0000-0600-00006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1238250" y="10182225"/>
          <a:ext cx="219075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9525</xdr:colOff>
      <xdr:row>68</xdr:row>
      <xdr:rowOff>38100</xdr:rowOff>
    </xdr:from>
    <xdr:to>
      <xdr:col>4</xdr:col>
      <xdr:colOff>228600</xdr:colOff>
      <xdr:row>69</xdr:row>
      <xdr:rowOff>0</xdr:rowOff>
    </xdr:to>
    <xdr:pic>
      <xdr:nvPicPr>
        <xdr:cNvPr id="3170" name="Picture 98" descr="http://en.f1-live.com/f1/img/drapeau/drap_eng.gif">
          <a:extLst>
            <a:ext uri="{FF2B5EF4-FFF2-40B4-BE49-F238E27FC236}">
              <a16:creationId xmlns:a16="http://schemas.microsoft.com/office/drawing/2014/main" id="{00000000-0008-0000-0600-00006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695700" y="10191750"/>
          <a:ext cx="219075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19050</xdr:colOff>
      <xdr:row>69</xdr:row>
      <xdr:rowOff>28575</xdr:rowOff>
    </xdr:from>
    <xdr:to>
      <xdr:col>2</xdr:col>
      <xdr:colOff>238125</xdr:colOff>
      <xdr:row>69</xdr:row>
      <xdr:rowOff>190500</xdr:rowOff>
    </xdr:to>
    <xdr:pic>
      <xdr:nvPicPr>
        <xdr:cNvPr id="3171" name="Picture 99" descr="http://en.f1-live.com/f1/img/drapeau/drap_aus.gif">
          <a:extLst>
            <a:ext uri="{FF2B5EF4-FFF2-40B4-BE49-F238E27FC236}">
              <a16:creationId xmlns:a16="http://schemas.microsoft.com/office/drawing/2014/main" id="{00000000-0008-0000-0600-00006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1238250" y="10382250"/>
          <a:ext cx="219075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9525</xdr:colOff>
      <xdr:row>69</xdr:row>
      <xdr:rowOff>28575</xdr:rowOff>
    </xdr:from>
    <xdr:to>
      <xdr:col>4</xdr:col>
      <xdr:colOff>228600</xdr:colOff>
      <xdr:row>69</xdr:row>
      <xdr:rowOff>190500</xdr:rowOff>
    </xdr:to>
    <xdr:pic>
      <xdr:nvPicPr>
        <xdr:cNvPr id="3172" name="Picture 100" descr="http://en.f1-live.com/f1/img/drapeau/drap_eng.gif">
          <a:extLst>
            <a:ext uri="{FF2B5EF4-FFF2-40B4-BE49-F238E27FC236}">
              <a16:creationId xmlns:a16="http://schemas.microsoft.com/office/drawing/2014/main" id="{00000000-0008-0000-0600-00006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695700" y="10382250"/>
          <a:ext cx="219075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19050</xdr:colOff>
      <xdr:row>70</xdr:row>
      <xdr:rowOff>28575</xdr:rowOff>
    </xdr:from>
    <xdr:to>
      <xdr:col>2</xdr:col>
      <xdr:colOff>238125</xdr:colOff>
      <xdr:row>70</xdr:row>
      <xdr:rowOff>190500</xdr:rowOff>
    </xdr:to>
    <xdr:pic>
      <xdr:nvPicPr>
        <xdr:cNvPr id="3173" name="Picture 101" descr="http://en.f1-live.com/f1/img/drapeau/drap_eng.gif">
          <a:extLst>
            <a:ext uri="{FF2B5EF4-FFF2-40B4-BE49-F238E27FC236}">
              <a16:creationId xmlns:a16="http://schemas.microsoft.com/office/drawing/2014/main" id="{00000000-0008-0000-0600-00006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0" y="10582275"/>
          <a:ext cx="219075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9525</xdr:colOff>
      <xdr:row>70</xdr:row>
      <xdr:rowOff>28575</xdr:rowOff>
    </xdr:from>
    <xdr:to>
      <xdr:col>4</xdr:col>
      <xdr:colOff>228600</xdr:colOff>
      <xdr:row>70</xdr:row>
      <xdr:rowOff>190500</xdr:rowOff>
    </xdr:to>
    <xdr:pic>
      <xdr:nvPicPr>
        <xdr:cNvPr id="3174" name="Picture 102" descr="http://en.f1-live.com/f1/img/drapeau/drap_eng.gif">
          <a:extLst>
            <a:ext uri="{FF2B5EF4-FFF2-40B4-BE49-F238E27FC236}">
              <a16:creationId xmlns:a16="http://schemas.microsoft.com/office/drawing/2014/main" id="{00000000-0008-0000-0600-00006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695700" y="10582275"/>
          <a:ext cx="219075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19050</xdr:colOff>
      <xdr:row>71</xdr:row>
      <xdr:rowOff>28575</xdr:rowOff>
    </xdr:from>
    <xdr:to>
      <xdr:col>2</xdr:col>
      <xdr:colOff>238125</xdr:colOff>
      <xdr:row>71</xdr:row>
      <xdr:rowOff>190500</xdr:rowOff>
    </xdr:to>
    <xdr:pic>
      <xdr:nvPicPr>
        <xdr:cNvPr id="3175" name="Picture 103" descr="http://en.f1-live.com/f1/img/drapeau/drap_arg.gif">
          <a:extLst>
            <a:ext uri="{FF2B5EF4-FFF2-40B4-BE49-F238E27FC236}">
              <a16:creationId xmlns:a16="http://schemas.microsoft.com/office/drawing/2014/main" id="{00000000-0008-0000-0600-00006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/>
        <a:srcRect/>
        <a:stretch>
          <a:fillRect/>
        </a:stretch>
      </xdr:blipFill>
      <xdr:spPr bwMode="auto">
        <a:xfrm>
          <a:off x="1238250" y="10782300"/>
          <a:ext cx="219075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9525</xdr:colOff>
      <xdr:row>71</xdr:row>
      <xdr:rowOff>28575</xdr:rowOff>
    </xdr:from>
    <xdr:to>
      <xdr:col>4</xdr:col>
      <xdr:colOff>228600</xdr:colOff>
      <xdr:row>71</xdr:row>
      <xdr:rowOff>190500</xdr:rowOff>
    </xdr:to>
    <xdr:pic>
      <xdr:nvPicPr>
        <xdr:cNvPr id="3176" name="Picture 104" descr="http://en.f1-live.com/f1/img/drapeau/drap_vide.gif">
          <a:extLst>
            <a:ext uri="{FF2B5EF4-FFF2-40B4-BE49-F238E27FC236}">
              <a16:creationId xmlns:a16="http://schemas.microsoft.com/office/drawing/2014/main" id="{00000000-0008-0000-0600-00006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/>
        <a:srcRect/>
        <a:stretch>
          <a:fillRect/>
        </a:stretch>
      </xdr:blipFill>
      <xdr:spPr bwMode="auto">
        <a:xfrm>
          <a:off x="3695700" y="10782300"/>
          <a:ext cx="219075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19050</xdr:colOff>
      <xdr:row>72</xdr:row>
      <xdr:rowOff>28575</xdr:rowOff>
    </xdr:from>
    <xdr:to>
      <xdr:col>2</xdr:col>
      <xdr:colOff>238125</xdr:colOff>
      <xdr:row>72</xdr:row>
      <xdr:rowOff>190500</xdr:rowOff>
    </xdr:to>
    <xdr:pic>
      <xdr:nvPicPr>
        <xdr:cNvPr id="3177" name="Picture 105" descr="http://en.f1-live.com/f1/img/drapeau/drap_arg.gif">
          <a:extLst>
            <a:ext uri="{FF2B5EF4-FFF2-40B4-BE49-F238E27FC236}">
              <a16:creationId xmlns:a16="http://schemas.microsoft.com/office/drawing/2014/main" id="{00000000-0008-0000-0600-00006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/>
        <a:srcRect/>
        <a:stretch>
          <a:fillRect/>
        </a:stretch>
      </xdr:blipFill>
      <xdr:spPr bwMode="auto">
        <a:xfrm>
          <a:off x="1238250" y="10982325"/>
          <a:ext cx="219075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9525</xdr:colOff>
      <xdr:row>72</xdr:row>
      <xdr:rowOff>38100</xdr:rowOff>
    </xdr:from>
    <xdr:to>
      <xdr:col>4</xdr:col>
      <xdr:colOff>228600</xdr:colOff>
      <xdr:row>73</xdr:row>
      <xdr:rowOff>0</xdr:rowOff>
    </xdr:to>
    <xdr:pic>
      <xdr:nvPicPr>
        <xdr:cNvPr id="3178" name="Picture 106" descr="http://en.f1-live.com/f1/img/drapeau/drap_vide.gif">
          <a:extLst>
            <a:ext uri="{FF2B5EF4-FFF2-40B4-BE49-F238E27FC236}">
              <a16:creationId xmlns:a16="http://schemas.microsoft.com/office/drawing/2014/main" id="{00000000-0008-0000-0600-00006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/>
        <a:srcRect/>
        <a:stretch>
          <a:fillRect/>
        </a:stretch>
      </xdr:blipFill>
      <xdr:spPr bwMode="auto">
        <a:xfrm>
          <a:off x="3695700" y="10991850"/>
          <a:ext cx="219075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19050</xdr:colOff>
      <xdr:row>73</xdr:row>
      <xdr:rowOff>28575</xdr:rowOff>
    </xdr:from>
    <xdr:to>
      <xdr:col>2</xdr:col>
      <xdr:colOff>238125</xdr:colOff>
      <xdr:row>74</xdr:row>
      <xdr:rowOff>0</xdr:rowOff>
    </xdr:to>
    <xdr:pic>
      <xdr:nvPicPr>
        <xdr:cNvPr id="3179" name="Picture 107" descr="http://en.f1-live.com/f1/img/drapeau/drap_arg.gif">
          <a:extLst>
            <a:ext uri="{FF2B5EF4-FFF2-40B4-BE49-F238E27FC236}">
              <a16:creationId xmlns:a16="http://schemas.microsoft.com/office/drawing/2014/main" id="{00000000-0008-0000-0600-00006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/>
        <a:srcRect/>
        <a:stretch>
          <a:fillRect/>
        </a:stretch>
      </xdr:blipFill>
      <xdr:spPr bwMode="auto">
        <a:xfrm>
          <a:off x="1238250" y="11182350"/>
          <a:ext cx="219075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9525</xdr:colOff>
      <xdr:row>73</xdr:row>
      <xdr:rowOff>38100</xdr:rowOff>
    </xdr:from>
    <xdr:to>
      <xdr:col>4</xdr:col>
      <xdr:colOff>228600</xdr:colOff>
      <xdr:row>74</xdr:row>
      <xdr:rowOff>9525</xdr:rowOff>
    </xdr:to>
    <xdr:pic>
      <xdr:nvPicPr>
        <xdr:cNvPr id="3180" name="Picture 108" descr="http://en.f1-live.com/f1/img/drapeau/drap_vide.gif">
          <a:extLst>
            <a:ext uri="{FF2B5EF4-FFF2-40B4-BE49-F238E27FC236}">
              <a16:creationId xmlns:a16="http://schemas.microsoft.com/office/drawing/2014/main" id="{00000000-0008-0000-0600-00006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/>
        <a:srcRect/>
        <a:stretch>
          <a:fillRect/>
        </a:stretch>
      </xdr:blipFill>
      <xdr:spPr bwMode="auto">
        <a:xfrm>
          <a:off x="3695700" y="11191875"/>
          <a:ext cx="219075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19050</xdr:colOff>
      <xdr:row>74</xdr:row>
      <xdr:rowOff>28575</xdr:rowOff>
    </xdr:from>
    <xdr:to>
      <xdr:col>2</xdr:col>
      <xdr:colOff>238125</xdr:colOff>
      <xdr:row>75</xdr:row>
      <xdr:rowOff>0</xdr:rowOff>
    </xdr:to>
    <xdr:pic>
      <xdr:nvPicPr>
        <xdr:cNvPr id="3181" name="Picture 109" descr="http://en.f1-live.com/f1/img/drapeau/drap_arg.gif">
          <a:extLst>
            <a:ext uri="{FF2B5EF4-FFF2-40B4-BE49-F238E27FC236}">
              <a16:creationId xmlns:a16="http://schemas.microsoft.com/office/drawing/2014/main" id="{00000000-0008-0000-0600-00006D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/>
        <a:srcRect/>
        <a:stretch>
          <a:fillRect/>
        </a:stretch>
      </xdr:blipFill>
      <xdr:spPr bwMode="auto">
        <a:xfrm>
          <a:off x="1238250" y="11382375"/>
          <a:ext cx="219075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9525</xdr:colOff>
      <xdr:row>74</xdr:row>
      <xdr:rowOff>28575</xdr:rowOff>
    </xdr:from>
    <xdr:to>
      <xdr:col>4</xdr:col>
      <xdr:colOff>228600</xdr:colOff>
      <xdr:row>75</xdr:row>
      <xdr:rowOff>0</xdr:rowOff>
    </xdr:to>
    <xdr:pic>
      <xdr:nvPicPr>
        <xdr:cNvPr id="3182" name="Picture 110" descr="http://en.f1-live.com/f1/img/drapeau/drap_vide.gif">
          <a:extLst>
            <a:ext uri="{FF2B5EF4-FFF2-40B4-BE49-F238E27FC236}">
              <a16:creationId xmlns:a16="http://schemas.microsoft.com/office/drawing/2014/main" id="{00000000-0008-0000-0600-00006E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/>
        <a:srcRect/>
        <a:stretch>
          <a:fillRect/>
        </a:stretch>
      </xdr:blipFill>
      <xdr:spPr bwMode="auto">
        <a:xfrm>
          <a:off x="3533775" y="13144500"/>
          <a:ext cx="219075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19050</xdr:colOff>
      <xdr:row>75</xdr:row>
      <xdr:rowOff>19050</xdr:rowOff>
    </xdr:from>
    <xdr:to>
      <xdr:col>2</xdr:col>
      <xdr:colOff>238125</xdr:colOff>
      <xdr:row>75</xdr:row>
      <xdr:rowOff>180975</xdr:rowOff>
    </xdr:to>
    <xdr:pic>
      <xdr:nvPicPr>
        <xdr:cNvPr id="3183" name="Picture 111" descr="http://en.f1-live.com/f1/img/drapeau/drap_ita.gif">
          <a:extLst>
            <a:ext uri="{FF2B5EF4-FFF2-40B4-BE49-F238E27FC236}">
              <a16:creationId xmlns:a16="http://schemas.microsoft.com/office/drawing/2014/main" id="{00000000-0008-0000-0600-00006F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238250" y="11572875"/>
          <a:ext cx="219075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9525</xdr:colOff>
      <xdr:row>75</xdr:row>
      <xdr:rowOff>28575</xdr:rowOff>
    </xdr:from>
    <xdr:to>
      <xdr:col>4</xdr:col>
      <xdr:colOff>228600</xdr:colOff>
      <xdr:row>76</xdr:row>
      <xdr:rowOff>0</xdr:rowOff>
    </xdr:to>
    <xdr:pic>
      <xdr:nvPicPr>
        <xdr:cNvPr id="3184" name="Picture 112" descr="http://en.f1-live.com/f1/img/drapeau/drap_vide.gif">
          <a:extLst>
            <a:ext uri="{FF2B5EF4-FFF2-40B4-BE49-F238E27FC236}">
              <a16:creationId xmlns:a16="http://schemas.microsoft.com/office/drawing/2014/main" id="{00000000-0008-0000-0600-00007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/>
        <a:srcRect/>
        <a:stretch>
          <a:fillRect/>
        </a:stretch>
      </xdr:blipFill>
      <xdr:spPr bwMode="auto">
        <a:xfrm>
          <a:off x="3533775" y="13335000"/>
          <a:ext cx="219075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9525</xdr:colOff>
      <xdr:row>76</xdr:row>
      <xdr:rowOff>28575</xdr:rowOff>
    </xdr:from>
    <xdr:to>
      <xdr:col>2</xdr:col>
      <xdr:colOff>228600</xdr:colOff>
      <xdr:row>77</xdr:row>
      <xdr:rowOff>0</xdr:rowOff>
    </xdr:to>
    <xdr:pic>
      <xdr:nvPicPr>
        <xdr:cNvPr id="3185" name="Picture 113" descr="http://en.f1-live.com/f1/img/drapeau/drap_ita.gif">
          <a:extLst>
            <a:ext uri="{FF2B5EF4-FFF2-40B4-BE49-F238E27FC236}">
              <a16:creationId xmlns:a16="http://schemas.microsoft.com/office/drawing/2014/main" id="{00000000-0008-0000-0600-00007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228725" y="11782425"/>
          <a:ext cx="219075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9525</xdr:colOff>
      <xdr:row>76</xdr:row>
      <xdr:rowOff>28575</xdr:rowOff>
    </xdr:from>
    <xdr:to>
      <xdr:col>4</xdr:col>
      <xdr:colOff>228600</xdr:colOff>
      <xdr:row>77</xdr:row>
      <xdr:rowOff>0</xdr:rowOff>
    </xdr:to>
    <xdr:pic>
      <xdr:nvPicPr>
        <xdr:cNvPr id="3186" name="Picture 114" descr="http://en.f1-live.com/f1/img/drapeau/drap_vide.gif">
          <a:extLst>
            <a:ext uri="{FF2B5EF4-FFF2-40B4-BE49-F238E27FC236}">
              <a16:creationId xmlns:a16="http://schemas.microsoft.com/office/drawing/2014/main" id="{00000000-0008-0000-0600-00007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/>
        <a:srcRect/>
        <a:stretch>
          <a:fillRect/>
        </a:stretch>
      </xdr:blipFill>
      <xdr:spPr bwMode="auto">
        <a:xfrm>
          <a:off x="3533775" y="13525500"/>
          <a:ext cx="219075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19050</xdr:colOff>
      <xdr:row>77</xdr:row>
      <xdr:rowOff>28575</xdr:rowOff>
    </xdr:from>
    <xdr:to>
      <xdr:col>2</xdr:col>
      <xdr:colOff>238125</xdr:colOff>
      <xdr:row>78</xdr:row>
      <xdr:rowOff>0</xdr:rowOff>
    </xdr:to>
    <xdr:pic>
      <xdr:nvPicPr>
        <xdr:cNvPr id="3187" name="Picture 115" descr="http://en.f1-live.com/f1/img/drapeau/drap_arg.gif">
          <a:extLst>
            <a:ext uri="{FF2B5EF4-FFF2-40B4-BE49-F238E27FC236}">
              <a16:creationId xmlns:a16="http://schemas.microsoft.com/office/drawing/2014/main" id="{00000000-0008-0000-0600-00007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/>
        <a:srcRect/>
        <a:stretch>
          <a:fillRect/>
        </a:stretch>
      </xdr:blipFill>
      <xdr:spPr bwMode="auto">
        <a:xfrm>
          <a:off x="1238250" y="11982450"/>
          <a:ext cx="219075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9525</xdr:colOff>
      <xdr:row>77</xdr:row>
      <xdr:rowOff>28575</xdr:rowOff>
    </xdr:from>
    <xdr:to>
      <xdr:col>4</xdr:col>
      <xdr:colOff>228600</xdr:colOff>
      <xdr:row>78</xdr:row>
      <xdr:rowOff>0</xdr:rowOff>
    </xdr:to>
    <xdr:pic>
      <xdr:nvPicPr>
        <xdr:cNvPr id="3188" name="Picture 116" descr="http://en.f1-live.com/f1/img/drapeau/drap_vide.gif">
          <a:extLst>
            <a:ext uri="{FF2B5EF4-FFF2-40B4-BE49-F238E27FC236}">
              <a16:creationId xmlns:a16="http://schemas.microsoft.com/office/drawing/2014/main" id="{00000000-0008-0000-0600-00007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/>
        <a:srcRect/>
        <a:stretch>
          <a:fillRect/>
        </a:stretch>
      </xdr:blipFill>
      <xdr:spPr bwMode="auto">
        <a:xfrm>
          <a:off x="3533775" y="13716000"/>
          <a:ext cx="219075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19050</xdr:colOff>
      <xdr:row>78</xdr:row>
      <xdr:rowOff>19050</xdr:rowOff>
    </xdr:from>
    <xdr:to>
      <xdr:col>2</xdr:col>
      <xdr:colOff>238125</xdr:colOff>
      <xdr:row>78</xdr:row>
      <xdr:rowOff>180975</xdr:rowOff>
    </xdr:to>
    <xdr:pic>
      <xdr:nvPicPr>
        <xdr:cNvPr id="3189" name="Picture 117" descr="http://en.f1-live.com/f1/img/drapeau/drap_ita.gif">
          <a:extLst>
            <a:ext uri="{FF2B5EF4-FFF2-40B4-BE49-F238E27FC236}">
              <a16:creationId xmlns:a16="http://schemas.microsoft.com/office/drawing/2014/main" id="{00000000-0008-0000-0600-00007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238250" y="12172950"/>
          <a:ext cx="219075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9525</xdr:colOff>
      <xdr:row>78</xdr:row>
      <xdr:rowOff>28575</xdr:rowOff>
    </xdr:from>
    <xdr:to>
      <xdr:col>4</xdr:col>
      <xdr:colOff>228600</xdr:colOff>
      <xdr:row>79</xdr:row>
      <xdr:rowOff>0</xdr:rowOff>
    </xdr:to>
    <xdr:pic>
      <xdr:nvPicPr>
        <xdr:cNvPr id="3190" name="Picture 118" descr="http://en.f1-live.com/f1/img/drapeau/drap_vide.gif">
          <a:extLst>
            <a:ext uri="{FF2B5EF4-FFF2-40B4-BE49-F238E27FC236}">
              <a16:creationId xmlns:a16="http://schemas.microsoft.com/office/drawing/2014/main" id="{00000000-0008-0000-0600-00007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/>
        <a:srcRect/>
        <a:stretch>
          <a:fillRect/>
        </a:stretch>
      </xdr:blipFill>
      <xdr:spPr bwMode="auto">
        <a:xfrm>
          <a:off x="3695700" y="12382500"/>
          <a:ext cx="219075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9525</xdr:colOff>
      <xdr:row>1</xdr:row>
      <xdr:rowOff>19050</xdr:rowOff>
    </xdr:from>
    <xdr:to>
      <xdr:col>2</xdr:col>
      <xdr:colOff>228600</xdr:colOff>
      <xdr:row>1</xdr:row>
      <xdr:rowOff>180975</xdr:rowOff>
    </xdr:to>
    <xdr:pic>
      <xdr:nvPicPr>
        <xdr:cNvPr id="122" name="Picture 118" descr="http://en.f1-live.com/f1/img/drapeau/drap_vide.gif">
          <a:extLst>
            <a:ext uri="{FF2B5EF4-FFF2-40B4-BE49-F238E27FC236}">
              <a16:creationId xmlns:a16="http://schemas.microsoft.com/office/drawing/2014/main" id="{00000000-0008-0000-0600-00007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/>
        <a:srcRect/>
        <a:stretch>
          <a:fillRect/>
        </a:stretch>
      </xdr:blipFill>
      <xdr:spPr bwMode="auto">
        <a:xfrm>
          <a:off x="1066800" y="180975"/>
          <a:ext cx="219075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9525</xdr:colOff>
      <xdr:row>1</xdr:row>
      <xdr:rowOff>19050</xdr:rowOff>
    </xdr:from>
    <xdr:to>
      <xdr:col>4</xdr:col>
      <xdr:colOff>228600</xdr:colOff>
      <xdr:row>1</xdr:row>
      <xdr:rowOff>180975</xdr:rowOff>
    </xdr:to>
    <xdr:pic>
      <xdr:nvPicPr>
        <xdr:cNvPr id="123" name="Picture 118" descr="http://en.f1-live.com/f1/img/drapeau/drap_vide.gif">
          <a:extLst>
            <a:ext uri="{FF2B5EF4-FFF2-40B4-BE49-F238E27FC236}">
              <a16:creationId xmlns:a16="http://schemas.microsoft.com/office/drawing/2014/main" id="{00000000-0008-0000-0600-00007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/>
        <a:srcRect/>
        <a:stretch>
          <a:fillRect/>
        </a:stretch>
      </xdr:blipFill>
      <xdr:spPr bwMode="auto">
        <a:xfrm>
          <a:off x="3533775" y="180975"/>
          <a:ext cx="219075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19050</xdr:colOff>
      <xdr:row>19</xdr:row>
      <xdr:rowOff>28575</xdr:rowOff>
    </xdr:from>
    <xdr:to>
      <xdr:col>4</xdr:col>
      <xdr:colOff>238125</xdr:colOff>
      <xdr:row>19</xdr:row>
      <xdr:rowOff>190500</xdr:rowOff>
    </xdr:to>
    <xdr:pic>
      <xdr:nvPicPr>
        <xdr:cNvPr id="124" name="Picture 22" descr="http://en.f1-live.com/f1/img/drapeau/drap_eng.gif">
          <a:extLst>
            <a:ext uri="{FF2B5EF4-FFF2-40B4-BE49-F238E27FC236}">
              <a16:creationId xmlns:a16="http://schemas.microsoft.com/office/drawing/2014/main" id="{00000000-0008-0000-0600-00007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705225" y="381000"/>
          <a:ext cx="219075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19050</xdr:colOff>
      <xdr:row>19</xdr:row>
      <xdr:rowOff>19050</xdr:rowOff>
    </xdr:from>
    <xdr:to>
      <xdr:col>2</xdr:col>
      <xdr:colOff>238125</xdr:colOff>
      <xdr:row>19</xdr:row>
      <xdr:rowOff>180975</xdr:rowOff>
    </xdr:to>
    <xdr:pic>
      <xdr:nvPicPr>
        <xdr:cNvPr id="125" name="Picture 1" descr="http://en.f1-live.com/f1/img/drapeau/drap_eng.gif">
          <a:extLst>
            <a:ext uri="{FF2B5EF4-FFF2-40B4-BE49-F238E27FC236}">
              <a16:creationId xmlns:a16="http://schemas.microsoft.com/office/drawing/2014/main" id="{00000000-0008-0000-0600-00007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0" y="571500"/>
          <a:ext cx="219075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9525</xdr:colOff>
      <xdr:row>18</xdr:row>
      <xdr:rowOff>28575</xdr:rowOff>
    </xdr:from>
    <xdr:to>
      <xdr:col>4</xdr:col>
      <xdr:colOff>228600</xdr:colOff>
      <xdr:row>18</xdr:row>
      <xdr:rowOff>190500</xdr:rowOff>
    </xdr:to>
    <xdr:pic>
      <xdr:nvPicPr>
        <xdr:cNvPr id="126" name="Picture 77" descr="http://en.f1-live.com/f1/img/drapeau/drap_aut.gif">
          <a:extLst>
            <a:ext uri="{FF2B5EF4-FFF2-40B4-BE49-F238E27FC236}">
              <a16:creationId xmlns:a16="http://schemas.microsoft.com/office/drawing/2014/main" id="{00000000-0008-0000-0600-00007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3533775" y="381000"/>
          <a:ext cx="219075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19050</xdr:colOff>
      <xdr:row>18</xdr:row>
      <xdr:rowOff>9525</xdr:rowOff>
    </xdr:from>
    <xdr:to>
      <xdr:col>2</xdr:col>
      <xdr:colOff>238125</xdr:colOff>
      <xdr:row>18</xdr:row>
      <xdr:rowOff>171450</xdr:rowOff>
    </xdr:to>
    <xdr:pic>
      <xdr:nvPicPr>
        <xdr:cNvPr id="127" name="Picture 9" descr="http://en.f1-live.com/f1/img/drapeau/drap_all.gif">
          <a:extLst>
            <a:ext uri="{FF2B5EF4-FFF2-40B4-BE49-F238E27FC236}">
              <a16:creationId xmlns:a16="http://schemas.microsoft.com/office/drawing/2014/main" id="{00000000-0008-0000-0600-00007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1076325" y="361950"/>
          <a:ext cx="219075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19050</xdr:colOff>
      <xdr:row>17</xdr:row>
      <xdr:rowOff>9525</xdr:rowOff>
    </xdr:from>
    <xdr:to>
      <xdr:col>2</xdr:col>
      <xdr:colOff>238125</xdr:colOff>
      <xdr:row>17</xdr:row>
      <xdr:rowOff>171450</xdr:rowOff>
    </xdr:to>
    <xdr:pic>
      <xdr:nvPicPr>
        <xdr:cNvPr id="132" name="Picture 9" descr="http://en.f1-live.com/f1/img/drapeau/drap_all.gif">
          <a:extLst>
            <a:ext uri="{FF2B5EF4-FFF2-40B4-BE49-F238E27FC236}">
              <a16:creationId xmlns:a16="http://schemas.microsoft.com/office/drawing/2014/main" id="{00000000-0008-0000-0600-00008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1076325" y="552450"/>
          <a:ext cx="219075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9525</xdr:colOff>
      <xdr:row>17</xdr:row>
      <xdr:rowOff>19050</xdr:rowOff>
    </xdr:from>
    <xdr:to>
      <xdr:col>4</xdr:col>
      <xdr:colOff>228600</xdr:colOff>
      <xdr:row>17</xdr:row>
      <xdr:rowOff>180975</xdr:rowOff>
    </xdr:to>
    <xdr:pic>
      <xdr:nvPicPr>
        <xdr:cNvPr id="133" name="Picture 77" descr="http://en.f1-live.com/f1/img/drapeau/drap_aut.gif">
          <a:extLst>
            <a:ext uri="{FF2B5EF4-FFF2-40B4-BE49-F238E27FC236}">
              <a16:creationId xmlns:a16="http://schemas.microsoft.com/office/drawing/2014/main" id="{00000000-0008-0000-0600-00008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3533775" y="561975"/>
          <a:ext cx="219075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9525</xdr:colOff>
      <xdr:row>16</xdr:row>
      <xdr:rowOff>9525</xdr:rowOff>
    </xdr:from>
    <xdr:to>
      <xdr:col>4</xdr:col>
      <xdr:colOff>228600</xdr:colOff>
      <xdr:row>16</xdr:row>
      <xdr:rowOff>171450</xdr:rowOff>
    </xdr:to>
    <xdr:pic>
      <xdr:nvPicPr>
        <xdr:cNvPr id="134" name="Picture 77" descr="http://en.f1-live.com/f1/img/drapeau/drap_aut.gif">
          <a:extLst>
            <a:ext uri="{FF2B5EF4-FFF2-40B4-BE49-F238E27FC236}">
              <a16:creationId xmlns:a16="http://schemas.microsoft.com/office/drawing/2014/main" id="{00000000-0008-0000-0600-00008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3533775" y="361950"/>
          <a:ext cx="219075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19050</xdr:colOff>
      <xdr:row>16</xdr:row>
      <xdr:rowOff>9525</xdr:rowOff>
    </xdr:from>
    <xdr:to>
      <xdr:col>2</xdr:col>
      <xdr:colOff>238125</xdr:colOff>
      <xdr:row>16</xdr:row>
      <xdr:rowOff>171450</xdr:rowOff>
    </xdr:to>
    <xdr:pic>
      <xdr:nvPicPr>
        <xdr:cNvPr id="131" name="Picture 9" descr="http://en.f1-live.com/f1/img/drapeau/drap_all.gif">
          <a:extLst>
            <a:ext uri="{FF2B5EF4-FFF2-40B4-BE49-F238E27FC236}">
              <a16:creationId xmlns:a16="http://schemas.microsoft.com/office/drawing/2014/main" id="{00000000-0008-0000-0600-00008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1076325" y="361950"/>
          <a:ext cx="219075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19050</xdr:colOff>
      <xdr:row>15</xdr:row>
      <xdr:rowOff>9525</xdr:rowOff>
    </xdr:from>
    <xdr:to>
      <xdr:col>2</xdr:col>
      <xdr:colOff>238125</xdr:colOff>
      <xdr:row>15</xdr:row>
      <xdr:rowOff>171450</xdr:rowOff>
    </xdr:to>
    <xdr:pic>
      <xdr:nvPicPr>
        <xdr:cNvPr id="135" name="Picture 9" descr="http://en.f1-live.com/f1/img/drapeau/drap_all.gif">
          <a:extLst>
            <a:ext uri="{FF2B5EF4-FFF2-40B4-BE49-F238E27FC236}">
              <a16:creationId xmlns:a16="http://schemas.microsoft.com/office/drawing/2014/main" id="{00000000-0008-0000-0600-00008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1076325" y="361950"/>
          <a:ext cx="219075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9525</xdr:colOff>
      <xdr:row>15</xdr:row>
      <xdr:rowOff>9525</xdr:rowOff>
    </xdr:from>
    <xdr:to>
      <xdr:col>4</xdr:col>
      <xdr:colOff>228600</xdr:colOff>
      <xdr:row>15</xdr:row>
      <xdr:rowOff>171450</xdr:rowOff>
    </xdr:to>
    <xdr:pic>
      <xdr:nvPicPr>
        <xdr:cNvPr id="136" name="Picture 77" descr="http://en.f1-live.com/f1/img/drapeau/drap_aut.gif">
          <a:extLst>
            <a:ext uri="{FF2B5EF4-FFF2-40B4-BE49-F238E27FC236}">
              <a16:creationId xmlns:a16="http://schemas.microsoft.com/office/drawing/2014/main" id="{00000000-0008-0000-0600-00008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3533775" y="361950"/>
          <a:ext cx="219075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19050</xdr:colOff>
      <xdr:row>14</xdr:row>
      <xdr:rowOff>9525</xdr:rowOff>
    </xdr:from>
    <xdr:to>
      <xdr:col>4</xdr:col>
      <xdr:colOff>238125</xdr:colOff>
      <xdr:row>14</xdr:row>
      <xdr:rowOff>171450</xdr:rowOff>
    </xdr:to>
    <xdr:pic>
      <xdr:nvPicPr>
        <xdr:cNvPr id="137" name="Picture 9" descr="http://en.f1-live.com/f1/img/drapeau/drap_all.gif">
          <a:extLst>
            <a:ext uri="{FF2B5EF4-FFF2-40B4-BE49-F238E27FC236}">
              <a16:creationId xmlns:a16="http://schemas.microsoft.com/office/drawing/2014/main" id="{00000000-0008-0000-0600-00008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3543300" y="361950"/>
          <a:ext cx="219075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19050</xdr:colOff>
      <xdr:row>14</xdr:row>
      <xdr:rowOff>19050</xdr:rowOff>
    </xdr:from>
    <xdr:to>
      <xdr:col>2</xdr:col>
      <xdr:colOff>238125</xdr:colOff>
      <xdr:row>14</xdr:row>
      <xdr:rowOff>180975</xdr:rowOff>
    </xdr:to>
    <xdr:pic>
      <xdr:nvPicPr>
        <xdr:cNvPr id="138" name="Picture 1" descr="http://en.f1-live.com/f1/img/drapeau/drap_eng.gif">
          <a:extLst>
            <a:ext uri="{FF2B5EF4-FFF2-40B4-BE49-F238E27FC236}">
              <a16:creationId xmlns:a16="http://schemas.microsoft.com/office/drawing/2014/main" id="{00000000-0008-0000-0600-00008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76325" y="371475"/>
          <a:ext cx="219075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19050</xdr:colOff>
      <xdr:row>13</xdr:row>
      <xdr:rowOff>19050</xdr:rowOff>
    </xdr:from>
    <xdr:to>
      <xdr:col>2</xdr:col>
      <xdr:colOff>238125</xdr:colOff>
      <xdr:row>13</xdr:row>
      <xdr:rowOff>180975</xdr:rowOff>
    </xdr:to>
    <xdr:pic>
      <xdr:nvPicPr>
        <xdr:cNvPr id="139" name="Picture 1" descr="http://en.f1-live.com/f1/img/drapeau/drap_eng.gif">
          <a:extLst>
            <a:ext uri="{FF2B5EF4-FFF2-40B4-BE49-F238E27FC236}">
              <a16:creationId xmlns:a16="http://schemas.microsoft.com/office/drawing/2014/main" id="{00000000-0008-0000-0600-00008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76325" y="371475"/>
          <a:ext cx="219075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19050</xdr:colOff>
      <xdr:row>13</xdr:row>
      <xdr:rowOff>9525</xdr:rowOff>
    </xdr:from>
    <xdr:to>
      <xdr:col>4</xdr:col>
      <xdr:colOff>238125</xdr:colOff>
      <xdr:row>13</xdr:row>
      <xdr:rowOff>171450</xdr:rowOff>
    </xdr:to>
    <xdr:pic>
      <xdr:nvPicPr>
        <xdr:cNvPr id="140" name="Picture 9" descr="http://en.f1-live.com/f1/img/drapeau/drap_all.gif">
          <a:extLst>
            <a:ext uri="{FF2B5EF4-FFF2-40B4-BE49-F238E27FC236}">
              <a16:creationId xmlns:a16="http://schemas.microsoft.com/office/drawing/2014/main" id="{00000000-0008-0000-0600-00008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3543300" y="361950"/>
          <a:ext cx="219075" cy="161925"/>
        </a:xfrm>
        <a:prstGeom prst="rect">
          <a:avLst/>
        </a:prstGeom>
        <a:noFill/>
      </xdr:spPr>
    </xdr:pic>
    <xdr:clientData/>
  </xdr:twoCellAnchor>
  <xdr:oneCellAnchor>
    <xdr:from>
      <xdr:col>2</xdr:col>
      <xdr:colOff>19050</xdr:colOff>
      <xdr:row>11</xdr:row>
      <xdr:rowOff>19050</xdr:rowOff>
    </xdr:from>
    <xdr:ext cx="219075" cy="161925"/>
    <xdr:pic>
      <xdr:nvPicPr>
        <xdr:cNvPr id="141" name="Picture 1" descr="http://en.f1-live.com/f1/img/drapeau/drap_eng.gif">
          <a:extLst>
            <a:ext uri="{FF2B5EF4-FFF2-40B4-BE49-F238E27FC236}">
              <a16:creationId xmlns:a16="http://schemas.microsoft.com/office/drawing/2014/main" id="{00000000-0008-0000-0600-00008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76325" y="561975"/>
          <a:ext cx="219075" cy="161925"/>
        </a:xfrm>
        <a:prstGeom prst="rect">
          <a:avLst/>
        </a:prstGeom>
        <a:noFill/>
      </xdr:spPr>
    </xdr:pic>
    <xdr:clientData/>
  </xdr:oneCellAnchor>
  <xdr:oneCellAnchor>
    <xdr:from>
      <xdr:col>4</xdr:col>
      <xdr:colOff>19050</xdr:colOff>
      <xdr:row>11</xdr:row>
      <xdr:rowOff>9525</xdr:rowOff>
    </xdr:from>
    <xdr:ext cx="219075" cy="161925"/>
    <xdr:pic>
      <xdr:nvPicPr>
        <xdr:cNvPr id="142" name="Picture 9" descr="http://en.f1-live.com/f1/img/drapeau/drap_all.gif">
          <a:extLst>
            <a:ext uri="{FF2B5EF4-FFF2-40B4-BE49-F238E27FC236}">
              <a16:creationId xmlns:a16="http://schemas.microsoft.com/office/drawing/2014/main" id="{00000000-0008-0000-0600-00008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3543300" y="552450"/>
          <a:ext cx="219075" cy="161925"/>
        </a:xfrm>
        <a:prstGeom prst="rect">
          <a:avLst/>
        </a:prstGeom>
        <a:noFill/>
      </xdr:spPr>
    </xdr:pic>
    <xdr:clientData/>
  </xdr:oneCellAnchor>
  <xdr:oneCellAnchor>
    <xdr:from>
      <xdr:col>4</xdr:col>
      <xdr:colOff>19050</xdr:colOff>
      <xdr:row>12</xdr:row>
      <xdr:rowOff>9525</xdr:rowOff>
    </xdr:from>
    <xdr:ext cx="219075" cy="161925"/>
    <xdr:pic>
      <xdr:nvPicPr>
        <xdr:cNvPr id="143" name="Picture 9" descr="http://en.f1-live.com/f1/img/drapeau/drap_all.gif">
          <a:extLst>
            <a:ext uri="{FF2B5EF4-FFF2-40B4-BE49-F238E27FC236}">
              <a16:creationId xmlns:a16="http://schemas.microsoft.com/office/drawing/2014/main" id="{00000000-0008-0000-0600-00008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3543300" y="552450"/>
          <a:ext cx="219075" cy="1619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19050</xdr:colOff>
      <xdr:row>12</xdr:row>
      <xdr:rowOff>19050</xdr:rowOff>
    </xdr:from>
    <xdr:ext cx="219075" cy="161925"/>
    <xdr:pic>
      <xdr:nvPicPr>
        <xdr:cNvPr id="144" name="Picture 9" descr="http://en.f1-live.com/f1/img/drapeau/drap_all.gif">
          <a:extLst>
            <a:ext uri="{FF2B5EF4-FFF2-40B4-BE49-F238E27FC236}">
              <a16:creationId xmlns:a16="http://schemas.microsoft.com/office/drawing/2014/main" id="{00000000-0008-0000-0600-00009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1076325" y="561975"/>
          <a:ext cx="219075" cy="1619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19050</xdr:colOff>
      <xdr:row>10</xdr:row>
      <xdr:rowOff>19050</xdr:rowOff>
    </xdr:from>
    <xdr:ext cx="219075" cy="161925"/>
    <xdr:pic>
      <xdr:nvPicPr>
        <xdr:cNvPr id="145" name="Picture 1" descr="http://en.f1-live.com/f1/img/drapeau/drap_eng.gif">
          <a:extLst>
            <a:ext uri="{FF2B5EF4-FFF2-40B4-BE49-F238E27FC236}">
              <a16:creationId xmlns:a16="http://schemas.microsoft.com/office/drawing/2014/main" id="{00000000-0008-0000-0600-00009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76325" y="561975"/>
          <a:ext cx="219075" cy="161925"/>
        </a:xfrm>
        <a:prstGeom prst="rect">
          <a:avLst/>
        </a:prstGeom>
        <a:noFill/>
      </xdr:spPr>
    </xdr:pic>
    <xdr:clientData/>
  </xdr:oneCellAnchor>
  <xdr:oneCellAnchor>
    <xdr:from>
      <xdr:col>4</xdr:col>
      <xdr:colOff>19050</xdr:colOff>
      <xdr:row>10</xdr:row>
      <xdr:rowOff>9525</xdr:rowOff>
    </xdr:from>
    <xdr:ext cx="219075" cy="161925"/>
    <xdr:pic>
      <xdr:nvPicPr>
        <xdr:cNvPr id="146" name="Picture 9" descr="http://en.f1-live.com/f1/img/drapeau/drap_all.gif">
          <a:extLst>
            <a:ext uri="{FF2B5EF4-FFF2-40B4-BE49-F238E27FC236}">
              <a16:creationId xmlns:a16="http://schemas.microsoft.com/office/drawing/2014/main" id="{00000000-0008-0000-0600-00009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3543300" y="552450"/>
          <a:ext cx="219075" cy="161925"/>
        </a:xfrm>
        <a:prstGeom prst="rect">
          <a:avLst/>
        </a:prstGeom>
        <a:noFill/>
      </xdr:spPr>
    </xdr:pic>
    <xdr:clientData/>
  </xdr:oneCellAnchor>
  <xdr:oneCellAnchor>
    <xdr:from>
      <xdr:col>4</xdr:col>
      <xdr:colOff>19050</xdr:colOff>
      <xdr:row>9</xdr:row>
      <xdr:rowOff>9525</xdr:rowOff>
    </xdr:from>
    <xdr:ext cx="219075" cy="161925"/>
    <xdr:pic>
      <xdr:nvPicPr>
        <xdr:cNvPr id="147" name="Picture 9" descr="http://en.f1-live.com/f1/img/drapeau/drap_all.gif">
          <a:extLst>
            <a:ext uri="{FF2B5EF4-FFF2-40B4-BE49-F238E27FC236}">
              <a16:creationId xmlns:a16="http://schemas.microsoft.com/office/drawing/2014/main" id="{00000000-0008-0000-0600-00009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3543300" y="361950"/>
          <a:ext cx="219075" cy="1619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19050</xdr:colOff>
      <xdr:row>9</xdr:row>
      <xdr:rowOff>19050</xdr:rowOff>
    </xdr:from>
    <xdr:ext cx="219075" cy="161925"/>
    <xdr:pic>
      <xdr:nvPicPr>
        <xdr:cNvPr id="148" name="Picture 1" descr="http://en.f1-live.com/f1/img/drapeau/drap_eng.gif">
          <a:extLst>
            <a:ext uri="{FF2B5EF4-FFF2-40B4-BE49-F238E27FC236}">
              <a16:creationId xmlns:a16="http://schemas.microsoft.com/office/drawing/2014/main" id="{00000000-0008-0000-0600-00009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76325" y="371475"/>
          <a:ext cx="219075" cy="161925"/>
        </a:xfrm>
        <a:prstGeom prst="rect">
          <a:avLst/>
        </a:prstGeom>
        <a:noFill/>
      </xdr:spPr>
    </xdr:pic>
    <xdr:clientData/>
  </xdr:oneCellAnchor>
  <xdr:oneCellAnchor>
    <xdr:from>
      <xdr:col>4</xdr:col>
      <xdr:colOff>19050</xdr:colOff>
      <xdr:row>8</xdr:row>
      <xdr:rowOff>9525</xdr:rowOff>
    </xdr:from>
    <xdr:ext cx="219075" cy="161925"/>
    <xdr:pic>
      <xdr:nvPicPr>
        <xdr:cNvPr id="151" name="Picture 9" descr="http://en.f1-live.com/f1/img/drapeau/drap_all.gif">
          <a:extLst>
            <a:ext uri="{FF2B5EF4-FFF2-40B4-BE49-F238E27FC236}">
              <a16:creationId xmlns:a16="http://schemas.microsoft.com/office/drawing/2014/main" id="{ABDAACD6-CDE7-4AB1-9A14-1D12EFC15E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3543300" y="361950"/>
          <a:ext cx="219075" cy="1619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19050</xdr:colOff>
      <xdr:row>8</xdr:row>
      <xdr:rowOff>19050</xdr:rowOff>
    </xdr:from>
    <xdr:ext cx="219075" cy="161925"/>
    <xdr:pic>
      <xdr:nvPicPr>
        <xdr:cNvPr id="152" name="Picture 1" descr="http://en.f1-live.com/f1/img/drapeau/drap_eng.gif">
          <a:extLst>
            <a:ext uri="{FF2B5EF4-FFF2-40B4-BE49-F238E27FC236}">
              <a16:creationId xmlns:a16="http://schemas.microsoft.com/office/drawing/2014/main" id="{21FAD4D2-364C-46DF-856B-F3F3DCA926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76325" y="1323975"/>
          <a:ext cx="219075" cy="161925"/>
        </a:xfrm>
        <a:prstGeom prst="rect">
          <a:avLst/>
        </a:prstGeom>
        <a:noFill/>
      </xdr:spPr>
    </xdr:pic>
    <xdr:clientData/>
  </xdr:oneCellAnchor>
  <xdr:twoCellAnchor editAs="oneCell">
    <xdr:from>
      <xdr:col>4</xdr:col>
      <xdr:colOff>19050</xdr:colOff>
      <xdr:row>4</xdr:row>
      <xdr:rowOff>19050</xdr:rowOff>
    </xdr:from>
    <xdr:to>
      <xdr:col>4</xdr:col>
      <xdr:colOff>238125</xdr:colOff>
      <xdr:row>4</xdr:row>
      <xdr:rowOff>180975</xdr:rowOff>
    </xdr:to>
    <xdr:pic>
      <xdr:nvPicPr>
        <xdr:cNvPr id="153" name="Picture 50" descr="http://en.f1-live.com/f1/img/drapeau/drap_eng.gif">
          <a:extLst>
            <a:ext uri="{FF2B5EF4-FFF2-40B4-BE49-F238E27FC236}">
              <a16:creationId xmlns:a16="http://schemas.microsoft.com/office/drawing/2014/main" id="{8B86463B-3AD8-4E81-8E51-080E7CBB1B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543300" y="561975"/>
          <a:ext cx="219075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19050</xdr:colOff>
      <xdr:row>5</xdr:row>
      <xdr:rowOff>19050</xdr:rowOff>
    </xdr:from>
    <xdr:to>
      <xdr:col>4</xdr:col>
      <xdr:colOff>238125</xdr:colOff>
      <xdr:row>5</xdr:row>
      <xdr:rowOff>180975</xdr:rowOff>
    </xdr:to>
    <xdr:pic>
      <xdr:nvPicPr>
        <xdr:cNvPr id="154" name="Picture 77" descr="http://en.f1-live.com/f1/img/drapeau/drap_aut.gif">
          <a:extLst>
            <a:ext uri="{FF2B5EF4-FFF2-40B4-BE49-F238E27FC236}">
              <a16:creationId xmlns:a16="http://schemas.microsoft.com/office/drawing/2014/main" id="{A6F8EF2D-0FB9-4B90-973D-E7D72D7C42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3543300" y="752475"/>
          <a:ext cx="219075" cy="161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19050</xdr:colOff>
      <xdr:row>6</xdr:row>
      <xdr:rowOff>19050</xdr:rowOff>
    </xdr:from>
    <xdr:to>
      <xdr:col>4</xdr:col>
      <xdr:colOff>238125</xdr:colOff>
      <xdr:row>6</xdr:row>
      <xdr:rowOff>180975</xdr:rowOff>
    </xdr:to>
    <xdr:pic>
      <xdr:nvPicPr>
        <xdr:cNvPr id="155" name="Picture 77" descr="http://en.f1-live.com/f1/img/drapeau/drap_aut.gif">
          <a:extLst>
            <a:ext uri="{FF2B5EF4-FFF2-40B4-BE49-F238E27FC236}">
              <a16:creationId xmlns:a16="http://schemas.microsoft.com/office/drawing/2014/main" id="{79F65042-10F9-4311-A374-45FFC480E3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3543300" y="942975"/>
          <a:ext cx="219075" cy="1619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38100</xdr:colOff>
      <xdr:row>4</xdr:row>
      <xdr:rowOff>38100</xdr:rowOff>
    </xdr:from>
    <xdr:to>
      <xdr:col>2</xdr:col>
      <xdr:colOff>218100</xdr:colOff>
      <xdr:row>4</xdr:row>
      <xdr:rowOff>160827</xdr:rowOff>
    </xdr:to>
    <xdr:pic>
      <xdr:nvPicPr>
        <xdr:cNvPr id="150" name="Imagem 149" descr="https://upload.wikimedia.org/wikipedia/commons/thumb/2/20/Flag_of_the_Netherlands.svg/22px-Flag_of_the_Netherlands.svg.png">
          <a:extLst>
            <a:ext uri="{FF2B5EF4-FFF2-40B4-BE49-F238E27FC236}">
              <a16:creationId xmlns:a16="http://schemas.microsoft.com/office/drawing/2014/main" id="{1B61C834-0D41-4BD2-B164-AD9AF73D27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5" y="581025"/>
          <a:ext cx="180000" cy="1227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38100</xdr:colOff>
      <xdr:row>5</xdr:row>
      <xdr:rowOff>38100</xdr:rowOff>
    </xdr:from>
    <xdr:to>
      <xdr:col>2</xdr:col>
      <xdr:colOff>218100</xdr:colOff>
      <xdr:row>5</xdr:row>
      <xdr:rowOff>160827</xdr:rowOff>
    </xdr:to>
    <xdr:pic>
      <xdr:nvPicPr>
        <xdr:cNvPr id="157" name="Imagem 156" descr="https://upload.wikimedia.org/wikipedia/commons/thumb/2/20/Flag_of_the_Netherlands.svg/22px-Flag_of_the_Netherlands.svg.png">
          <a:extLst>
            <a:ext uri="{FF2B5EF4-FFF2-40B4-BE49-F238E27FC236}">
              <a16:creationId xmlns:a16="http://schemas.microsoft.com/office/drawing/2014/main" id="{505F5BD9-1579-40A3-A87F-A67899D980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5" y="771525"/>
          <a:ext cx="180000" cy="1227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38100</xdr:colOff>
      <xdr:row>6</xdr:row>
      <xdr:rowOff>38100</xdr:rowOff>
    </xdr:from>
    <xdr:to>
      <xdr:col>2</xdr:col>
      <xdr:colOff>218100</xdr:colOff>
      <xdr:row>6</xdr:row>
      <xdr:rowOff>160827</xdr:rowOff>
    </xdr:to>
    <xdr:pic>
      <xdr:nvPicPr>
        <xdr:cNvPr id="158" name="Imagem 157" descr="https://upload.wikimedia.org/wikipedia/commons/thumb/2/20/Flag_of_the_Netherlands.svg/22px-Flag_of_the_Netherlands.svg.png">
          <a:extLst>
            <a:ext uri="{FF2B5EF4-FFF2-40B4-BE49-F238E27FC236}">
              <a16:creationId xmlns:a16="http://schemas.microsoft.com/office/drawing/2014/main" id="{7DABC488-CCDE-4A1C-A060-4AF7DC1FAC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5" y="962025"/>
          <a:ext cx="180000" cy="1227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38100</xdr:colOff>
      <xdr:row>7</xdr:row>
      <xdr:rowOff>38100</xdr:rowOff>
    </xdr:from>
    <xdr:to>
      <xdr:col>2</xdr:col>
      <xdr:colOff>218100</xdr:colOff>
      <xdr:row>7</xdr:row>
      <xdr:rowOff>160827</xdr:rowOff>
    </xdr:to>
    <xdr:pic>
      <xdr:nvPicPr>
        <xdr:cNvPr id="159" name="Imagem 158" descr="https://upload.wikimedia.org/wikipedia/commons/thumb/2/20/Flag_of_the_Netherlands.svg/22px-Flag_of_the_Netherlands.svg.png">
          <a:extLst>
            <a:ext uri="{FF2B5EF4-FFF2-40B4-BE49-F238E27FC236}">
              <a16:creationId xmlns:a16="http://schemas.microsoft.com/office/drawing/2014/main" id="{7245BBF7-C7CA-4794-AF41-61A042EA1E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5" y="1152525"/>
          <a:ext cx="180000" cy="1227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4</xdr:col>
      <xdr:colOff>19050</xdr:colOff>
      <xdr:row>3</xdr:row>
      <xdr:rowOff>19050</xdr:rowOff>
    </xdr:from>
    <xdr:ext cx="219075" cy="161925"/>
    <xdr:pic>
      <xdr:nvPicPr>
        <xdr:cNvPr id="160" name="Picture 50" descr="http://en.f1-live.com/f1/img/drapeau/drap_eng.gif">
          <a:extLst>
            <a:ext uri="{FF2B5EF4-FFF2-40B4-BE49-F238E27FC236}">
              <a16:creationId xmlns:a16="http://schemas.microsoft.com/office/drawing/2014/main" id="{2072D671-CDCD-4450-8D79-C422DDD6AE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543300" y="371475"/>
          <a:ext cx="219075" cy="1619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19050</xdr:colOff>
      <xdr:row>3</xdr:row>
      <xdr:rowOff>19050</xdr:rowOff>
    </xdr:from>
    <xdr:ext cx="219075" cy="161925"/>
    <xdr:pic>
      <xdr:nvPicPr>
        <xdr:cNvPr id="161" name="Picture 1" descr="http://en.f1-live.com/f1/img/drapeau/drap_eng.gif">
          <a:extLst>
            <a:ext uri="{FF2B5EF4-FFF2-40B4-BE49-F238E27FC236}">
              <a16:creationId xmlns:a16="http://schemas.microsoft.com/office/drawing/2014/main" id="{C8B7A69D-2881-43B2-B341-617A9ECBCF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76325" y="371475"/>
          <a:ext cx="219075" cy="161925"/>
        </a:xfrm>
        <a:prstGeom prst="rect">
          <a:avLst/>
        </a:prstGeom>
        <a:noFill/>
      </xdr:spPr>
    </xdr:pic>
    <xdr:clientData/>
  </xdr:oneCellAnchor>
  <xdr:oneCellAnchor>
    <xdr:from>
      <xdr:col>4</xdr:col>
      <xdr:colOff>19050</xdr:colOff>
      <xdr:row>7</xdr:row>
      <xdr:rowOff>9525</xdr:rowOff>
    </xdr:from>
    <xdr:ext cx="219075" cy="161925"/>
    <xdr:pic>
      <xdr:nvPicPr>
        <xdr:cNvPr id="162" name="Picture 9" descr="http://en.f1-live.com/f1/img/drapeau/drap_all.gif">
          <a:extLst>
            <a:ext uri="{FF2B5EF4-FFF2-40B4-BE49-F238E27FC236}">
              <a16:creationId xmlns:a16="http://schemas.microsoft.com/office/drawing/2014/main" id="{A9A4D146-E42B-43EA-8A4C-DBB24E5628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3543300" y="1504950"/>
          <a:ext cx="219075" cy="161925"/>
        </a:xfrm>
        <a:prstGeom prst="rect">
          <a:avLst/>
        </a:prstGeom>
        <a:noFill/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</xdr:colOff>
      <xdr:row>7</xdr:row>
      <xdr:rowOff>28575</xdr:rowOff>
    </xdr:from>
    <xdr:to>
      <xdr:col>2</xdr:col>
      <xdr:colOff>218100</xdr:colOff>
      <xdr:row>7</xdr:row>
      <xdr:rowOff>151302</xdr:rowOff>
    </xdr:to>
    <xdr:pic>
      <xdr:nvPicPr>
        <xdr:cNvPr id="52" name="Imagem 51" descr="https://upload.wikimedia.org/wikipedia/commons/thumb/2/20/Flag_of_the_Netherlands.svg/22px-Flag_of_the_Netherlands.svg.png">
          <a:extLst>
            <a:ext uri="{FF2B5EF4-FFF2-40B4-BE49-F238E27FC236}">
              <a16:creationId xmlns:a16="http://schemas.microsoft.com/office/drawing/2014/main" id="{6C74E45C-5AC9-49A4-A719-A010CA57F2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619250"/>
          <a:ext cx="180000" cy="1227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38100</xdr:colOff>
      <xdr:row>35</xdr:row>
      <xdr:rowOff>28576</xdr:rowOff>
    </xdr:from>
    <xdr:to>
      <xdr:col>2</xdr:col>
      <xdr:colOff>218100</xdr:colOff>
      <xdr:row>35</xdr:row>
      <xdr:rowOff>143121</xdr:rowOff>
    </xdr:to>
    <xdr:pic>
      <xdr:nvPicPr>
        <xdr:cNvPr id="56" name="Imagem 55" descr="Alemanha">
          <a:extLst>
            <a:ext uri="{FF2B5EF4-FFF2-40B4-BE49-F238E27FC236}">
              <a16:creationId xmlns:a16="http://schemas.microsoft.com/office/drawing/2014/main" id="{F105061B-1999-4AD3-A816-D7ED65FFE2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153151"/>
          <a:ext cx="180000" cy="1145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38100</xdr:colOff>
      <xdr:row>2</xdr:row>
      <xdr:rowOff>104775</xdr:rowOff>
    </xdr:from>
    <xdr:to>
      <xdr:col>2</xdr:col>
      <xdr:colOff>218100</xdr:colOff>
      <xdr:row>2</xdr:row>
      <xdr:rowOff>219320</xdr:rowOff>
    </xdr:to>
    <xdr:pic>
      <xdr:nvPicPr>
        <xdr:cNvPr id="57" name="Imagem 56" descr="Alemanha">
          <a:extLst>
            <a:ext uri="{FF2B5EF4-FFF2-40B4-BE49-F238E27FC236}">
              <a16:creationId xmlns:a16="http://schemas.microsoft.com/office/drawing/2014/main" id="{788A393A-45CF-499C-8CDD-CFA374964A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28625"/>
          <a:ext cx="180000" cy="1145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38100</xdr:colOff>
      <xdr:row>6</xdr:row>
      <xdr:rowOff>28575</xdr:rowOff>
    </xdr:from>
    <xdr:to>
      <xdr:col>2</xdr:col>
      <xdr:colOff>218100</xdr:colOff>
      <xdr:row>6</xdr:row>
      <xdr:rowOff>143120</xdr:rowOff>
    </xdr:to>
    <xdr:pic>
      <xdr:nvPicPr>
        <xdr:cNvPr id="58" name="Imagem 57" descr="Alemanha">
          <a:extLst>
            <a:ext uri="{FF2B5EF4-FFF2-40B4-BE49-F238E27FC236}">
              <a16:creationId xmlns:a16="http://schemas.microsoft.com/office/drawing/2014/main" id="{6B7A1219-57E0-4930-809F-92191A494E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457325"/>
          <a:ext cx="180000" cy="1145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38100</xdr:colOff>
      <xdr:row>34</xdr:row>
      <xdr:rowOff>28576</xdr:rowOff>
    </xdr:from>
    <xdr:to>
      <xdr:col>2</xdr:col>
      <xdr:colOff>218100</xdr:colOff>
      <xdr:row>34</xdr:row>
      <xdr:rowOff>143121</xdr:rowOff>
    </xdr:to>
    <xdr:pic>
      <xdr:nvPicPr>
        <xdr:cNvPr id="59" name="Imagem 58" descr="Reino Unido">
          <a:extLst>
            <a:ext uri="{FF2B5EF4-FFF2-40B4-BE49-F238E27FC236}">
              <a16:creationId xmlns:a16="http://schemas.microsoft.com/office/drawing/2014/main" id="{78EAD57B-C642-498E-9A3E-1D5FF63048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991226"/>
          <a:ext cx="180000" cy="1145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38100</xdr:colOff>
      <xdr:row>3</xdr:row>
      <xdr:rowOff>123825</xdr:rowOff>
    </xdr:from>
    <xdr:to>
      <xdr:col>2</xdr:col>
      <xdr:colOff>218100</xdr:colOff>
      <xdr:row>3</xdr:row>
      <xdr:rowOff>238370</xdr:rowOff>
    </xdr:to>
    <xdr:pic>
      <xdr:nvPicPr>
        <xdr:cNvPr id="60" name="Imagem 59" descr="Reino Unido">
          <a:extLst>
            <a:ext uri="{FF2B5EF4-FFF2-40B4-BE49-F238E27FC236}">
              <a16:creationId xmlns:a16="http://schemas.microsoft.com/office/drawing/2014/main" id="{E96A19A6-8E36-4725-BF45-AE8575377C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62000"/>
          <a:ext cx="180000" cy="1145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38100</xdr:colOff>
      <xdr:row>9</xdr:row>
      <xdr:rowOff>28575</xdr:rowOff>
    </xdr:from>
    <xdr:to>
      <xdr:col>2</xdr:col>
      <xdr:colOff>218100</xdr:colOff>
      <xdr:row>9</xdr:row>
      <xdr:rowOff>143120</xdr:rowOff>
    </xdr:to>
    <xdr:pic>
      <xdr:nvPicPr>
        <xdr:cNvPr id="61" name="Imagem 60" descr="Reino Unido">
          <a:extLst>
            <a:ext uri="{FF2B5EF4-FFF2-40B4-BE49-F238E27FC236}">
              <a16:creationId xmlns:a16="http://schemas.microsoft.com/office/drawing/2014/main" id="{FF645A5F-77C1-4238-8035-51737B0BF4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943100"/>
          <a:ext cx="180000" cy="1145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38100</xdr:colOff>
      <xdr:row>14</xdr:row>
      <xdr:rowOff>28575</xdr:rowOff>
    </xdr:from>
    <xdr:to>
      <xdr:col>2</xdr:col>
      <xdr:colOff>218100</xdr:colOff>
      <xdr:row>14</xdr:row>
      <xdr:rowOff>143120</xdr:rowOff>
    </xdr:to>
    <xdr:pic>
      <xdr:nvPicPr>
        <xdr:cNvPr id="63" name="Imagem 62" descr="Reino Unido">
          <a:extLst>
            <a:ext uri="{FF2B5EF4-FFF2-40B4-BE49-F238E27FC236}">
              <a16:creationId xmlns:a16="http://schemas.microsoft.com/office/drawing/2014/main" id="{1E712837-794D-4F9D-ADA2-25F01DBF3C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752725"/>
          <a:ext cx="180000" cy="1145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38100</xdr:colOff>
      <xdr:row>15</xdr:row>
      <xdr:rowOff>28575</xdr:rowOff>
    </xdr:from>
    <xdr:to>
      <xdr:col>2</xdr:col>
      <xdr:colOff>218100</xdr:colOff>
      <xdr:row>15</xdr:row>
      <xdr:rowOff>143120</xdr:rowOff>
    </xdr:to>
    <xdr:pic>
      <xdr:nvPicPr>
        <xdr:cNvPr id="72" name="Imagem 71" descr="Reino Unido">
          <a:extLst>
            <a:ext uri="{FF2B5EF4-FFF2-40B4-BE49-F238E27FC236}">
              <a16:creationId xmlns:a16="http://schemas.microsoft.com/office/drawing/2014/main" id="{99DE7494-B74A-417D-9024-89F0642029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914650"/>
          <a:ext cx="180000" cy="1145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38100</xdr:colOff>
      <xdr:row>20</xdr:row>
      <xdr:rowOff>28575</xdr:rowOff>
    </xdr:from>
    <xdr:to>
      <xdr:col>2</xdr:col>
      <xdr:colOff>218100</xdr:colOff>
      <xdr:row>20</xdr:row>
      <xdr:rowOff>143120</xdr:rowOff>
    </xdr:to>
    <xdr:pic>
      <xdr:nvPicPr>
        <xdr:cNvPr id="76" name="Imagem 75" descr="Reino Unido">
          <a:extLst>
            <a:ext uri="{FF2B5EF4-FFF2-40B4-BE49-F238E27FC236}">
              <a16:creationId xmlns:a16="http://schemas.microsoft.com/office/drawing/2014/main" id="{D8F6624B-9C3B-41C0-97E3-05A065BC76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724275"/>
          <a:ext cx="180000" cy="1145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38100</xdr:colOff>
      <xdr:row>22</xdr:row>
      <xdr:rowOff>28575</xdr:rowOff>
    </xdr:from>
    <xdr:to>
      <xdr:col>2</xdr:col>
      <xdr:colOff>218100</xdr:colOff>
      <xdr:row>22</xdr:row>
      <xdr:rowOff>143120</xdr:rowOff>
    </xdr:to>
    <xdr:pic>
      <xdr:nvPicPr>
        <xdr:cNvPr id="77" name="Imagem 76" descr="Reino Unido">
          <a:extLst>
            <a:ext uri="{FF2B5EF4-FFF2-40B4-BE49-F238E27FC236}">
              <a16:creationId xmlns:a16="http://schemas.microsoft.com/office/drawing/2014/main" id="{2709A73B-FF29-48D1-9396-CD42591469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048125"/>
          <a:ext cx="180000" cy="1145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38100</xdr:colOff>
      <xdr:row>25</xdr:row>
      <xdr:rowOff>28575</xdr:rowOff>
    </xdr:from>
    <xdr:to>
      <xdr:col>2</xdr:col>
      <xdr:colOff>218100</xdr:colOff>
      <xdr:row>25</xdr:row>
      <xdr:rowOff>143120</xdr:rowOff>
    </xdr:to>
    <xdr:pic>
      <xdr:nvPicPr>
        <xdr:cNvPr id="78" name="Imagem 77" descr="Reino Unido">
          <a:extLst>
            <a:ext uri="{FF2B5EF4-FFF2-40B4-BE49-F238E27FC236}">
              <a16:creationId xmlns:a16="http://schemas.microsoft.com/office/drawing/2014/main" id="{FCC299A5-E199-4138-805A-20CB7691DF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533900"/>
          <a:ext cx="180000" cy="1145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38100</xdr:colOff>
      <xdr:row>30</xdr:row>
      <xdr:rowOff>28575</xdr:rowOff>
    </xdr:from>
    <xdr:to>
      <xdr:col>2</xdr:col>
      <xdr:colOff>218100</xdr:colOff>
      <xdr:row>30</xdr:row>
      <xdr:rowOff>143120</xdr:rowOff>
    </xdr:to>
    <xdr:pic>
      <xdr:nvPicPr>
        <xdr:cNvPr id="79" name="Imagem 78" descr="Reino Unido">
          <a:extLst>
            <a:ext uri="{FF2B5EF4-FFF2-40B4-BE49-F238E27FC236}">
              <a16:creationId xmlns:a16="http://schemas.microsoft.com/office/drawing/2014/main" id="{82D4B08D-DBB6-421D-8937-8EC285BFD6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343525"/>
          <a:ext cx="180000" cy="1145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38100</xdr:colOff>
      <xdr:row>31</xdr:row>
      <xdr:rowOff>28575</xdr:rowOff>
    </xdr:from>
    <xdr:to>
      <xdr:col>2</xdr:col>
      <xdr:colOff>218100</xdr:colOff>
      <xdr:row>31</xdr:row>
      <xdr:rowOff>143120</xdr:rowOff>
    </xdr:to>
    <xdr:pic>
      <xdr:nvPicPr>
        <xdr:cNvPr id="80" name="Imagem 79" descr="Reino Unido">
          <a:extLst>
            <a:ext uri="{FF2B5EF4-FFF2-40B4-BE49-F238E27FC236}">
              <a16:creationId xmlns:a16="http://schemas.microsoft.com/office/drawing/2014/main" id="{29B15947-01E7-460A-85FB-5AEA04F457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505450"/>
          <a:ext cx="180000" cy="1145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38100</xdr:colOff>
      <xdr:row>29</xdr:row>
      <xdr:rowOff>28576</xdr:rowOff>
    </xdr:from>
    <xdr:to>
      <xdr:col>2</xdr:col>
      <xdr:colOff>218100</xdr:colOff>
      <xdr:row>29</xdr:row>
      <xdr:rowOff>143121</xdr:rowOff>
    </xdr:to>
    <xdr:pic>
      <xdr:nvPicPr>
        <xdr:cNvPr id="81" name="Imagem 80" descr="Finlândia">
          <a:extLst>
            <a:ext uri="{FF2B5EF4-FFF2-40B4-BE49-F238E27FC236}">
              <a16:creationId xmlns:a16="http://schemas.microsoft.com/office/drawing/2014/main" id="{1C09E4B2-171E-4380-9DD7-AE368FA9A4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181601"/>
          <a:ext cx="180000" cy="1145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38100</xdr:colOff>
      <xdr:row>33</xdr:row>
      <xdr:rowOff>38100</xdr:rowOff>
    </xdr:from>
    <xdr:to>
      <xdr:col>2</xdr:col>
      <xdr:colOff>218100</xdr:colOff>
      <xdr:row>33</xdr:row>
      <xdr:rowOff>152645</xdr:rowOff>
    </xdr:to>
    <xdr:pic>
      <xdr:nvPicPr>
        <xdr:cNvPr id="83" name="Imagem 82" descr="Finlândia">
          <a:extLst>
            <a:ext uri="{FF2B5EF4-FFF2-40B4-BE49-F238E27FC236}">
              <a16:creationId xmlns:a16="http://schemas.microsoft.com/office/drawing/2014/main" id="{626BD3A7-9105-4477-B554-E13C312783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838825"/>
          <a:ext cx="180000" cy="1145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38100</xdr:colOff>
      <xdr:row>32</xdr:row>
      <xdr:rowOff>47625</xdr:rowOff>
    </xdr:from>
    <xdr:to>
      <xdr:col>2</xdr:col>
      <xdr:colOff>218100</xdr:colOff>
      <xdr:row>32</xdr:row>
      <xdr:rowOff>137625</xdr:rowOff>
    </xdr:to>
    <xdr:pic>
      <xdr:nvPicPr>
        <xdr:cNvPr id="84" name="Imagem 83" descr="Canadá">
          <a:extLst>
            <a:ext uri="{FF2B5EF4-FFF2-40B4-BE49-F238E27FC236}">
              <a16:creationId xmlns:a16="http://schemas.microsoft.com/office/drawing/2014/main" id="{77F24C19-C1AE-48AC-860A-CC5E45676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686425"/>
          <a:ext cx="180000" cy="9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38100</xdr:colOff>
      <xdr:row>8</xdr:row>
      <xdr:rowOff>38100</xdr:rowOff>
    </xdr:from>
    <xdr:to>
      <xdr:col>2</xdr:col>
      <xdr:colOff>218100</xdr:colOff>
      <xdr:row>8</xdr:row>
      <xdr:rowOff>128100</xdr:rowOff>
    </xdr:to>
    <xdr:pic>
      <xdr:nvPicPr>
        <xdr:cNvPr id="86" name="Imagem 85" descr="Austrália">
          <a:extLst>
            <a:ext uri="{FF2B5EF4-FFF2-40B4-BE49-F238E27FC236}">
              <a16:creationId xmlns:a16="http://schemas.microsoft.com/office/drawing/2014/main" id="{159AC730-1843-4733-8C56-5CFD2A938B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790700"/>
          <a:ext cx="180000" cy="9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38100</xdr:colOff>
      <xdr:row>23</xdr:row>
      <xdr:rowOff>38100</xdr:rowOff>
    </xdr:from>
    <xdr:to>
      <xdr:col>2</xdr:col>
      <xdr:colOff>218100</xdr:colOff>
      <xdr:row>23</xdr:row>
      <xdr:rowOff>128100</xdr:rowOff>
    </xdr:to>
    <xdr:pic>
      <xdr:nvPicPr>
        <xdr:cNvPr id="87" name="Imagem 86" descr="Austrália">
          <a:extLst>
            <a:ext uri="{FF2B5EF4-FFF2-40B4-BE49-F238E27FC236}">
              <a16:creationId xmlns:a16="http://schemas.microsoft.com/office/drawing/2014/main" id="{5B914301-46CF-4B0C-B3F3-D7BD0AC2A4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219575"/>
          <a:ext cx="180000" cy="9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38100</xdr:colOff>
      <xdr:row>28</xdr:row>
      <xdr:rowOff>38100</xdr:rowOff>
    </xdr:from>
    <xdr:to>
      <xdr:col>2</xdr:col>
      <xdr:colOff>218100</xdr:colOff>
      <xdr:row>28</xdr:row>
      <xdr:rowOff>128100</xdr:rowOff>
    </xdr:to>
    <xdr:pic>
      <xdr:nvPicPr>
        <xdr:cNvPr id="88" name="Imagem 87" descr="Austrália">
          <a:extLst>
            <a:ext uri="{FF2B5EF4-FFF2-40B4-BE49-F238E27FC236}">
              <a16:creationId xmlns:a16="http://schemas.microsoft.com/office/drawing/2014/main" id="{BB0918F3-0431-4F50-8C07-F6079420CE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029200"/>
          <a:ext cx="180000" cy="9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38100</xdr:colOff>
      <xdr:row>17</xdr:row>
      <xdr:rowOff>28575</xdr:rowOff>
    </xdr:from>
    <xdr:to>
      <xdr:col>2</xdr:col>
      <xdr:colOff>218100</xdr:colOff>
      <xdr:row>17</xdr:row>
      <xdr:rowOff>143120</xdr:rowOff>
    </xdr:to>
    <xdr:pic>
      <xdr:nvPicPr>
        <xdr:cNvPr id="89" name="Imagem 88" descr="Finlândia">
          <a:extLst>
            <a:ext uri="{FF2B5EF4-FFF2-40B4-BE49-F238E27FC236}">
              <a16:creationId xmlns:a16="http://schemas.microsoft.com/office/drawing/2014/main" id="{FBD86D47-A538-448C-823B-D39100CB1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238500"/>
          <a:ext cx="180000" cy="1145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38100</xdr:colOff>
      <xdr:row>27</xdr:row>
      <xdr:rowOff>28575</xdr:rowOff>
    </xdr:from>
    <xdr:to>
      <xdr:col>2</xdr:col>
      <xdr:colOff>218100</xdr:colOff>
      <xdr:row>27</xdr:row>
      <xdr:rowOff>151302</xdr:rowOff>
    </xdr:to>
    <xdr:pic>
      <xdr:nvPicPr>
        <xdr:cNvPr id="90" name="Imagem 89" descr="África do Sul">
          <a:extLst>
            <a:ext uri="{FF2B5EF4-FFF2-40B4-BE49-F238E27FC236}">
              <a16:creationId xmlns:a16="http://schemas.microsoft.com/office/drawing/2014/main" id="{8E33A5CA-E00D-4CED-A80F-7BC3FA0E0D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857750"/>
          <a:ext cx="180000" cy="1227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38100</xdr:colOff>
      <xdr:row>21</xdr:row>
      <xdr:rowOff>38100</xdr:rowOff>
    </xdr:from>
    <xdr:to>
      <xdr:col>2</xdr:col>
      <xdr:colOff>218100</xdr:colOff>
      <xdr:row>21</xdr:row>
      <xdr:rowOff>136282</xdr:rowOff>
    </xdr:to>
    <xdr:pic>
      <xdr:nvPicPr>
        <xdr:cNvPr id="92" name="Imagem 91" descr="Estados Unidos">
          <a:extLst>
            <a:ext uri="{FF2B5EF4-FFF2-40B4-BE49-F238E27FC236}">
              <a16:creationId xmlns:a16="http://schemas.microsoft.com/office/drawing/2014/main" id="{14F8D5F1-8B83-4CC9-93E6-9213C20039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895725"/>
          <a:ext cx="180000" cy="981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38100</xdr:colOff>
      <xdr:row>26</xdr:row>
      <xdr:rowOff>38100</xdr:rowOff>
    </xdr:from>
    <xdr:to>
      <xdr:col>2</xdr:col>
      <xdr:colOff>218100</xdr:colOff>
      <xdr:row>26</xdr:row>
      <xdr:rowOff>136282</xdr:rowOff>
    </xdr:to>
    <xdr:pic>
      <xdr:nvPicPr>
        <xdr:cNvPr id="94" name="Imagem 93" descr="Estados Unidos">
          <a:extLst>
            <a:ext uri="{FF2B5EF4-FFF2-40B4-BE49-F238E27FC236}">
              <a16:creationId xmlns:a16="http://schemas.microsoft.com/office/drawing/2014/main" id="{507B5E4B-7C0C-4BFF-A462-F1A86AF12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705350"/>
          <a:ext cx="180000" cy="981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38100</xdr:colOff>
      <xdr:row>24</xdr:row>
      <xdr:rowOff>28575</xdr:rowOff>
    </xdr:from>
    <xdr:to>
      <xdr:col>2</xdr:col>
      <xdr:colOff>218100</xdr:colOff>
      <xdr:row>24</xdr:row>
      <xdr:rowOff>151302</xdr:rowOff>
    </xdr:to>
    <xdr:pic>
      <xdr:nvPicPr>
        <xdr:cNvPr id="96" name="Imagem 95" descr="Áustria">
          <a:extLst>
            <a:ext uri="{FF2B5EF4-FFF2-40B4-BE49-F238E27FC236}">
              <a16:creationId xmlns:a16="http://schemas.microsoft.com/office/drawing/2014/main" id="{73492751-8092-4B91-BF95-6570D1F576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371975"/>
          <a:ext cx="180000" cy="1227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38100</xdr:colOff>
      <xdr:row>10</xdr:row>
      <xdr:rowOff>28575</xdr:rowOff>
    </xdr:from>
    <xdr:to>
      <xdr:col>2</xdr:col>
      <xdr:colOff>218100</xdr:colOff>
      <xdr:row>10</xdr:row>
      <xdr:rowOff>151302</xdr:rowOff>
    </xdr:to>
    <xdr:pic>
      <xdr:nvPicPr>
        <xdr:cNvPr id="97" name="Imagem 96" descr="Áustria">
          <a:extLst>
            <a:ext uri="{FF2B5EF4-FFF2-40B4-BE49-F238E27FC236}">
              <a16:creationId xmlns:a16="http://schemas.microsoft.com/office/drawing/2014/main" id="{CFEFE559-5B41-4D3E-87CB-C2E56958ED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105025"/>
          <a:ext cx="180000" cy="1227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38100</xdr:colOff>
      <xdr:row>19</xdr:row>
      <xdr:rowOff>28575</xdr:rowOff>
    </xdr:from>
    <xdr:to>
      <xdr:col>2</xdr:col>
      <xdr:colOff>218100</xdr:colOff>
      <xdr:row>19</xdr:row>
      <xdr:rowOff>151302</xdr:rowOff>
    </xdr:to>
    <xdr:pic>
      <xdr:nvPicPr>
        <xdr:cNvPr id="98" name="Imagem 97" descr="Itália">
          <a:extLst>
            <a:ext uri="{FF2B5EF4-FFF2-40B4-BE49-F238E27FC236}">
              <a16:creationId xmlns:a16="http://schemas.microsoft.com/office/drawing/2014/main" id="{4DF5E385-5F41-4B7B-A713-DF2EE83397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562350"/>
          <a:ext cx="180000" cy="1227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38100</xdr:colOff>
      <xdr:row>13</xdr:row>
      <xdr:rowOff>28575</xdr:rowOff>
    </xdr:from>
    <xdr:to>
      <xdr:col>2</xdr:col>
      <xdr:colOff>218100</xdr:colOff>
      <xdr:row>13</xdr:row>
      <xdr:rowOff>151302</xdr:rowOff>
    </xdr:to>
    <xdr:pic>
      <xdr:nvPicPr>
        <xdr:cNvPr id="100" name="Imagem 99" descr="Itália">
          <a:extLst>
            <a:ext uri="{FF2B5EF4-FFF2-40B4-BE49-F238E27FC236}">
              <a16:creationId xmlns:a16="http://schemas.microsoft.com/office/drawing/2014/main" id="{544D89E1-3343-448E-ACA3-5DAAA455CE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590800"/>
          <a:ext cx="180000" cy="1227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38100</xdr:colOff>
      <xdr:row>18</xdr:row>
      <xdr:rowOff>28575</xdr:rowOff>
    </xdr:from>
    <xdr:to>
      <xdr:col>2</xdr:col>
      <xdr:colOff>218100</xdr:colOff>
      <xdr:row>18</xdr:row>
      <xdr:rowOff>151302</xdr:rowOff>
    </xdr:to>
    <xdr:pic>
      <xdr:nvPicPr>
        <xdr:cNvPr id="101" name="Imagem 100" descr="Espanha">
          <a:extLst>
            <a:ext uri="{FF2B5EF4-FFF2-40B4-BE49-F238E27FC236}">
              <a16:creationId xmlns:a16="http://schemas.microsoft.com/office/drawing/2014/main" id="{7B27144A-F0FA-4CA1-BE76-4C8B678DBE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400425"/>
          <a:ext cx="180000" cy="1227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38100</xdr:colOff>
      <xdr:row>12</xdr:row>
      <xdr:rowOff>28576</xdr:rowOff>
    </xdr:from>
    <xdr:to>
      <xdr:col>2</xdr:col>
      <xdr:colOff>218100</xdr:colOff>
      <xdr:row>12</xdr:row>
      <xdr:rowOff>159485</xdr:rowOff>
    </xdr:to>
    <xdr:pic>
      <xdr:nvPicPr>
        <xdr:cNvPr id="102" name="Imagem 101" descr="Brasil">
          <a:extLst>
            <a:ext uri="{FF2B5EF4-FFF2-40B4-BE49-F238E27FC236}">
              <a16:creationId xmlns:a16="http://schemas.microsoft.com/office/drawing/2014/main" id="{700EFFE9-7769-4B0D-AC9D-4FDE9B1CDA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428876"/>
          <a:ext cx="180000" cy="1309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38100</xdr:colOff>
      <xdr:row>16</xdr:row>
      <xdr:rowOff>28575</xdr:rowOff>
    </xdr:from>
    <xdr:to>
      <xdr:col>2</xdr:col>
      <xdr:colOff>218100</xdr:colOff>
      <xdr:row>16</xdr:row>
      <xdr:rowOff>159484</xdr:rowOff>
    </xdr:to>
    <xdr:pic>
      <xdr:nvPicPr>
        <xdr:cNvPr id="103" name="Imagem 102" descr="Brasil">
          <a:extLst>
            <a:ext uri="{FF2B5EF4-FFF2-40B4-BE49-F238E27FC236}">
              <a16:creationId xmlns:a16="http://schemas.microsoft.com/office/drawing/2014/main" id="{B26CE641-8FC8-4A58-BD42-36930E18E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076575"/>
          <a:ext cx="180000" cy="1309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38100</xdr:colOff>
      <xdr:row>11</xdr:row>
      <xdr:rowOff>28575</xdr:rowOff>
    </xdr:from>
    <xdr:to>
      <xdr:col>2</xdr:col>
      <xdr:colOff>218100</xdr:colOff>
      <xdr:row>11</xdr:row>
      <xdr:rowOff>159484</xdr:rowOff>
    </xdr:to>
    <xdr:pic>
      <xdr:nvPicPr>
        <xdr:cNvPr id="104" name="Imagem 103" descr="Brasil">
          <a:extLst>
            <a:ext uri="{FF2B5EF4-FFF2-40B4-BE49-F238E27FC236}">
              <a16:creationId xmlns:a16="http://schemas.microsoft.com/office/drawing/2014/main" id="{2EBD698C-BDBD-4D55-992D-67DFBAC5F0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266950"/>
          <a:ext cx="180000" cy="1309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38100</xdr:colOff>
      <xdr:row>4</xdr:row>
      <xdr:rowOff>28576</xdr:rowOff>
    </xdr:from>
    <xdr:to>
      <xdr:col>2</xdr:col>
      <xdr:colOff>218100</xdr:colOff>
      <xdr:row>4</xdr:row>
      <xdr:rowOff>143121</xdr:rowOff>
    </xdr:to>
    <xdr:pic>
      <xdr:nvPicPr>
        <xdr:cNvPr id="105" name="Imagem 104" descr="Argentina">
          <a:extLst>
            <a:ext uri="{FF2B5EF4-FFF2-40B4-BE49-F238E27FC236}">
              <a16:creationId xmlns:a16="http://schemas.microsoft.com/office/drawing/2014/main" id="{6503D11C-C286-4C53-B718-112AC3F142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981076"/>
          <a:ext cx="180000" cy="1145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38100</xdr:colOff>
      <xdr:row>4</xdr:row>
      <xdr:rowOff>28575</xdr:rowOff>
    </xdr:from>
    <xdr:to>
      <xdr:col>7</xdr:col>
      <xdr:colOff>218100</xdr:colOff>
      <xdr:row>4</xdr:row>
      <xdr:rowOff>143120</xdr:rowOff>
    </xdr:to>
    <xdr:pic>
      <xdr:nvPicPr>
        <xdr:cNvPr id="106" name="Imagem 105" descr="Reino Unido">
          <a:extLst>
            <a:ext uri="{FF2B5EF4-FFF2-40B4-BE49-F238E27FC236}">
              <a16:creationId xmlns:a16="http://schemas.microsoft.com/office/drawing/2014/main" id="{D895F145-E5B3-4B1B-A714-5CE70FC118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62525" y="981075"/>
          <a:ext cx="180000" cy="1145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38100</xdr:colOff>
      <xdr:row>3</xdr:row>
      <xdr:rowOff>114300</xdr:rowOff>
    </xdr:from>
    <xdr:to>
      <xdr:col>7</xdr:col>
      <xdr:colOff>218100</xdr:colOff>
      <xdr:row>3</xdr:row>
      <xdr:rowOff>228845</xdr:rowOff>
    </xdr:to>
    <xdr:pic>
      <xdr:nvPicPr>
        <xdr:cNvPr id="107" name="Imagem 106" descr="Reino Unido">
          <a:extLst>
            <a:ext uri="{FF2B5EF4-FFF2-40B4-BE49-F238E27FC236}">
              <a16:creationId xmlns:a16="http://schemas.microsoft.com/office/drawing/2014/main" id="{94A620C7-0F1C-4AD8-9B70-2F67882692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10100" y="1066800"/>
          <a:ext cx="180000" cy="1145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38100</xdr:colOff>
      <xdr:row>8</xdr:row>
      <xdr:rowOff>38100</xdr:rowOff>
    </xdr:from>
    <xdr:to>
      <xdr:col>7</xdr:col>
      <xdr:colOff>218100</xdr:colOff>
      <xdr:row>8</xdr:row>
      <xdr:rowOff>152645</xdr:rowOff>
    </xdr:to>
    <xdr:pic>
      <xdr:nvPicPr>
        <xdr:cNvPr id="108" name="Imagem 107" descr="Reino Unido">
          <a:extLst>
            <a:ext uri="{FF2B5EF4-FFF2-40B4-BE49-F238E27FC236}">
              <a16:creationId xmlns:a16="http://schemas.microsoft.com/office/drawing/2014/main" id="{F6AAEEAB-1629-4BB8-BED4-9F79FDD476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10100" y="1790700"/>
          <a:ext cx="180000" cy="1145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38100</xdr:colOff>
      <xdr:row>16</xdr:row>
      <xdr:rowOff>28575</xdr:rowOff>
    </xdr:from>
    <xdr:to>
      <xdr:col>7</xdr:col>
      <xdr:colOff>218100</xdr:colOff>
      <xdr:row>16</xdr:row>
      <xdr:rowOff>143120</xdr:rowOff>
    </xdr:to>
    <xdr:pic>
      <xdr:nvPicPr>
        <xdr:cNvPr id="109" name="Imagem 108" descr="Reino Unido">
          <a:extLst>
            <a:ext uri="{FF2B5EF4-FFF2-40B4-BE49-F238E27FC236}">
              <a16:creationId xmlns:a16="http://schemas.microsoft.com/office/drawing/2014/main" id="{36E5189F-2D3F-402C-9B22-0239403675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10100" y="3076575"/>
          <a:ext cx="180000" cy="1145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38100</xdr:colOff>
      <xdr:row>9</xdr:row>
      <xdr:rowOff>38100</xdr:rowOff>
    </xdr:from>
    <xdr:to>
      <xdr:col>7</xdr:col>
      <xdr:colOff>218100</xdr:colOff>
      <xdr:row>9</xdr:row>
      <xdr:rowOff>152645</xdr:rowOff>
    </xdr:to>
    <xdr:pic>
      <xdr:nvPicPr>
        <xdr:cNvPr id="110" name="Imagem 109" descr="Reino Unido">
          <a:extLst>
            <a:ext uri="{FF2B5EF4-FFF2-40B4-BE49-F238E27FC236}">
              <a16:creationId xmlns:a16="http://schemas.microsoft.com/office/drawing/2014/main" id="{647BCBD9-5E82-444E-82C7-5B341CA9C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10100" y="1952625"/>
          <a:ext cx="180000" cy="1145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38100</xdr:colOff>
      <xdr:row>11</xdr:row>
      <xdr:rowOff>38100</xdr:rowOff>
    </xdr:from>
    <xdr:to>
      <xdr:col>7</xdr:col>
      <xdr:colOff>218100</xdr:colOff>
      <xdr:row>11</xdr:row>
      <xdr:rowOff>152645</xdr:rowOff>
    </xdr:to>
    <xdr:pic>
      <xdr:nvPicPr>
        <xdr:cNvPr id="111" name="Imagem 110" descr="Reino Unido">
          <a:extLst>
            <a:ext uri="{FF2B5EF4-FFF2-40B4-BE49-F238E27FC236}">
              <a16:creationId xmlns:a16="http://schemas.microsoft.com/office/drawing/2014/main" id="{55901473-1BAF-4A60-A757-24D3C659FE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10100" y="2276475"/>
          <a:ext cx="180000" cy="1145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38100</xdr:colOff>
      <xdr:row>12</xdr:row>
      <xdr:rowOff>38100</xdr:rowOff>
    </xdr:from>
    <xdr:to>
      <xdr:col>7</xdr:col>
      <xdr:colOff>218100</xdr:colOff>
      <xdr:row>12</xdr:row>
      <xdr:rowOff>152645</xdr:rowOff>
    </xdr:to>
    <xdr:pic>
      <xdr:nvPicPr>
        <xdr:cNvPr id="112" name="Imagem 111" descr="Reino Unido">
          <a:extLst>
            <a:ext uri="{FF2B5EF4-FFF2-40B4-BE49-F238E27FC236}">
              <a16:creationId xmlns:a16="http://schemas.microsoft.com/office/drawing/2014/main" id="{313784EA-F271-4C05-A02D-F8FC066E19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10100" y="2438400"/>
          <a:ext cx="180000" cy="1145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38100</xdr:colOff>
      <xdr:row>14</xdr:row>
      <xdr:rowOff>38100</xdr:rowOff>
    </xdr:from>
    <xdr:to>
      <xdr:col>7</xdr:col>
      <xdr:colOff>218100</xdr:colOff>
      <xdr:row>14</xdr:row>
      <xdr:rowOff>152645</xdr:rowOff>
    </xdr:to>
    <xdr:pic>
      <xdr:nvPicPr>
        <xdr:cNvPr id="113" name="Imagem 112" descr="Reino Unido">
          <a:extLst>
            <a:ext uri="{FF2B5EF4-FFF2-40B4-BE49-F238E27FC236}">
              <a16:creationId xmlns:a16="http://schemas.microsoft.com/office/drawing/2014/main" id="{2CAA595B-39A0-4921-8573-4F5446F933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10100" y="2762250"/>
          <a:ext cx="180000" cy="1145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38100</xdr:colOff>
      <xdr:row>15</xdr:row>
      <xdr:rowOff>38100</xdr:rowOff>
    </xdr:from>
    <xdr:to>
      <xdr:col>7</xdr:col>
      <xdr:colOff>218100</xdr:colOff>
      <xdr:row>15</xdr:row>
      <xdr:rowOff>152645</xdr:rowOff>
    </xdr:to>
    <xdr:pic>
      <xdr:nvPicPr>
        <xdr:cNvPr id="114" name="Imagem 113" descr="Reino Unido">
          <a:extLst>
            <a:ext uri="{FF2B5EF4-FFF2-40B4-BE49-F238E27FC236}">
              <a16:creationId xmlns:a16="http://schemas.microsoft.com/office/drawing/2014/main" id="{9FA4DAA6-E78A-4B00-B326-E3B8D8996E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10100" y="2924175"/>
          <a:ext cx="180000" cy="1145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38100</xdr:colOff>
      <xdr:row>5</xdr:row>
      <xdr:rowOff>28575</xdr:rowOff>
    </xdr:from>
    <xdr:to>
      <xdr:col>2</xdr:col>
      <xdr:colOff>218100</xdr:colOff>
      <xdr:row>5</xdr:row>
      <xdr:rowOff>151302</xdr:rowOff>
    </xdr:to>
    <xdr:pic>
      <xdr:nvPicPr>
        <xdr:cNvPr id="115" name="Imagem 114" descr="França">
          <a:extLst>
            <a:ext uri="{FF2B5EF4-FFF2-40B4-BE49-F238E27FC236}">
              <a16:creationId xmlns:a16="http://schemas.microsoft.com/office/drawing/2014/main" id="{5298CC83-9CC0-487C-8340-F06B0A7985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295400"/>
          <a:ext cx="180000" cy="1227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38100</xdr:colOff>
      <xdr:row>13</xdr:row>
      <xdr:rowOff>28575</xdr:rowOff>
    </xdr:from>
    <xdr:to>
      <xdr:col>7</xdr:col>
      <xdr:colOff>218100</xdr:colOff>
      <xdr:row>13</xdr:row>
      <xdr:rowOff>151302</xdr:rowOff>
    </xdr:to>
    <xdr:pic>
      <xdr:nvPicPr>
        <xdr:cNvPr id="116" name="Imagem 115" descr="França">
          <a:extLst>
            <a:ext uri="{FF2B5EF4-FFF2-40B4-BE49-F238E27FC236}">
              <a16:creationId xmlns:a16="http://schemas.microsoft.com/office/drawing/2014/main" id="{E12BCD7C-38E1-48DE-B90E-9400788EEF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10100" y="2590800"/>
          <a:ext cx="180000" cy="1227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38100</xdr:colOff>
      <xdr:row>6</xdr:row>
      <xdr:rowOff>28575</xdr:rowOff>
    </xdr:from>
    <xdr:to>
      <xdr:col>7</xdr:col>
      <xdr:colOff>218100</xdr:colOff>
      <xdr:row>6</xdr:row>
      <xdr:rowOff>143120</xdr:rowOff>
    </xdr:to>
    <xdr:pic>
      <xdr:nvPicPr>
        <xdr:cNvPr id="117" name="Imagem 116" descr="Reino Unido">
          <a:extLst>
            <a:ext uri="{FF2B5EF4-FFF2-40B4-BE49-F238E27FC236}">
              <a16:creationId xmlns:a16="http://schemas.microsoft.com/office/drawing/2014/main" id="{EF86EF24-C999-424F-BE0C-84F8D3BFD6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10100" y="1457325"/>
          <a:ext cx="180000" cy="1145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38100</xdr:colOff>
      <xdr:row>10</xdr:row>
      <xdr:rowOff>28575</xdr:rowOff>
    </xdr:from>
    <xdr:to>
      <xdr:col>7</xdr:col>
      <xdr:colOff>218100</xdr:colOff>
      <xdr:row>10</xdr:row>
      <xdr:rowOff>151302</xdr:rowOff>
    </xdr:to>
    <xdr:pic>
      <xdr:nvPicPr>
        <xdr:cNvPr id="118" name="Imagem 117" descr="França">
          <a:extLst>
            <a:ext uri="{FF2B5EF4-FFF2-40B4-BE49-F238E27FC236}">
              <a16:creationId xmlns:a16="http://schemas.microsoft.com/office/drawing/2014/main" id="{CB1D511C-C500-46AA-B7B5-35CAB6B982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10100" y="2105025"/>
          <a:ext cx="180000" cy="1227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38100</xdr:colOff>
      <xdr:row>7</xdr:row>
      <xdr:rowOff>28575</xdr:rowOff>
    </xdr:from>
    <xdr:to>
      <xdr:col>7</xdr:col>
      <xdr:colOff>218100</xdr:colOff>
      <xdr:row>7</xdr:row>
      <xdr:rowOff>151302</xdr:rowOff>
    </xdr:to>
    <xdr:pic>
      <xdr:nvPicPr>
        <xdr:cNvPr id="119" name="Imagem 118" descr="Áustria">
          <a:extLst>
            <a:ext uri="{FF2B5EF4-FFF2-40B4-BE49-F238E27FC236}">
              <a16:creationId xmlns:a16="http://schemas.microsoft.com/office/drawing/2014/main" id="{3D460B78-3B2D-42FC-BEB7-83DB6DA453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10100" y="1619250"/>
          <a:ext cx="180000" cy="1227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38100</xdr:colOff>
      <xdr:row>5</xdr:row>
      <xdr:rowOff>28575</xdr:rowOff>
    </xdr:from>
    <xdr:to>
      <xdr:col>7</xdr:col>
      <xdr:colOff>218100</xdr:colOff>
      <xdr:row>5</xdr:row>
      <xdr:rowOff>143120</xdr:rowOff>
    </xdr:to>
    <xdr:pic>
      <xdr:nvPicPr>
        <xdr:cNvPr id="120" name="Imagem 119" descr="Alemanha">
          <a:extLst>
            <a:ext uri="{FF2B5EF4-FFF2-40B4-BE49-F238E27FC236}">
              <a16:creationId xmlns:a16="http://schemas.microsoft.com/office/drawing/2014/main" id="{97C04063-2E3A-4CB3-9480-17529630B8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10100" y="1295400"/>
          <a:ext cx="180000" cy="1145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38100</xdr:colOff>
      <xdr:row>2</xdr:row>
      <xdr:rowOff>114300</xdr:rowOff>
    </xdr:from>
    <xdr:to>
      <xdr:col>7</xdr:col>
      <xdr:colOff>218100</xdr:colOff>
      <xdr:row>2</xdr:row>
      <xdr:rowOff>237027</xdr:rowOff>
    </xdr:to>
    <xdr:pic>
      <xdr:nvPicPr>
        <xdr:cNvPr id="121" name="Imagem 120" descr="Itália">
          <a:extLst>
            <a:ext uri="{FF2B5EF4-FFF2-40B4-BE49-F238E27FC236}">
              <a16:creationId xmlns:a16="http://schemas.microsoft.com/office/drawing/2014/main" id="{60FC3206-F2EA-4D44-BE7F-C3DE6A8591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10100" y="438150"/>
          <a:ext cx="180000" cy="1227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38100</xdr:colOff>
      <xdr:row>36</xdr:row>
      <xdr:rowOff>28576</xdr:rowOff>
    </xdr:from>
    <xdr:to>
      <xdr:col>2</xdr:col>
      <xdr:colOff>218100</xdr:colOff>
      <xdr:row>36</xdr:row>
      <xdr:rowOff>143121</xdr:rowOff>
    </xdr:to>
    <xdr:pic>
      <xdr:nvPicPr>
        <xdr:cNvPr id="54" name="Imagem 53" descr="Reino Unido">
          <a:extLst>
            <a:ext uri="{FF2B5EF4-FFF2-40B4-BE49-F238E27FC236}">
              <a16:creationId xmlns:a16="http://schemas.microsoft.com/office/drawing/2014/main" id="{117B4E8A-13F5-4A83-B79F-D9B7EC000E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162676"/>
          <a:ext cx="180000" cy="1145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Piloto" xr10:uid="{1C321FF4-B3CC-4C05-914B-37F984D08D83}" sourceName="Piloto">
  <extLst>
    <x:ext xmlns:x15="http://schemas.microsoft.com/office/spreadsheetml/2010/11/main" uri="{2F2917AC-EB37-4324-AD4E-5DD8C200BD13}">
      <x15:tableSlicerCache tableId="1" column="2" customListSort="0"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Equipe" xr10:uid="{E5BAA381-81A2-44AF-9B19-D94DD3B404E4}" sourceName="Equipe">
  <extLst>
    <x:ext xmlns:x15="http://schemas.microsoft.com/office/spreadsheetml/2010/11/main" uri="{2F2917AC-EB37-4324-AD4E-5DD8C200BD13}">
      <x15:tableSlicerCache tableId="2" column="2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ilotos" xr10:uid="{65792A8C-2394-4B41-BCB1-0AEAA09AE4EA}" cache="SegmentaçãodeDados_Piloto" caption="Pilotos" columnCount="2" style="SlicerStyleLight5" rowHeight="2520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Equipe" xr10:uid="{4FCB28F7-1ED9-470C-B89E-2686B0986EF5}" cache="SegmentaçãodeDados_Equipe" caption="Equipe" style="SlicerStyleLight5" rowHeight="2520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0868A72-46C4-4155-8159-EA182F5D8057}" name="Tabela1" displayName="Tabela1" ref="A1:Z26" totalsRowShown="0">
  <autoFilter ref="A1:Z26" xr:uid="{C0868A72-46C4-4155-8159-EA182F5D805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</autoFilter>
  <tableColumns count="26">
    <tableColumn id="1" xr3:uid="{38D0A372-1173-438A-999E-C479884CBC61}" name="Pos">
      <calculatedColumnFormula>'Temporada 2026'!B8</calculatedColumnFormula>
    </tableColumn>
    <tableColumn id="2" xr3:uid="{63F408D6-D6D8-42D1-AD59-0AB5F1AFF464}" name="Piloto">
      <calculatedColumnFormula>'Temporada 2026'!C8</calculatedColumnFormula>
    </tableColumn>
    <tableColumn id="3" xr3:uid="{75A066FB-7373-4002-AECC-19368883FCE7}" name="AUS">
      <calculatedColumnFormula>'Temporada 2026'!J8</calculatedColumnFormula>
    </tableColumn>
    <tableColumn id="4" xr3:uid="{087AC073-9BDF-4F4C-8B86-0182DE81300B}" name="CHI">
      <calculatedColumnFormula>C2+'Temporada 2026'!K8</calculatedColumnFormula>
    </tableColumn>
    <tableColumn id="5" xr3:uid="{6FF162B9-A2EA-4C91-9AA0-5A026430C6D3}" name="JAP">
      <calculatedColumnFormula>D2+'Temporada 2026'!L8</calculatedColumnFormula>
    </tableColumn>
    <tableColumn id="6" xr3:uid="{5A0128E3-C389-4CFE-B6BF-03A1E1677D94}" name="BAH">
      <calculatedColumnFormula>E2+'Temporada 2026'!M8</calculatedColumnFormula>
    </tableColumn>
    <tableColumn id="7" xr3:uid="{AB205D93-030A-482C-8D83-0F7DADA454D5}" name="SAU">
      <calculatedColumnFormula>F2+'Temporada 2026'!N8</calculatedColumnFormula>
    </tableColumn>
    <tableColumn id="8" xr3:uid="{5A104776-DB04-4CFD-9A65-2E9C58AA468A}" name="MIA">
      <calculatedColumnFormula>G2+'Temporada 2026'!O8</calculatedColumnFormula>
    </tableColumn>
    <tableColumn id="9" xr3:uid="{E8CE40A8-84C1-4A51-9B5F-89DC126DF3E1}" name="CAN">
      <calculatedColumnFormula>H2+'Temporada 2026'!P8</calculatedColumnFormula>
    </tableColumn>
    <tableColumn id="10" xr3:uid="{57FBB7B7-FC8B-410A-91FA-99A314EAACDF}" name="MON">
      <calculatedColumnFormula>I2+'Temporada 2026'!Q8</calculatedColumnFormula>
    </tableColumn>
    <tableColumn id="11" xr3:uid="{7126279F-2F0A-4A26-A85A-9AD7469B820F}" name="ESP">
      <calculatedColumnFormula>J2+'Temporada 2026'!R8</calculatedColumnFormula>
    </tableColumn>
    <tableColumn id="12" xr3:uid="{ADFEC467-6B91-432C-BF5C-A827702599AE}" name="AUT">
      <calculatedColumnFormula>K2+'Temporada 2026'!S8</calculatedColumnFormula>
    </tableColumn>
    <tableColumn id="13" xr3:uid="{86E93B11-7CEA-4A0F-9886-CD0909288EB5}" name="ING">
      <calculatedColumnFormula>L2+'Temporada 2026'!T8</calculatedColumnFormula>
    </tableColumn>
    <tableColumn id="14" xr3:uid="{E6031934-1362-4C76-BB05-05496730CE2B}" name="BEL">
      <calculatedColumnFormula>M2+'Temporada 2026'!U8</calculatedColumnFormula>
    </tableColumn>
    <tableColumn id="15" xr3:uid="{06622841-2FCD-43F3-ADB1-40A957BA3D05}" name="HUN">
      <calculatedColumnFormula>N2+'Temporada 2026'!V8</calculatedColumnFormula>
    </tableColumn>
    <tableColumn id="16" xr3:uid="{1C0F20CA-6418-43C1-BA61-3A65E32D79C3}" name="HOL">
      <calculatedColumnFormula>O2+'Temporada 2026'!W8</calculatedColumnFormula>
    </tableColumn>
    <tableColumn id="17" xr3:uid="{5F286A06-A37A-48A0-BEFB-BE8D9DB9B89E}" name="MAD">
      <calculatedColumnFormula>P2+'Temporada 2026'!X8</calculatedColumnFormula>
    </tableColumn>
    <tableColumn id="18" xr3:uid="{9A5017EC-0959-4AFB-A6A3-861709CBD236}" name="ITA">
      <calculatedColumnFormula>Q2+'Temporada 2026'!Y8</calculatedColumnFormula>
    </tableColumn>
    <tableColumn id="19" xr3:uid="{9766B5D4-885E-4671-9616-65C4C39D48C8}" name="AZE">
      <calculatedColumnFormula>R2+'Temporada 2026'!Z8</calculatedColumnFormula>
    </tableColumn>
    <tableColumn id="20" xr3:uid="{D23B955C-6462-497E-A56E-EB3DA35ED06B}" name="SIN">
      <calculatedColumnFormula>S2+'Temporada 2026'!AA8</calculatedColumnFormula>
    </tableColumn>
    <tableColumn id="21" xr3:uid="{96408349-1115-4F6C-B17A-0045C1D140C4}" name="USA">
      <calculatedColumnFormula>T2+'Temporada 2026'!AB8</calculatedColumnFormula>
    </tableColumn>
    <tableColumn id="22" xr3:uid="{3B3F1AB4-EA7A-4D35-B696-FCE9F5B76DF0}" name="MEX">
      <calculatedColumnFormula>U2+'Temporada 2026'!AC8</calculatedColumnFormula>
    </tableColumn>
    <tableColumn id="23" xr3:uid="{780BA5B0-DD7D-4F26-BA5A-104074FE3AC5}" name="SÃO">
      <calculatedColumnFormula>V2+'Temporada 2026'!AD8</calculatedColumnFormula>
    </tableColumn>
    <tableColumn id="24" xr3:uid="{1DEFC913-323A-4389-AB2F-AFA442EEF809}" name="VEG">
      <calculatedColumnFormula>W2+'Temporada 2026'!AE8</calculatedColumnFormula>
    </tableColumn>
    <tableColumn id="25" xr3:uid="{8C5E760E-EEE5-4715-AC0A-D489B41A40BE}" name="QAT">
      <calculatedColumnFormula>X2+'Temporada 2026'!AF8</calculatedColumnFormula>
    </tableColumn>
    <tableColumn id="26" xr3:uid="{AAE04CAF-6BBE-4EF1-A93C-317958B04836}" name="ABU">
      <calculatedColumnFormula>Y2+'Temporada 2026'!AG8</calculatedColumnFormula>
    </tableColumn>
  </tableColumns>
  <tableStyleInfo name="TableStyleMedium18"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3CD0A9F-6CB7-45BF-94EF-ED021861F630}" name="Tabela2" displayName="Tabela2" ref="A29:Z43" totalsRowShown="0" headerRowDxfId="32" headerRowBorderDxfId="31" tableBorderDxfId="30">
  <autoFilter ref="A29:Z43" xr:uid="{D3CD0A9F-6CB7-45BF-94EF-ED021861F630}"/>
  <tableColumns count="26">
    <tableColumn id="1" xr3:uid="{6691E2FF-26AE-44B1-A967-3119E729039B}" name="Pos">
      <calculatedColumnFormula>'Temporada 2026'!B39</calculatedColumnFormula>
    </tableColumn>
    <tableColumn id="2" xr3:uid="{657E6D51-64D3-4374-B430-EB8E68CA2EF2}" name="Equipe">
      <calculatedColumnFormula>'Temporada 2026'!C39</calculatedColumnFormula>
    </tableColumn>
    <tableColumn id="3" xr3:uid="{95D9B999-1133-4A8F-BFA8-037ED26A5978}" name="AUS" dataDxfId="29">
      <calculatedColumnFormula>'Temporada 2026'!J39</calculatedColumnFormula>
    </tableColumn>
    <tableColumn id="4" xr3:uid="{8970FB0E-ACA8-4811-A0D5-D5898C0A570A}" name="CHI" dataDxfId="28">
      <calculatedColumnFormula>Tabela2[[#This Row],[AUS]]+'Temporada 2026'!K39</calculatedColumnFormula>
    </tableColumn>
    <tableColumn id="5" xr3:uid="{50B2A34D-5CB8-4D78-B726-E1D59531308E}" name="JAP">
      <calculatedColumnFormula>Tabela2[[#This Row],[CHI]]+'Temporada 2026'!L39</calculatedColumnFormula>
    </tableColumn>
    <tableColumn id="6" xr3:uid="{F6772682-B5FB-4EA3-A7DC-13CE04FDDE9A}" name="BAH">
      <calculatedColumnFormula>Tabela2[[#This Row],[JAP]]+'Temporada 2026'!M39</calculatedColumnFormula>
    </tableColumn>
    <tableColumn id="7" xr3:uid="{73127945-C91F-4FE1-8C6D-392735672C2F}" name="SAU">
      <calculatedColumnFormula>Tabela2[[#This Row],[BAH]]+'Temporada 2026'!N39</calculatedColumnFormula>
    </tableColumn>
    <tableColumn id="8" xr3:uid="{8DB95D64-D3F5-4EAA-A04A-D63417C9FBCE}" name="MIA">
      <calculatedColumnFormula>Tabela2[[#This Row],[SAU]]+'Temporada 2026'!O39</calculatedColumnFormula>
    </tableColumn>
    <tableColumn id="9" xr3:uid="{8AF3D56E-D6E8-4995-A6D1-328F6BECFB07}" name="CAN">
      <calculatedColumnFormula>Tabela2[[#This Row],[MIA]]+'Temporada 2026'!P39</calculatedColumnFormula>
    </tableColumn>
    <tableColumn id="10" xr3:uid="{AE8A26BD-6A0C-4E55-B90C-991B4CD7AD88}" name="MON">
      <calculatedColumnFormula>Tabela2[[#This Row],[CAN]]+'Temporada 2026'!Q39</calculatedColumnFormula>
    </tableColumn>
    <tableColumn id="11" xr3:uid="{70A73C78-D43A-4E44-A7A5-CDAD2802262D}" name="ESP">
      <calculatedColumnFormula>Tabela2[[#This Row],[MON]]+'Temporada 2026'!R39</calculatedColumnFormula>
    </tableColumn>
    <tableColumn id="12" xr3:uid="{25116985-2EAB-4501-B9F9-AF170E023BA4}" name="AUT">
      <calculatedColumnFormula>Tabela2[[#This Row],[ESP]]+'Temporada 2026'!S39</calculatedColumnFormula>
    </tableColumn>
    <tableColumn id="13" xr3:uid="{5EF26F33-D9E6-48E9-A041-28973C321A10}" name="ING">
      <calculatedColumnFormula>Tabela2[[#This Row],[AUT]]+'Temporada 2026'!T39</calculatedColumnFormula>
    </tableColumn>
    <tableColumn id="14" xr3:uid="{04D80228-C1B6-4EC3-8E0C-8F51FD86065F}" name="BEL">
      <calculatedColumnFormula>Tabela2[[#This Row],[ING]]+'Temporada 2026'!U39</calculatedColumnFormula>
    </tableColumn>
    <tableColumn id="15" xr3:uid="{F8A35A09-4659-47B8-9D4D-2F8F75990239}" name="HUN">
      <calculatedColumnFormula>Tabela2[[#This Row],[BEL]]+'Temporada 2026'!V39</calculatedColumnFormula>
    </tableColumn>
    <tableColumn id="16" xr3:uid="{2BD2C2DE-8A8A-4A8D-9FAC-1022862A7B7C}" name="HOL">
      <calculatedColumnFormula>Tabela2[[#This Row],[HUN]]+'Temporada 2026'!W39</calculatedColumnFormula>
    </tableColumn>
    <tableColumn id="17" xr3:uid="{57CE9A40-68EF-4BAC-A6E9-DAC5073A71E4}" name="MAD">
      <calculatedColumnFormula>Tabela2[[#This Row],[HOL]]+'Temporada 2026'!X39</calculatedColumnFormula>
    </tableColumn>
    <tableColumn id="18" xr3:uid="{142B04A9-1C9F-4E4E-83C4-8346F2411094}" name="ITA">
      <calculatedColumnFormula>Tabela2[[#This Row],[MAD]]+'Temporada 2026'!Y39</calculatedColumnFormula>
    </tableColumn>
    <tableColumn id="19" xr3:uid="{8AB362C1-B443-4A32-9985-E5294A2A5F88}" name="AZE">
      <calculatedColumnFormula>Tabela2[[#This Row],[ITA]]+'Temporada 2026'!Z39</calculatedColumnFormula>
    </tableColumn>
    <tableColumn id="20" xr3:uid="{ADA13C9E-E9A9-41F5-B3CC-911CB126B31D}" name="SIN">
      <calculatedColumnFormula>Tabela2[[#This Row],[AZE]]+'Temporada 2026'!AA39</calculatedColumnFormula>
    </tableColumn>
    <tableColumn id="21" xr3:uid="{7B31DD94-8E37-49CB-9D49-8A379646C8AB}" name="USA">
      <calculatedColumnFormula>Tabela2[[#This Row],[SIN]]+'Temporada 2026'!AB39</calculatedColumnFormula>
    </tableColumn>
    <tableColumn id="22" xr3:uid="{9620376C-FE27-43FF-94C7-5AED2B70C7DE}" name="MEX">
      <calculatedColumnFormula>Tabela2[[#This Row],[USA]]+'Temporada 2026'!AC39</calculatedColumnFormula>
    </tableColumn>
    <tableColumn id="23" xr3:uid="{61961DBD-90C2-4C8E-BE71-38E38FC0FF70}" name="SÃO">
      <calculatedColumnFormula>Tabela2[[#This Row],[MEX]]+'Temporada 2026'!AD39</calculatedColumnFormula>
    </tableColumn>
    <tableColumn id="24" xr3:uid="{38C01605-0531-49B8-B80B-0FDDE505781F}" name="VEG">
      <calculatedColumnFormula>Tabela2[[#This Row],[SÃO]]+'Temporada 2026'!AE39</calculatedColumnFormula>
    </tableColumn>
    <tableColumn id="25" xr3:uid="{E1BBF730-AB79-4A35-885D-A13DD8FC5950}" name="QAT">
      <calculatedColumnFormula>Tabela2[[#This Row],[VEG]]+'Temporada 2026'!AF39</calculatedColumnFormula>
    </tableColumn>
    <tableColumn id="26" xr3:uid="{F599B151-3149-4B9D-BB03-36DD4B40D7DF}" name="ABU">
      <calculatedColumnFormula>Tabela2[[#This Row],[QAT]]+'Temporada 2026'!AG39</calculatedColumnFormula>
    </tableColumn>
  </tableColumns>
  <tableStyleInfo name="TableStyleMedium18"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github.com/maurilyn/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2"/>
  <dimension ref="A1:BC47"/>
  <sheetViews>
    <sheetView showGridLines="0" topLeftCell="A7" workbookViewId="0">
      <selection activeCell="E41" sqref="E41"/>
    </sheetView>
  </sheetViews>
  <sheetFormatPr defaultRowHeight="12.75" x14ac:dyDescent="0.2"/>
  <cols>
    <col min="1" max="1" width="5.42578125" style="1" bestFit="1" customWidth="1"/>
    <col min="2" max="2" width="9.140625" style="1" customWidth="1"/>
    <col min="3" max="3" width="11" style="1" bestFit="1" customWidth="1"/>
    <col min="4" max="4" width="11.5703125" style="1" bestFit="1" customWidth="1"/>
    <col min="5" max="5" width="5.7109375" style="1" bestFit="1" customWidth="1"/>
    <col min="6" max="53" width="2.7109375" style="1" customWidth="1"/>
    <col min="54" max="54" width="7" style="1" customWidth="1"/>
    <col min="55" max="55" width="8" style="1" bestFit="1" customWidth="1"/>
    <col min="56" max="16384" width="9.140625" style="2"/>
  </cols>
  <sheetData>
    <row r="1" spans="1:55" x14ac:dyDescent="0.2">
      <c r="F1" s="155" t="s">
        <v>273</v>
      </c>
      <c r="G1" s="155"/>
      <c r="H1" s="155"/>
      <c r="I1" s="155"/>
      <c r="J1" s="155"/>
      <c r="K1" s="155"/>
      <c r="L1" s="155"/>
      <c r="M1" s="155"/>
      <c r="N1" s="155"/>
      <c r="O1" s="155"/>
      <c r="P1" s="155"/>
      <c r="Q1" s="155"/>
      <c r="R1" s="155"/>
      <c r="S1" s="155"/>
      <c r="T1" s="155"/>
      <c r="U1" s="155"/>
      <c r="V1" s="155"/>
      <c r="W1" s="155"/>
      <c r="X1" s="155"/>
      <c r="Y1" s="155"/>
      <c r="Z1" s="155"/>
      <c r="AA1" s="155"/>
      <c r="AB1" s="155"/>
      <c r="AC1" s="155"/>
      <c r="AD1" s="156" t="s">
        <v>274</v>
      </c>
      <c r="AE1" s="156"/>
      <c r="AF1" s="156"/>
      <c r="AG1" s="156"/>
      <c r="AH1" s="156"/>
      <c r="AI1" s="156"/>
      <c r="AJ1" s="156"/>
      <c r="AK1" s="156"/>
      <c r="AL1" s="156"/>
      <c r="AM1" s="156"/>
      <c r="AN1" s="156"/>
      <c r="AO1" s="156"/>
      <c r="AP1" s="156"/>
      <c r="AQ1" s="156"/>
      <c r="AR1" s="156"/>
      <c r="AS1" s="156"/>
      <c r="AT1" s="156"/>
      <c r="AU1" s="156"/>
      <c r="AV1" s="156"/>
      <c r="AW1" s="156"/>
      <c r="AX1" s="156"/>
      <c r="AY1" s="156"/>
      <c r="AZ1" s="156"/>
      <c r="BA1" s="156"/>
      <c r="BB1" s="156"/>
      <c r="BC1" s="156"/>
    </row>
    <row r="2" spans="1:55" x14ac:dyDescent="0.2">
      <c r="A2" s="1" t="s">
        <v>264</v>
      </c>
      <c r="B2" s="1" t="s">
        <v>5</v>
      </c>
      <c r="C2" s="1" t="s">
        <v>8</v>
      </c>
      <c r="D2" s="1" t="s">
        <v>6</v>
      </c>
      <c r="E2" s="1" t="s">
        <v>7</v>
      </c>
      <c r="F2" s="9">
        <v>1</v>
      </c>
      <c r="G2" s="9">
        <v>2</v>
      </c>
      <c r="H2" s="9">
        <v>3</v>
      </c>
      <c r="I2" s="9">
        <v>4</v>
      </c>
      <c r="J2" s="9">
        <v>5</v>
      </c>
      <c r="K2" s="9">
        <v>6</v>
      </c>
      <c r="L2" s="9">
        <v>7</v>
      </c>
      <c r="M2" s="9">
        <v>8</v>
      </c>
      <c r="N2" s="9">
        <v>9</v>
      </c>
      <c r="O2" s="9">
        <v>10</v>
      </c>
      <c r="P2" s="9">
        <v>11</v>
      </c>
      <c r="Q2" s="9">
        <v>12</v>
      </c>
      <c r="R2" s="9">
        <v>13</v>
      </c>
      <c r="S2" s="9">
        <v>14</v>
      </c>
      <c r="T2" s="9">
        <v>15</v>
      </c>
      <c r="U2" s="9">
        <v>16</v>
      </c>
      <c r="V2" s="9">
        <v>17</v>
      </c>
      <c r="W2" s="9">
        <v>18</v>
      </c>
      <c r="X2" s="9">
        <v>19</v>
      </c>
      <c r="Y2" s="9">
        <v>20</v>
      </c>
      <c r="Z2" s="9">
        <v>21</v>
      </c>
      <c r="AA2" s="9">
        <v>22</v>
      </c>
      <c r="AB2" s="9">
        <v>23</v>
      </c>
      <c r="AC2" s="9">
        <v>24</v>
      </c>
      <c r="AD2" s="10" t="s">
        <v>265</v>
      </c>
      <c r="AE2" s="10" t="s">
        <v>266</v>
      </c>
      <c r="AF2" s="10" t="s">
        <v>267</v>
      </c>
      <c r="AG2" s="10" t="s">
        <v>268</v>
      </c>
      <c r="AH2" s="10" t="s">
        <v>269</v>
      </c>
      <c r="AI2" s="10" t="s">
        <v>270</v>
      </c>
      <c r="AJ2" s="10" t="s">
        <v>271</v>
      </c>
      <c r="AK2" s="10" t="s">
        <v>272</v>
      </c>
      <c r="AL2" s="10" t="s">
        <v>275</v>
      </c>
      <c r="AM2" s="10" t="s">
        <v>276</v>
      </c>
      <c r="AN2" s="10" t="s">
        <v>277</v>
      </c>
      <c r="AO2" s="10" t="s">
        <v>278</v>
      </c>
      <c r="AP2" s="10" t="s">
        <v>279</v>
      </c>
      <c r="AQ2" s="10" t="s">
        <v>280</v>
      </c>
      <c r="AR2" s="10" t="s">
        <v>281</v>
      </c>
      <c r="AS2" s="10" t="s">
        <v>282</v>
      </c>
      <c r="AT2" s="10" t="s">
        <v>283</v>
      </c>
      <c r="AU2" s="10" t="s">
        <v>284</v>
      </c>
      <c r="AV2" s="10" t="s">
        <v>285</v>
      </c>
      <c r="AW2" s="10" t="s">
        <v>286</v>
      </c>
      <c r="AX2" s="10" t="s">
        <v>287</v>
      </c>
      <c r="AY2" s="10" t="s">
        <v>288</v>
      </c>
      <c r="AZ2" s="10" t="s">
        <v>289</v>
      </c>
      <c r="BA2" s="10" t="s">
        <v>290</v>
      </c>
      <c r="BB2" s="6" t="s">
        <v>9</v>
      </c>
      <c r="BC2" s="6" t="s">
        <v>9</v>
      </c>
    </row>
    <row r="3" spans="1:55" x14ac:dyDescent="0.2">
      <c r="A3" s="1">
        <f>IF(B3&lt;&gt;"",RANK(E3,E$3:E$30)+SUM(AD3:BB3),"")</f>
        <v>6</v>
      </c>
      <c r="B3" s="1" t="str">
        <f>IF('Equipes e Pilotos'!C3&lt;&gt;"",'Equipes e Pilotos'!C3,"")</f>
        <v>Lando Norris</v>
      </c>
      <c r="C3" s="1" t="str">
        <f>IF(B3&lt;&gt;"",VLOOKUP(B3,'Equipes e Pilotos'!$C$3:$F$30,3,FALSE),"")</f>
        <v>Inglaterra</v>
      </c>
      <c r="D3" s="1" t="str">
        <f>IF(B3&lt;&gt;"",VLOOKUP(B3,'Equipes e Pilotos'!$C$3:$F$30,4,FALSE),"")</f>
        <v>McLaren</v>
      </c>
      <c r="E3" s="1">
        <f>IF(B3&lt;&gt;"",SUMIF(Resultados!C:C,B3,Resultados!F:F),"")</f>
        <v>201</v>
      </c>
      <c r="F3" s="7">
        <f>IF(B3&lt;&gt;"",SUMPRODUCT((Resultados!$B$1:$B$602=1)*(Resultados!$C$1:$C$602=B3)*1),"")</f>
        <v>3</v>
      </c>
      <c r="G3" s="7">
        <f>IF(B3&lt;&gt;"",SUMPRODUCT((Resultados!$B$1:$B$602=2)*(Resultados!$C$1:$C$602=B3)*1),"")</f>
        <v>2</v>
      </c>
      <c r="H3" s="7">
        <f>IF(B3&lt;&gt;"",SUMPRODUCT((Resultados!$B$1:$B$602=3)*(Resultados!$C$1:$C$602=B3)*1),"")</f>
        <v>4</v>
      </c>
      <c r="I3" s="7">
        <f>IF(B3&lt;&gt;"",SUMPRODUCT((Resultados!$B$1:$B$602=4)*(Resultados!$C$1:$C$602=B3)*1),"")</f>
        <v>3</v>
      </c>
      <c r="J3" s="7">
        <f>IF(B3&lt;&gt;"",SUMPRODUCT((Resultados!$B$1:$B$602=5)*(Resultados!$C$1:$C$602=B3)*1),"")</f>
        <v>2</v>
      </c>
      <c r="K3" s="7">
        <f>IF(B3&lt;&gt;"",SUMPRODUCT((Resultados!$B$1:$B$602=6)*(Resultados!$C$1:$C$602=B3)*1),"")</f>
        <v>0</v>
      </c>
      <c r="L3" s="7">
        <f>IF(B3&lt;&gt;"",SUMPRODUCT((Resultados!$B$1:$B$602=7)*(Resultados!$C$1:$C$602=B3)*1),"")</f>
        <v>2</v>
      </c>
      <c r="M3" s="7">
        <f>IF(B3&lt;&gt;"",SUMPRODUCT((Resultados!$B$1:$B$602=8)*(Resultados!$C$1:$C$602=B3)*1),"")</f>
        <v>0</v>
      </c>
      <c r="N3" s="7">
        <f>IF(B3&lt;&gt;"",SUMPRODUCT((Resultados!$B$1:$B$602=9)*(Resultados!$C$1:$C$602=B3)*1),"")</f>
        <v>1</v>
      </c>
      <c r="O3" s="7">
        <f>IF(B3&lt;&gt;"",SUMPRODUCT((Resultados!$B$1:$B$602=10)*(Resultados!$C$1:$C$602=B3)*1),"")</f>
        <v>0</v>
      </c>
      <c r="P3" s="7">
        <f>IF(B3&lt;&gt;"",SUMPRODUCT((Resultados!$B$1:$B$602=11)*(Resultados!$C$1:$C$602=B3)*1),"")</f>
        <v>0</v>
      </c>
      <c r="Q3" s="7">
        <f>IF(B3&lt;&gt;"",SUMPRODUCT((Resultados!$B$1:$B$602=12)*(Resultados!$C$1:$C$602=B3)*1),"")</f>
        <v>0</v>
      </c>
      <c r="R3" s="7">
        <f>IF(B3&lt;&gt;"",SUMPRODUCT((Resultados!$B$1:$B$602=13)*(Resultados!$C$1:$C$602=B3)*1),"")</f>
        <v>0</v>
      </c>
      <c r="S3" s="7">
        <f>IF(B3&lt;&gt;"",SUMPRODUCT((Resultados!$B$1:$B$602=14)*(Resultados!$C$1:$C$602=B3)*1),"")</f>
        <v>0</v>
      </c>
      <c r="T3" s="7">
        <f>IF(B3&lt;&gt;"",SUMPRODUCT((Resultados!$B$1:$B$602=15)*(Resultados!$C$1:$C$602=B3)*1),"")</f>
        <v>0</v>
      </c>
      <c r="U3" s="7">
        <f>IF(B3&lt;&gt;"",SUMPRODUCT((Resultados!$B$1:$B$602=16)*(Resultados!$C$1:$C$602=B3)*1),"")</f>
        <v>0</v>
      </c>
      <c r="V3" s="7">
        <f>IF(B3&lt;&gt;"",SUMPRODUCT((Resultados!$B$1:$B$602=17)*(Resultados!$C$1:$C$602=B3)*1),"")</f>
        <v>0</v>
      </c>
      <c r="W3" s="7">
        <f>IF(B3&lt;&gt;"",SUMPRODUCT((Resultados!$B$1:$B$602=18)*(Resultados!$C$1:$C$602=B3)*1),"")</f>
        <v>1</v>
      </c>
      <c r="X3" s="7">
        <f>IF(B3&lt;&gt;"",SUMPRODUCT((Resultados!$B$1:$B$602=19)*(Resultados!$C$1:$C$602=B3)*1),"")</f>
        <v>2</v>
      </c>
      <c r="Y3" s="7">
        <f>IF(B3&lt;&gt;"",SUMPRODUCT((Resultados!$B$1:$B$602=20)*(Resultados!$C$1:$C$602=B3)*1),"")</f>
        <v>1</v>
      </c>
      <c r="Z3" s="7">
        <f>IF(B3&lt;&gt;"",SUMPRODUCT((Resultados!$B$1:$B$602=21)*(Resultados!$C$1:$C$602=B3)*1),"")</f>
        <v>0</v>
      </c>
      <c r="AA3" s="7">
        <f>IF(B3&lt;&gt;"",SUMPRODUCT((Resultados!$B$1:$B$602=22)*(Resultados!$C$1:$C$602=B3)*1),"")</f>
        <v>0</v>
      </c>
      <c r="AB3" s="7">
        <f>IF(B3&lt;&gt;"",SUMPRODUCT((Resultados!$B$1:$B$602=23)*(Resultados!$C$1:$C$602=B3)*1),"")</f>
        <v>0</v>
      </c>
      <c r="AC3" s="7">
        <f>IF(B3&lt;&gt;"",SUMPRODUCT((Resultados!$B$1:$B$602=24)*(Resultados!$C$1:$C$602=B3)*1),"")</f>
        <v>0</v>
      </c>
      <c r="AD3" s="6">
        <f>IF(B3&lt;&gt;"",SUMPRODUCT(($E$3:$E$30=E3)*($F$3:$F$30&gt;F3)),"")</f>
        <v>0</v>
      </c>
      <c r="AE3" s="6">
        <f>IF(B3&lt;&gt;"",SUMPRODUCT(($E$3:$E$30=E3)*($F$3:$F$30=F3)*($G$3:$G$30&gt;G3)),"")</f>
        <v>0</v>
      </c>
      <c r="AF3" s="6">
        <f>IF(B3&lt;&gt;"",SUMPRODUCT(($E$3:$E$30=E3)*($F$3:$F$30=F3)*($G$3:$G$30=G3)*($H$3:$H$30&gt;H3)),"")</f>
        <v>0</v>
      </c>
      <c r="AG3" s="6">
        <f>IF(B3&lt;&gt;"",SUMPRODUCT(($E$3:$E$30=E3)*($F$3:$F$30=F3)*($G$3:$G$30=G3)*($H$3:$H$30=H3)*($I$3:$I$30&gt;I3)),"")</f>
        <v>0</v>
      </c>
      <c r="AH3" s="6">
        <f>IF(B3&lt;&gt;"",SUMPRODUCT(($E$3:$E$30=E3)*($F$3:$F$30=F3)*($G$3:$G$30=G3)*($H$3:$H$30=H3)*($I$3:$I$30=I3)*($J$3:$J$30&gt;J3)),"")</f>
        <v>0</v>
      </c>
      <c r="AI3" s="6">
        <f>IF(B3&lt;&gt;"",SUMPRODUCT(($E$3:$E$30=E3)*($F$3:$F$30=F3)*($G$3:$G$30=G3)*($H$3:$H$30=H3)*($I$3:$I$30=I3)*($J$3:$J$30=J3)*($K$3:$K$30&gt;K3)),"")</f>
        <v>0</v>
      </c>
      <c r="AJ3" s="6">
        <f>IF(B3&lt;&gt;"",SUMPRODUCT(($E$3:$E$30=E3)*($F$3:$F$30=F3)*($G$3:$G$30=G3)*($H$3:$H$30=H3)*($I$3:$I$30=I3)*($J$3:$J$30=J3)*($K$3:$K$30=K3)*($L$3:$L$30&gt;L3)),"")</f>
        <v>0</v>
      </c>
      <c r="AK3" s="6">
        <f>IF(B3&lt;&gt;"",SUMPRODUCT(($E$3:$E$30=E3)*($F$3:$F$30=F3)*($G$3:$G$30=G3)*($H$3:$H$30=H3)*($I$3:$I$30=I3)*($J$3:$J$30=J3)*($K$3:$K$30=K3)*($L$3:$L$30=L3)*($M$3:$M$30&gt;M3)),"")</f>
        <v>0</v>
      </c>
      <c r="AL3" s="6">
        <f>IF(B3&lt;&gt;"",SUMPRODUCT(($E$3:$E$30=E3)*($F$3:$F$30=F3)*($G$3:$G$30=G3)*($H$3:$H$30=H3)*($I$3:$I$30=I3)*($J$3:$J$30=J3)*($K$3:$K$30=K3)*($L$3:$L$30=L3)*($M$3:$M$30=M3)*($N$3:$N$30&gt;N3)),"")</f>
        <v>0</v>
      </c>
      <c r="AM3" s="6">
        <f>IF(B3&lt;&gt;"",SUMPRODUCT(($E$3:$E$30=E3)*($F$3:$F$30=F3)*($G$3:$G$30=G3)*($H$3:$H$30=H3)*($I$3:$I$30=I3)*($J$3:$J$30=J3)*($K$3:$K$30=K3)*($L$3:$L$30=L3)*($M$3:$M$30=M3)*($N$3:$N$30=N3)*($O$3:$O$30&gt;O3)),"")</f>
        <v>0</v>
      </c>
      <c r="AN3" s="6">
        <f>IF(B3&lt;&gt;"",SUMPRODUCT(($E$3:$E$30=E3)*($F$3:$F$30=F3)*($G$3:$G$30=G3)*($H$3:$H$30=H3)*($I$3:$I$30=I3)*($J$3:$J$30=J3)*($K$3:$K$30=K3)*($L$3:$L$30=L3)*($M$3:$M$30=M3)*($N$3:$N$30=N3)*($O$3:$O$30=O3)*($P$3:$P$30&gt;P3)),"")</f>
        <v>0</v>
      </c>
      <c r="AO3" s="6">
        <f>IF(B3&lt;&gt;"",SUMPRODUCT(($E$3:$E$30=E3)*($F$3:$F$30=F3)*($G$3:$G$30=G3)*($H$3:$H$30=H3)*($I$3:$I$30=I3)*($J$3:$J$30=J3)*($K$3:$K$30=K3)*($L$3:$L$30=L3)*($M$3:$M$30=M3)*($N$3:$N$30=N3)*($O$3:$O$30=O3)*($P$3:$P$30=P3)*($Q$3:$Q$30&gt;Q3)),"")</f>
        <v>0</v>
      </c>
      <c r="AP3" s="6">
        <f>IF(B3&lt;&gt;"",SUMPRODUCT(($E$3:$E$30=E3)*($F$3:$F$30=F3)*($G$3:$G$30=G3)*($H$3:$H$30=H3)*($I$3:$I$30=I3)*($J$3:$J$30=J3)*($K$3:$K$30=K3)*($L$3:$L$30=L3)*($M$3:$M$30=M3)*($N$3:$N$30=N3)*($O$3:$O$30=O3)*($P$3:$P$30=P3)*($Q$3:$Q$30=Q3)*($R$3:$R$30&gt;R3)),"")</f>
        <v>0</v>
      </c>
      <c r="AQ3" s="6">
        <f>IF(B3&lt;&gt;"",SUMPRODUCT(($E$3:$E$30=E3)*($F$3:$F$30=F3)*($G$3:$G$30=G3)*($H$3:$H$30=H3)*($I$3:$I$30=I3)*($J$3:$J$30=J3)*($K$3:$K$30=K3)*($L$3:$L$30=L3)*($M$3:$M$30=M3)*($N$3:$N$30=N3)*($O$3:$O$30=O3)*($P$3:$P$30=P3)*($Q$3:$Q$30=Q3)*($R$3:$R$30=R3)*($S$3:$S$30&gt;S3)),"")</f>
        <v>0</v>
      </c>
      <c r="AR3" s="6">
        <f>IF(B3&lt;&gt;"",SUMPRODUCT(($E$3:$E$30=E3)*($F$3:$F$30=F3)*($G$3:$G$30=G3)*($H$3:$H$30=H3)*($I$3:$I$30=I3)*($J$3:$J$30=J3)*($K$3:$K$30=K3)*($L$3:$L$30=L3)*($M$3:$M$30=M3)*($N$3:$N$30=N3)*($O$3:$O$30=O3)*($P$3:$P$30=P3)*($Q$3:$Q$30=Q3)*($R$3:$R$30=R3)*($S$3:$S$30=S3)*($T$3:$T$30&gt;T3)),"")</f>
        <v>0</v>
      </c>
      <c r="AS3" s="6">
        <f>IF(B3&lt;&gt;"",SUMPRODUCT(($E$3:$E$30=E3)*($F$3:$F$30=F3)*($G$3:$G$30=G3)*($H$3:$H$30=H3)*($I$3:$I$30=I3)*($J$3:$J$30=J3)*($K$3:$K$30=K3)*($L$3:$L$30=L3)*($M$3:$M$30=M3)*($N$3:$N$30=N3)*($O$3:$O$30=O3)*($P$3:$P$30=P3)*($Q$3:$Q$30=Q3)*($R$3:$R$30=R3)*($S$3:$S$30=S3)*($T$3:$T$30=T3)*($U$3:$U$30&gt;U3)),"")</f>
        <v>0</v>
      </c>
      <c r="AT3" s="6">
        <f>IF(B3&lt;&gt;"",SUMPRODUCT(($E$3:$E$30=E3)*($F$3:$F$30=F3)*($G$3:$G$30=G3)*($H$3:$H$30=H3)*($I$3:$I$30=I3)*($J$3:$J$30=J3)*($K$3:$K$30=K3)*($L$3:$L$30=L3)*($M$3:$M$30=M3)*($N$3:$N$30=N3)*($O$3:$O$30=O3)*($P$3:$P$30=P3)*($Q$3:$Q$30=Q3)*($R$3:$R$30=R3)*($S$3:$S$30=S3)*($T$3:$T$30=T3)*($U$3:$U$30=U3)*($V$3:$V$30&gt;V3)),"")</f>
        <v>0</v>
      </c>
      <c r="AU3" s="6">
        <f>IF(B3&lt;&gt;"",SUMPRODUCT(($E$3:$E$30=E3)*($F$3:$F$30=F3)*($G$3:$G$30=G3)*($H$3:$H$30=H3)*($I$3:$I$30=I3)*($J$3:$J$30=J3)*($K$3:$K$30=K3)*($L$3:$L$30=L3)*($M$3:$M$30=M3)*($N$3:$N$30=N3)*($O$3:$O$30=O3)*($P$3:$P$30=P3)*($Q$3:$Q$30=Q3)*($R$3:$R$30=R3)*($S$3:$S$30=S3)*($T$3:$T$30=T3)*($U$3:$U$30=U3)*($V$3:$V$30=V3)*($W$3:$W$30&gt;W3)),"")</f>
        <v>0</v>
      </c>
      <c r="AV3" s="6">
        <f>IF(B3&lt;&gt;"",SUMPRODUCT(($E$3:$E$30=E3)*($F$3:$F$30=F3)*($G$3:$G$30=G3)*($H$3:$H$30=H3)*($I$3:$I$30=I3)*($J$3:$J$30=J3)*($K$3:$K$30=K3)*($L$3:$L$30=L3)*($M$3:$M$30=M3)*($N$3:$N$30=N3)*($O$3:$O$30=O3)*($P$3:$P$30=P3)*($Q$3:$Q$30=Q3)*($R$3:$R$30=R3)*($S$3:$S$30=S3)*($T$3:$T$30=T3)*($U$3:$U$30=U3)*($V$3:$V$30=V3)*($W$3:$W$30=W3)*($X$3:$X$30&gt;X3)),"")</f>
        <v>0</v>
      </c>
      <c r="AW3" s="6">
        <f>IF(B3&lt;&gt;"",SUMPRODUCT(($E$3:$E$30=E3)*($F$3:$F$30=F3)*($G$3:$G$30=G3)*($H$3:$H$30=H3)*($I$3:$I$30=I3)*($J$3:$J$30=J3)*($K$3:$K$30=K3)*($L$3:$L$30=L3)*($M$3:$M$30=M3)*($N$3:$N$30=N3)*($O$3:$O$30=O3)*($P$3:$P$30=P3)*($Q$3:$Q$30=Q3)*($R$3:$R$30=R3)*($S$3:$S$30=S3)*($T$3:$T$30=T3)*($U$3:$U$30=U3)*($V$3:$V$30=V3)*($W$3:$W$30=W3)*($X$3:$X$30=X3)*($Y$3:$Y$30&gt;Y3)),"")</f>
        <v>0</v>
      </c>
      <c r="AX3" s="6">
        <f>IF(B3&lt;&gt;"",SUMPRODUCT(($E$3:$E$30=E3)*($F$3:$F$30=F3)*($G$3:$G$30=G3)*($H$3:$H$30=H3)*($I$3:$I$30=I3)*($J$3:$J$30=J3)*($K$3:$K$30=K3)*($L$3:$L$30=L3)*($M$3:$M$30=M3)*($N$3:$N$30=N3)*($O$3:$O$30=O3)*($P$3:$P$30=P3)*($Q$3:$Q$30=Q3)*($R$3:$R$30=R3)*($S$3:$S$30=S3)*($T$3:$T$30=T3)*($U$3:$U$30=U3)*($V$3:$V$30=V3)*($W$3:$W$30=W3)*($X$3:$X$30=X3)*($Y$3:$Y$30=Y3)*($Z$3:$Z$30&gt;Z3)),"")</f>
        <v>0</v>
      </c>
      <c r="AY3" s="6">
        <f>IF(B3&lt;&gt;"",SUMPRODUCT(($E$3:$E$30=E3)*($F$3:$F$30=F3)*($G$3:$G$30=G3)*($H$3:$H$30=H3)*($I$3:$I$30=I3)*($J$3:$J$30=J3)*($K$3:$K$30=K3)*($L$3:$L$30=L3)*($M$3:$M$30=M3)*($N$3:$N$30=N3)*($O$3:$O$30=O3)*($P$3:$P$30=P3)*($Q$3:$Q$30=Q3)*($R$3:$R$30=R3)*($S$3:$S$30=S3)*($T$3:$T$30=T3)*($U$3:$U$30=U3)*($V$3:$V$30=V3)*($W$3:$W$30=W3)*($X$3:$X$30=X3)*($Y$3:$Y$30=Y3)*($Z$3:$Z$30=Z3)*($AA$3:$AA$30&gt;AA3)),"")</f>
        <v>0</v>
      </c>
      <c r="AZ3" s="6">
        <f>IF(B3&lt;&gt;"",SUMPRODUCT(($E$3:$E$30=E3)*($F$3:$F$30=F3)*($G$3:$G$30=G3)*($H$3:$H$30=H3)*($I$3:$I$30=I3)*($J$3:$J$30=J3)*($K$3:$K$30=K3)*($L$3:$L$30=L3)*($M$3:$M$30=M3)*($N$3:$N$30=N3)*($O$3:$O$30=O3)*($P$3:$P$30=P3)*($Q$3:$Q$30=Q3)*($R$3:$R$30=R3)*($S$3:$S$30=S3)*($T$3:$T$30=T3)*($U$3:$U$30=U3)*($V$3:$V$30=V3)*($W$3:$W$30=W3)*($X$3:$X$30=X3)*($Y$3:$Y$30=Y3)*($Z$3:$Z$30=Z3)*($AA$3:$AA$30=AA3)*($AB$3:$AB$30&gt;AB3)),"")</f>
        <v>0</v>
      </c>
      <c r="BA3" s="6">
        <f>IF(B3&lt;&gt;"",SUMPRODUCT(($E$3:$E$30=E3)*($F$3:$F$30=F3)*($G$3:$G$30=G3)*($H$3:$H$30=H3)*($I$3:$I$30=I3)*($J$3:$J$30=J3)*($K$3:$K$30=K3)*($L$3:$L$30=L3)*($M$3:$M$30=M3)*($N$3:$N$30=N3)*($O$3:$O$30=O3)*($P$3:$P$30=P3)*($Q$3:$Q$30=Q3)*($R$3:$R$30=R3)*($S$3:$S$30=S3)*($T$3:$T$30=T3)*($U$3:$U$30=U3)*($V$3:$V$30=V3)*($W$3:$W$30=W3)*($X$3:$X$30=X3)*($Y$3:$Y$30=Y3)*($Z$3:$Z$30=Z3)*($AA$3:$AA$30=AA3)*($AB$3:$AB$30=AB3)*($AC$3:$AC$30&gt;AC3)),"")</f>
        <v>0</v>
      </c>
      <c r="BB3" s="6">
        <f>IF(B3&lt;&gt;"",SUMPRODUCT(($E$3:$E$30=E3)*($F$3:$F$30=F3)*($G$3:$G$30=G3)*($H$3:$H$30=H3)*($I$3:$I$30=I3)*($J$3:$J$30=J3)*($K$3:$K$30=K3)*($L$3:$L$30=L3)*($M$3:$M$30=M3)*($N$3:$N$30=N3)*($O$3:$O$30=O3)*($P$3:$P$30=P3)*($Q$3:$Q$30=Q3)*($R$3:$R$30=R3)*($S$3:$S$30=S3)*($T$3:$T$30=T3)*($U$3:$U$30=U3)*($V$3:$V$30=V3)*($W$3:$W$30=W3)*($X$3:$X$30=X3)*($Y$3:$Y$30=Y3)*($Z$3:$Z$30=Z3)*($AA$3:$AA$30=AA3)*($AB$3:$AB$30=AB3)*($AC$3:$AC$30=AC3)*($BC$3:$BC$30&lt;BC3)),"")</f>
        <v>0</v>
      </c>
      <c r="BC3" s="6">
        <f>IF(B3&lt;&gt;"",'Equipes e Pilotos'!B3,"")</f>
        <v>1</v>
      </c>
    </row>
    <row r="4" spans="1:55" x14ac:dyDescent="0.2">
      <c r="A4" s="1">
        <f t="shared" ref="A4:A26" si="0">IF(B4&lt;&gt;"",RANK(E4,E$3:E$30)+SUM(AD4:BB4),"")</f>
        <v>7</v>
      </c>
      <c r="B4" s="1" t="str">
        <f>IF('Equipes e Pilotos'!C4&lt;&gt;"",'Equipes e Pilotos'!C4,"")</f>
        <v>Oscar Piastri</v>
      </c>
      <c r="C4" s="1" t="str">
        <f>IF(B4&lt;&gt;"",VLOOKUP(B4,'Equipes e Pilotos'!$C$3:$F$30,3,FALSE),"")</f>
        <v>Austrália</v>
      </c>
      <c r="D4" s="1" t="str">
        <f>IF(B4&lt;&gt;"",VLOOKUP(B4,'Equipes e Pilotos'!$C$3:$F$30,4,FALSE),"")</f>
        <v>McLaren</v>
      </c>
      <c r="E4" s="1">
        <f>IF(B4&lt;&gt;"",SUMIF(Resultados!C:C,B4,Resultados!F:F),"")</f>
        <v>138</v>
      </c>
      <c r="F4" s="7">
        <f>IF(B4&lt;&gt;"",SUMPRODUCT((Resultados!$B$1:$B$602=1)*(Resultados!$C$1:$C$602=B4)*1),"")</f>
        <v>0</v>
      </c>
      <c r="G4" s="7">
        <f>IF(B4&lt;&gt;"",SUMPRODUCT((Resultados!$B$1:$B$602=2)*(Resultados!$C$1:$C$602=B4)*1),"")</f>
        <v>2</v>
      </c>
      <c r="H4" s="7">
        <f>IF(B4&lt;&gt;"",SUMPRODUCT((Resultados!$B$1:$B$602=3)*(Resultados!$C$1:$C$602=B4)*1),"")</f>
        <v>1</v>
      </c>
      <c r="I4" s="7">
        <f>IF(B4&lt;&gt;"",SUMPRODUCT((Resultados!$B$1:$B$602=4)*(Resultados!$C$1:$C$602=B4)*1),"")</f>
        <v>3</v>
      </c>
      <c r="J4" s="7">
        <f>IF(B4&lt;&gt;"",SUMPRODUCT((Resultados!$B$1:$B$602=5)*(Resultados!$C$1:$C$602=B4)*1),"")</f>
        <v>4</v>
      </c>
      <c r="K4" s="7">
        <f>IF(B4&lt;&gt;"",SUMPRODUCT((Resultados!$B$1:$B$602=6)*(Resultados!$C$1:$C$602=B4)*1),"")</f>
        <v>3</v>
      </c>
      <c r="L4" s="7">
        <f>IF(B4&lt;&gt;"",SUMPRODUCT((Resultados!$B$1:$B$602=7)*(Resultados!$C$1:$C$602=B4)*1),"")</f>
        <v>1</v>
      </c>
      <c r="M4" s="7">
        <f>IF(B4&lt;&gt;"",SUMPRODUCT((Resultados!$B$1:$B$602=8)*(Resultados!$C$1:$C$602=B4)*1),"")</f>
        <v>1</v>
      </c>
      <c r="N4" s="7">
        <f>IF(B4&lt;&gt;"",SUMPRODUCT((Resultados!$B$1:$B$602=9)*(Resultados!$C$1:$C$602=B4)*1),"")</f>
        <v>0</v>
      </c>
      <c r="O4" s="7">
        <f>IF(B4&lt;&gt;"",SUMPRODUCT((Resultados!$B$1:$B$602=10)*(Resultados!$C$1:$C$602=B4)*1),"")</f>
        <v>0</v>
      </c>
      <c r="P4" s="7">
        <f>IF(B4&lt;&gt;"",SUMPRODUCT((Resultados!$B$1:$B$602=11)*(Resultados!$C$1:$C$602=B4)*1),"")</f>
        <v>2</v>
      </c>
      <c r="Q4" s="7">
        <f>IF(B4&lt;&gt;"",SUMPRODUCT((Resultados!$B$1:$B$602=12)*(Resultados!$C$1:$C$602=B4)*1),"")</f>
        <v>0</v>
      </c>
      <c r="R4" s="7">
        <f>IF(B4&lt;&gt;"",SUMPRODUCT((Resultados!$B$1:$B$602=13)*(Resultados!$C$1:$C$602=B4)*1),"")</f>
        <v>1</v>
      </c>
      <c r="S4" s="7">
        <f>IF(B4&lt;&gt;"",SUMPRODUCT((Resultados!$B$1:$B$602=14)*(Resultados!$C$1:$C$602=B4)*1),"")</f>
        <v>0</v>
      </c>
      <c r="T4" s="7">
        <f>IF(B4&lt;&gt;"",SUMPRODUCT((Resultados!$B$1:$B$602=15)*(Resultados!$C$1:$C$602=B4)*1),"")</f>
        <v>0</v>
      </c>
      <c r="U4" s="7">
        <f>IF(B4&lt;&gt;"",SUMPRODUCT((Resultados!$B$1:$B$602=16)*(Resultados!$C$1:$C$602=B4)*1),"")</f>
        <v>0</v>
      </c>
      <c r="V4" s="7">
        <f>IF(B4&lt;&gt;"",SUMPRODUCT((Resultados!$B$1:$B$602=17)*(Resultados!$C$1:$C$602=B4)*1),"")</f>
        <v>0</v>
      </c>
      <c r="W4" s="7">
        <f>IF(B4&lt;&gt;"",SUMPRODUCT((Resultados!$B$1:$B$602=18)*(Resultados!$C$1:$C$602=B4)*1),"")</f>
        <v>0</v>
      </c>
      <c r="X4" s="7">
        <f>IF(B4&lt;&gt;"",SUMPRODUCT((Resultados!$B$1:$B$602=19)*(Resultados!$C$1:$C$602=B4)*1),"")</f>
        <v>1</v>
      </c>
      <c r="Y4" s="7">
        <f>IF(B4&lt;&gt;"",SUMPRODUCT((Resultados!$B$1:$B$602=20)*(Resultados!$C$1:$C$602=B4)*1),"")</f>
        <v>1</v>
      </c>
      <c r="Z4" s="7">
        <f>IF(B4&lt;&gt;"",SUMPRODUCT((Resultados!$B$1:$B$602=21)*(Resultados!$C$1:$C$602=B4)*1),"")</f>
        <v>1</v>
      </c>
      <c r="AA4" s="7">
        <f>IF(B4&lt;&gt;"",SUMPRODUCT((Resultados!$B$1:$B$602=22)*(Resultados!$C$1:$C$602=B4)*1),"")</f>
        <v>0</v>
      </c>
      <c r="AB4" s="7">
        <f>IF(B4&lt;&gt;"",SUMPRODUCT((Resultados!$B$1:$B$602=23)*(Resultados!$C$1:$C$602=B4)*1),"")</f>
        <v>0</v>
      </c>
      <c r="AC4" s="7">
        <f>IF(B4&lt;&gt;"",SUMPRODUCT((Resultados!$B$1:$B$602=24)*(Resultados!$C$1:$C$602=B4)*1),"")</f>
        <v>0</v>
      </c>
      <c r="AD4" s="6">
        <f t="shared" ref="AD4:AD26" si="1">IF(B4&lt;&gt;"",SUMPRODUCT(($E$3:$E$30=E4)*($F$3:$F$30&gt;F4)),"")</f>
        <v>0</v>
      </c>
      <c r="AE4" s="6">
        <f t="shared" ref="AE4:AE26" si="2">IF(B4&lt;&gt;"",SUMPRODUCT(($E$3:$E$30=E4)*($F$3:$F$30=F4)*($G$3:$G$30&gt;G4)),"")</f>
        <v>0</v>
      </c>
      <c r="AF4" s="6">
        <f t="shared" ref="AF4:AF26" si="3">IF(B4&lt;&gt;"",SUMPRODUCT(($E$3:$E$30=E4)*($F$3:$F$30=F4)*($G$3:$G$30=G4)*($H$3:$H$30&gt;H4)),"")</f>
        <v>0</v>
      </c>
      <c r="AG4" s="6">
        <f t="shared" ref="AG4:AG26" si="4">IF(B4&lt;&gt;"",SUMPRODUCT(($E$3:$E$30=E4)*($F$3:$F$30=F4)*($G$3:$G$30=G4)*($H$3:$H$30=H4)*($I$3:$I$30&gt;I4)),"")</f>
        <v>0</v>
      </c>
      <c r="AH4" s="6">
        <f t="shared" ref="AH4:AH26" si="5">IF(B4&lt;&gt;"",SUMPRODUCT(($E$3:$E$30=E4)*($F$3:$F$30=F4)*($G$3:$G$30=G4)*($H$3:$H$30=H4)*($I$3:$I$30=I4)*($J$3:$J$30&gt;J4)),"")</f>
        <v>0</v>
      </c>
      <c r="AI4" s="6">
        <f t="shared" ref="AI4:AI26" si="6">IF(B4&lt;&gt;"",SUMPRODUCT(($E$3:$E$30=E4)*($F$3:$F$30=F4)*($G$3:$G$30=G4)*($H$3:$H$30=H4)*($I$3:$I$30=I4)*($J$3:$J$30=J4)*($K$3:$K$30&gt;K4)),"")</f>
        <v>0</v>
      </c>
      <c r="AJ4" s="6">
        <f t="shared" ref="AJ4:AJ26" si="7">IF(B4&lt;&gt;"",SUMPRODUCT(($E$3:$E$30=E4)*($F$3:$F$30=F4)*($G$3:$G$30=G4)*($H$3:$H$30=H4)*($I$3:$I$30=I4)*($J$3:$J$30=J4)*($K$3:$K$30=K4)*($L$3:$L$30&gt;L4)),"")</f>
        <v>0</v>
      </c>
      <c r="AK4" s="6">
        <f t="shared" ref="AK4:AK26" si="8">IF(B4&lt;&gt;"",SUMPRODUCT(($E$3:$E$30=E4)*($F$3:$F$30=F4)*($G$3:$G$30=G4)*($H$3:$H$30=H4)*($I$3:$I$30=I4)*($J$3:$J$30=J4)*($K$3:$K$30=K4)*($L$3:$L$30=L4)*($M$3:$M$30&gt;M4)),"")</f>
        <v>0</v>
      </c>
      <c r="AL4" s="6">
        <f t="shared" ref="AL4:AL26" si="9">IF(B4&lt;&gt;"",SUMPRODUCT(($E$3:$E$30=E4)*($F$3:$F$30=F4)*($G$3:$G$30=G4)*($H$3:$H$30=H4)*($I$3:$I$30=I4)*($J$3:$J$30=J4)*($K$3:$K$30=K4)*($L$3:$L$30=L4)*($M$3:$M$30=M4)*($N$3:$N$30&gt;N4)),"")</f>
        <v>0</v>
      </c>
      <c r="AM4" s="6">
        <f t="shared" ref="AM4:AM26" si="10">IF(B4&lt;&gt;"",SUMPRODUCT(($E$3:$E$30=E4)*($F$3:$F$30=F4)*($G$3:$G$30=G4)*($H$3:$H$30=H4)*($I$3:$I$30=I4)*($J$3:$J$30=J4)*($K$3:$K$30=K4)*($L$3:$L$30=L4)*($M$3:$M$30=M4)*($N$3:$N$30=N4)*($O$3:$O$30&gt;O4)),"")</f>
        <v>0</v>
      </c>
      <c r="AN4" s="6">
        <f t="shared" ref="AN4:AN26" si="11">IF(B4&lt;&gt;"",SUMPRODUCT(($E$3:$E$30=E4)*($F$3:$F$30=F4)*($G$3:$G$30=G4)*($H$3:$H$30=H4)*($I$3:$I$30=I4)*($J$3:$J$30=J4)*($K$3:$K$30=K4)*($L$3:$L$30=L4)*($M$3:$M$30=M4)*($N$3:$N$30=N4)*($O$3:$O$30=O4)*($P$3:$P$30&gt;P4)),"")</f>
        <v>0</v>
      </c>
      <c r="AO4" s="6">
        <f t="shared" ref="AO4:AO26" si="12">IF(B4&lt;&gt;"",SUMPRODUCT(($E$3:$E$30=E4)*($F$3:$F$30=F4)*($G$3:$G$30=G4)*($H$3:$H$30=H4)*($I$3:$I$30=I4)*($J$3:$J$30=J4)*($K$3:$K$30=K4)*($L$3:$L$30=L4)*($M$3:$M$30=M4)*($N$3:$N$30=N4)*($O$3:$O$30=O4)*($P$3:$P$30=P4)*($Q$3:$Q$30&gt;Q4)),"")</f>
        <v>0</v>
      </c>
      <c r="AP4" s="6">
        <f t="shared" ref="AP4:AP26" si="13">IF(B4&lt;&gt;"",SUMPRODUCT(($E$3:$E$30=E4)*($F$3:$F$30=F4)*($G$3:$G$30=G4)*($H$3:$H$30=H4)*($I$3:$I$30=I4)*($J$3:$J$30=J4)*($K$3:$K$30=K4)*($L$3:$L$30=L4)*($M$3:$M$30=M4)*($N$3:$N$30=N4)*($O$3:$O$30=O4)*($P$3:$P$30=P4)*($Q$3:$Q$30=Q4)*($R$3:$R$30&gt;R4)),"")</f>
        <v>0</v>
      </c>
      <c r="AQ4" s="6">
        <f t="shared" ref="AQ4:AQ26" si="14">IF(B4&lt;&gt;"",SUMPRODUCT(($E$3:$E$30=E4)*($F$3:$F$30=F4)*($G$3:$G$30=G4)*($H$3:$H$30=H4)*($I$3:$I$30=I4)*($J$3:$J$30=J4)*($K$3:$K$30=K4)*($L$3:$L$30=L4)*($M$3:$M$30=M4)*($N$3:$N$30=N4)*($O$3:$O$30=O4)*($P$3:$P$30=P4)*($Q$3:$Q$30=Q4)*($R$3:$R$30=R4)*($S$3:$S$30&gt;S4)),"")</f>
        <v>0</v>
      </c>
      <c r="AR4" s="6">
        <f t="shared" ref="AR4:AR26" si="15">IF(B4&lt;&gt;"",SUMPRODUCT(($E$3:$E$30=E4)*($F$3:$F$30=F4)*($G$3:$G$30=G4)*($H$3:$H$30=H4)*($I$3:$I$30=I4)*($J$3:$J$30=J4)*($K$3:$K$30=K4)*($L$3:$L$30=L4)*($M$3:$M$30=M4)*($N$3:$N$30=N4)*($O$3:$O$30=O4)*($P$3:$P$30=P4)*($Q$3:$Q$30=Q4)*($R$3:$R$30=R4)*($S$3:$S$30=S4)*($T$3:$T$30&gt;T4)),"")</f>
        <v>0</v>
      </c>
      <c r="AS4" s="6">
        <f t="shared" ref="AS4:AS26" si="16">IF(B4&lt;&gt;"",SUMPRODUCT(($E$3:$E$30=E4)*($F$3:$F$30=F4)*($G$3:$G$30=G4)*($H$3:$H$30=H4)*($I$3:$I$30=I4)*($J$3:$J$30=J4)*($K$3:$K$30=K4)*($L$3:$L$30=L4)*($M$3:$M$30=M4)*($N$3:$N$30=N4)*($O$3:$O$30=O4)*($P$3:$P$30=P4)*($Q$3:$Q$30=Q4)*($R$3:$R$30=R4)*($S$3:$S$30=S4)*($T$3:$T$30=T4)*($U$3:$U$30&gt;U4)),"")</f>
        <v>0</v>
      </c>
      <c r="AT4" s="6">
        <f t="shared" ref="AT4:AT26" si="17">IF(B4&lt;&gt;"",SUMPRODUCT(($E$3:$E$30=E4)*($F$3:$F$30=F4)*($G$3:$G$30=G4)*($H$3:$H$30=H4)*($I$3:$I$30=I4)*($J$3:$J$30=J4)*($K$3:$K$30=K4)*($L$3:$L$30=L4)*($M$3:$M$30=M4)*($N$3:$N$30=N4)*($O$3:$O$30=O4)*($P$3:$P$30=P4)*($Q$3:$Q$30=Q4)*($R$3:$R$30=R4)*($S$3:$S$30=S4)*($T$3:$T$30=T4)*($U$3:$U$30=U4)*($V$3:$V$30&gt;V4)),"")</f>
        <v>0</v>
      </c>
      <c r="AU4" s="6">
        <f t="shared" ref="AU4:AU26" si="18">IF(B4&lt;&gt;"",SUMPRODUCT(($E$3:$E$30=E4)*($F$3:$F$30=F4)*($G$3:$G$30=G4)*($H$3:$H$30=H4)*($I$3:$I$30=I4)*($J$3:$J$30=J4)*($K$3:$K$30=K4)*($L$3:$L$30=L4)*($M$3:$M$30=M4)*($N$3:$N$30=N4)*($O$3:$O$30=O4)*($P$3:$P$30=P4)*($Q$3:$Q$30=Q4)*($R$3:$R$30=R4)*($S$3:$S$30=S4)*($T$3:$T$30=T4)*($U$3:$U$30=U4)*($V$3:$V$30=V4)*($W$3:$W$30&gt;W4)),"")</f>
        <v>0</v>
      </c>
      <c r="AV4" s="6">
        <f t="shared" ref="AV4:AV26" si="19">IF(B4&lt;&gt;"",SUMPRODUCT(($E$3:$E$30=E4)*($F$3:$F$30=F4)*($G$3:$G$30=G4)*($H$3:$H$30=H4)*($I$3:$I$30=I4)*($J$3:$J$30=J4)*($K$3:$K$30=K4)*($L$3:$L$30=L4)*($M$3:$M$30=M4)*($N$3:$N$30=N4)*($O$3:$O$30=O4)*($P$3:$P$30=P4)*($Q$3:$Q$30=Q4)*($R$3:$R$30=R4)*($S$3:$S$30=S4)*($T$3:$T$30=T4)*($U$3:$U$30=U4)*($V$3:$V$30=V4)*($W$3:$W$30=W4)*($X$3:$X$30&gt;X4)),"")</f>
        <v>0</v>
      </c>
      <c r="AW4" s="6">
        <f t="shared" ref="AW4:AW26" si="20">IF(B4&lt;&gt;"",SUMPRODUCT(($E$3:$E$30=E4)*($F$3:$F$30=F4)*($G$3:$G$30=G4)*($H$3:$H$30=H4)*($I$3:$I$30=I4)*($J$3:$J$30=J4)*($K$3:$K$30=K4)*($L$3:$L$30=L4)*($M$3:$M$30=M4)*($N$3:$N$30=N4)*($O$3:$O$30=O4)*($P$3:$P$30=P4)*($Q$3:$Q$30=Q4)*($R$3:$R$30=R4)*($S$3:$S$30=S4)*($T$3:$T$30=T4)*($U$3:$U$30=U4)*($V$3:$V$30=V4)*($W$3:$W$30=W4)*($X$3:$X$30=X4)*($Y$3:$Y$30&gt;Y4)),"")</f>
        <v>0</v>
      </c>
      <c r="AX4" s="6">
        <f t="shared" ref="AX4:AX26" si="21">IF(B4&lt;&gt;"",SUMPRODUCT(($E$3:$E$30=E4)*($F$3:$F$30=F4)*($G$3:$G$30=G4)*($H$3:$H$30=H4)*($I$3:$I$30=I4)*($J$3:$J$30=J4)*($K$3:$K$30=K4)*($L$3:$L$30=L4)*($M$3:$M$30=M4)*($N$3:$N$30=N4)*($O$3:$O$30=O4)*($P$3:$P$30=P4)*($Q$3:$Q$30=Q4)*($R$3:$R$30=R4)*($S$3:$S$30=S4)*($T$3:$T$30=T4)*($U$3:$U$30=U4)*($V$3:$V$30=V4)*($W$3:$W$30=W4)*($X$3:$X$30=X4)*($Y$3:$Y$30=Y4)*($Z$3:$Z$30&gt;Z4)),"")</f>
        <v>0</v>
      </c>
      <c r="AY4" s="6">
        <f t="shared" ref="AY4:AY26" si="22">IF(B4&lt;&gt;"",SUMPRODUCT(($E$3:$E$30=E4)*($F$3:$F$30=F4)*($G$3:$G$30=G4)*($H$3:$H$30=H4)*($I$3:$I$30=I4)*($J$3:$J$30=J4)*($K$3:$K$30=K4)*($L$3:$L$30=L4)*($M$3:$M$30=M4)*($N$3:$N$30=N4)*($O$3:$O$30=O4)*($P$3:$P$30=P4)*($Q$3:$Q$30=Q4)*($R$3:$R$30=R4)*($S$3:$S$30=S4)*($T$3:$T$30=T4)*($U$3:$U$30=U4)*($V$3:$V$30=V4)*($W$3:$W$30=W4)*($X$3:$X$30=X4)*($Y$3:$Y$30=Y4)*($Z$3:$Z$30=Z4)*($AA$3:$AA$30&gt;AA4)),"")</f>
        <v>0</v>
      </c>
      <c r="AZ4" s="6">
        <f t="shared" ref="AZ4:AZ26" si="23">IF(B4&lt;&gt;"",SUMPRODUCT(($E$3:$E$30=E4)*($F$3:$F$30=F4)*($G$3:$G$30=G4)*($H$3:$H$30=H4)*($I$3:$I$30=I4)*($J$3:$J$30=J4)*($K$3:$K$30=K4)*($L$3:$L$30=L4)*($M$3:$M$30=M4)*($N$3:$N$30=N4)*($O$3:$O$30=O4)*($P$3:$P$30=P4)*($Q$3:$Q$30=Q4)*($R$3:$R$30=R4)*($S$3:$S$30=S4)*($T$3:$T$30=T4)*($U$3:$U$30=U4)*($V$3:$V$30=V4)*($W$3:$W$30=W4)*($X$3:$X$30=X4)*($Y$3:$Y$30=Y4)*($Z$3:$Z$30=Z4)*($AA$3:$AA$30=AA4)*($AB$3:$AB$30&gt;AB4)),"")</f>
        <v>0</v>
      </c>
      <c r="BA4" s="6">
        <f t="shared" ref="BA4:BA26" si="24">IF(B4&lt;&gt;"",SUMPRODUCT(($E$3:$E$30=E4)*($F$3:$F$30=F4)*($G$3:$G$30=G4)*($H$3:$H$30=H4)*($I$3:$I$30=I4)*($J$3:$J$30=J4)*($K$3:$K$30=K4)*($L$3:$L$30=L4)*($M$3:$M$30=M4)*($N$3:$N$30=N4)*($O$3:$O$30=O4)*($P$3:$P$30=P4)*($Q$3:$Q$30=Q4)*($R$3:$R$30=R4)*($S$3:$S$30=S4)*($T$3:$T$30=T4)*($U$3:$U$30=U4)*($V$3:$V$30=V4)*($W$3:$W$30=W4)*($X$3:$X$30=X4)*($Y$3:$Y$30=Y4)*($Z$3:$Z$30=Z4)*($AA$3:$AA$30=AA4)*($AB$3:$AB$30=AB4)*($AC$3:$AC$30&gt;AC4)),"")</f>
        <v>0</v>
      </c>
      <c r="BB4" s="6">
        <f t="shared" ref="BB4:BB30" si="25">IF(B4&lt;&gt;"",SUMPRODUCT(($E$3:$E$30=E4)*($F$3:$F$30=F4)*($G$3:$G$30=G4)*($H$3:$H$30=H4)*($I$3:$I$30=I4)*($J$3:$J$30=J4)*($K$3:$K$30=K4)*($L$3:$L$30=L4)*($M$3:$M$30=M4)*($N$3:$N$30=N4)*($O$3:$O$30=O4)*($P$3:$P$30=P4)*($Q$3:$Q$30=Q4)*($R$3:$R$30=R4)*($S$3:$S$30=S4)*($T$3:$T$30=T4)*($U$3:$U$30=U4)*($V$3:$V$30=V4)*($W$3:$W$30=W4)*($X$3:$X$30=X4)*($Y$3:$Y$30=Y4)*($Z$3:$Z$30=Z4)*($AA$3:$AA$30=AA4)*($AB$3:$AB$30=AB4)*($AC$3:$AC$30=AC4)*($BC$3:$BC$30&lt;BC4)),"")</f>
        <v>0</v>
      </c>
      <c r="BC4" s="6">
        <f>IF(B4&lt;&gt;"",'Equipes e Pilotos'!B4,"")</f>
        <v>2</v>
      </c>
    </row>
    <row r="5" spans="1:55" x14ac:dyDescent="0.2">
      <c r="A5" s="1">
        <f t="shared" si="0"/>
        <v>2</v>
      </c>
      <c r="B5" s="1" t="str">
        <f>IF('Equipes e Pilotos'!C5&lt;&gt;"",'Equipes e Pilotos'!C5,"")</f>
        <v>George Russell</v>
      </c>
      <c r="C5" s="1" t="str">
        <f>IF(B5&lt;&gt;"",VLOOKUP(B5,'Equipes e Pilotos'!$C$3:$F$30,3,FALSE),"")</f>
        <v>Inglaterra</v>
      </c>
      <c r="D5" s="1" t="str">
        <f>IF(B5&lt;&gt;"",VLOOKUP(B5,'Equipes e Pilotos'!$C$3:$F$30,4,FALSE),"")</f>
        <v>Mercedes</v>
      </c>
      <c r="E5" s="1">
        <f>IF(B5&lt;&gt;"",SUMIF(Resultados!C:C,B5,Resultados!F:F),"")</f>
        <v>238</v>
      </c>
      <c r="F5" s="7">
        <f>IF(B5&lt;&gt;"",SUMPRODUCT((Resultados!$B$1:$B$602=1)*(Resultados!$C$1:$C$602=B5)*1),"")</f>
        <v>6</v>
      </c>
      <c r="G5" s="7">
        <f>IF(B5&lt;&gt;"",SUMPRODUCT((Resultados!$B$1:$B$602=2)*(Resultados!$C$1:$C$602=B5)*1),"")</f>
        <v>4</v>
      </c>
      <c r="H5" s="7">
        <f>IF(B5&lt;&gt;"",SUMPRODUCT((Resultados!$B$1:$B$602=3)*(Resultados!$C$1:$C$602=B5)*1),"")</f>
        <v>1</v>
      </c>
      <c r="I5" s="7">
        <f>IF(B5&lt;&gt;"",SUMPRODUCT((Resultados!$B$1:$B$602=4)*(Resultados!$C$1:$C$602=B5)*1),"")</f>
        <v>4</v>
      </c>
      <c r="J5" s="7">
        <f>IF(B5&lt;&gt;"",SUMPRODUCT((Resultados!$B$1:$B$602=5)*(Resultados!$C$1:$C$602=B5)*1),"")</f>
        <v>1</v>
      </c>
      <c r="K5" s="7">
        <f>IF(B5&lt;&gt;"",SUMPRODUCT((Resultados!$B$1:$B$602=6)*(Resultados!$C$1:$C$602=B5)*1),"")</f>
        <v>0</v>
      </c>
      <c r="L5" s="7">
        <f>IF(B5&lt;&gt;"",SUMPRODUCT((Resultados!$B$1:$B$602=7)*(Resultados!$C$1:$C$602=B5)*1),"")</f>
        <v>1</v>
      </c>
      <c r="M5" s="7">
        <f>IF(B5&lt;&gt;"",SUMPRODUCT((Resultados!$B$1:$B$602=8)*(Resultados!$C$1:$C$602=B5)*1),"")</f>
        <v>0</v>
      </c>
      <c r="N5" s="7">
        <f>IF(B5&lt;&gt;"",SUMPRODUCT((Resultados!$B$1:$B$602=9)*(Resultados!$C$1:$C$602=B5)*1),"")</f>
        <v>0</v>
      </c>
      <c r="O5" s="7">
        <f>IF(B5&lt;&gt;"",SUMPRODUCT((Resultados!$B$1:$B$602=10)*(Resultados!$C$1:$C$602=B5)*1),"")</f>
        <v>0</v>
      </c>
      <c r="P5" s="7">
        <f>IF(B5&lt;&gt;"",SUMPRODUCT((Resultados!$B$1:$B$602=11)*(Resultados!$C$1:$C$602=B5)*1),"")</f>
        <v>0</v>
      </c>
      <c r="Q5" s="7">
        <f>IF(B5&lt;&gt;"",SUMPRODUCT((Resultados!$B$1:$B$602=12)*(Resultados!$C$1:$C$602=B5)*1),"")</f>
        <v>1</v>
      </c>
      <c r="R5" s="7">
        <f>IF(B5&lt;&gt;"",SUMPRODUCT((Resultados!$B$1:$B$602=13)*(Resultados!$C$1:$C$602=B5)*1),"")</f>
        <v>1</v>
      </c>
      <c r="S5" s="7">
        <f>IF(B5&lt;&gt;"",SUMPRODUCT((Resultados!$B$1:$B$602=14)*(Resultados!$C$1:$C$602=B5)*1),"")</f>
        <v>0</v>
      </c>
      <c r="T5" s="7">
        <f>IF(B5&lt;&gt;"",SUMPRODUCT((Resultados!$B$1:$B$602=15)*(Resultados!$C$1:$C$602=B5)*1),"")</f>
        <v>0</v>
      </c>
      <c r="U5" s="7">
        <f>IF(B5&lt;&gt;"",SUMPRODUCT((Resultados!$B$1:$B$602=16)*(Resultados!$C$1:$C$602=B5)*1),"")</f>
        <v>0</v>
      </c>
      <c r="V5" s="7">
        <f>IF(B5&lt;&gt;"",SUMPRODUCT((Resultados!$B$1:$B$602=17)*(Resultados!$C$1:$C$602=B5)*1),"")</f>
        <v>0</v>
      </c>
      <c r="W5" s="7">
        <f>IF(B5&lt;&gt;"",SUMPRODUCT((Resultados!$B$1:$B$602=18)*(Resultados!$C$1:$C$602=B5)*1),"")</f>
        <v>0</v>
      </c>
      <c r="X5" s="7">
        <f>IF(B5&lt;&gt;"",SUMPRODUCT((Resultados!$B$1:$B$602=19)*(Resultados!$C$1:$C$602=B5)*1),"")</f>
        <v>1</v>
      </c>
      <c r="Y5" s="7">
        <f>IF(B5&lt;&gt;"",SUMPRODUCT((Resultados!$B$1:$B$602=20)*(Resultados!$C$1:$C$602=B5)*1),"")</f>
        <v>1</v>
      </c>
      <c r="Z5" s="7">
        <f>IF(B5&lt;&gt;"",SUMPRODUCT((Resultados!$B$1:$B$602=21)*(Resultados!$C$1:$C$602=B5)*1),"")</f>
        <v>0</v>
      </c>
      <c r="AA5" s="7">
        <f>IF(B5&lt;&gt;"",SUMPRODUCT((Resultados!$B$1:$B$602=22)*(Resultados!$C$1:$C$602=B5)*1),"")</f>
        <v>1</v>
      </c>
      <c r="AB5" s="7">
        <f>IF(B5&lt;&gt;"",SUMPRODUCT((Resultados!$B$1:$B$602=23)*(Resultados!$C$1:$C$602=B5)*1),"")</f>
        <v>0</v>
      </c>
      <c r="AC5" s="7">
        <f>IF(B5&lt;&gt;"",SUMPRODUCT((Resultados!$B$1:$B$602=24)*(Resultados!$C$1:$C$602=B5)*1),"")</f>
        <v>0</v>
      </c>
      <c r="AD5" s="6">
        <f t="shared" si="1"/>
        <v>0</v>
      </c>
      <c r="AE5" s="6">
        <f t="shared" si="2"/>
        <v>0</v>
      </c>
      <c r="AF5" s="6">
        <f t="shared" si="3"/>
        <v>0</v>
      </c>
      <c r="AG5" s="6">
        <f t="shared" si="4"/>
        <v>0</v>
      </c>
      <c r="AH5" s="6">
        <f t="shared" si="5"/>
        <v>0</v>
      </c>
      <c r="AI5" s="6">
        <f t="shared" si="6"/>
        <v>0</v>
      </c>
      <c r="AJ5" s="6">
        <f t="shared" si="7"/>
        <v>0</v>
      </c>
      <c r="AK5" s="6">
        <f t="shared" si="8"/>
        <v>0</v>
      </c>
      <c r="AL5" s="6">
        <f t="shared" si="9"/>
        <v>0</v>
      </c>
      <c r="AM5" s="6">
        <f t="shared" si="10"/>
        <v>0</v>
      </c>
      <c r="AN5" s="6">
        <f t="shared" si="11"/>
        <v>0</v>
      </c>
      <c r="AO5" s="6">
        <f t="shared" si="12"/>
        <v>0</v>
      </c>
      <c r="AP5" s="6">
        <f t="shared" si="13"/>
        <v>0</v>
      </c>
      <c r="AQ5" s="6">
        <f t="shared" si="14"/>
        <v>0</v>
      </c>
      <c r="AR5" s="6">
        <f t="shared" si="15"/>
        <v>0</v>
      </c>
      <c r="AS5" s="6">
        <f t="shared" si="16"/>
        <v>0</v>
      </c>
      <c r="AT5" s="6">
        <f t="shared" si="17"/>
        <v>0</v>
      </c>
      <c r="AU5" s="6">
        <f t="shared" si="18"/>
        <v>0</v>
      </c>
      <c r="AV5" s="6">
        <f t="shared" si="19"/>
        <v>0</v>
      </c>
      <c r="AW5" s="6">
        <f t="shared" si="20"/>
        <v>0</v>
      </c>
      <c r="AX5" s="6">
        <f t="shared" si="21"/>
        <v>0</v>
      </c>
      <c r="AY5" s="6">
        <f t="shared" si="22"/>
        <v>0</v>
      </c>
      <c r="AZ5" s="6">
        <f t="shared" si="23"/>
        <v>0</v>
      </c>
      <c r="BA5" s="6">
        <f t="shared" si="24"/>
        <v>0</v>
      </c>
      <c r="BB5" s="6">
        <f t="shared" si="25"/>
        <v>0</v>
      </c>
      <c r="BC5" s="6">
        <f>IF(B5&lt;&gt;"",'Equipes e Pilotos'!B5,"")</f>
        <v>3</v>
      </c>
    </row>
    <row r="6" spans="1:55" x14ac:dyDescent="0.2">
      <c r="A6" s="1">
        <f t="shared" si="0"/>
        <v>1</v>
      </c>
      <c r="B6" s="1" t="str">
        <f>IF('Equipes e Pilotos'!C6&lt;&gt;"",'Equipes e Pilotos'!C6,"")</f>
        <v>Kimi Antonelli</v>
      </c>
      <c r="C6" s="1" t="str">
        <f>IF(B6&lt;&gt;"",VLOOKUP(B6,'Equipes e Pilotos'!$C$3:$F$30,3,FALSE),"")</f>
        <v>Itália</v>
      </c>
      <c r="D6" s="1" t="str">
        <f>IF(B6&lt;&gt;"",VLOOKUP(B6,'Equipes e Pilotos'!$C$3:$F$30,4,FALSE),"")</f>
        <v>Mercedes</v>
      </c>
      <c r="E6" s="1">
        <f>IF(B6&lt;&gt;"",SUMIF(Resultados!C:C,B6,Resultados!F:F),"")</f>
        <v>340</v>
      </c>
      <c r="F6" s="7">
        <f>IF(B6&lt;&gt;"",SUMPRODUCT((Resultados!$B$1:$B$602=1)*(Resultados!$C$1:$C$602=B6)*1),"")</f>
        <v>9</v>
      </c>
      <c r="G6" s="7">
        <f>IF(B6&lt;&gt;"",SUMPRODUCT((Resultados!$B$1:$B$602=2)*(Resultados!$C$1:$C$602=B6)*1),"")</f>
        <v>3</v>
      </c>
      <c r="H6" s="7">
        <f>IF(B6&lt;&gt;"",SUMPRODUCT((Resultados!$B$1:$B$602=3)*(Resultados!$C$1:$C$602=B6)*1),"")</f>
        <v>3</v>
      </c>
      <c r="I6" s="7">
        <f>IF(B6&lt;&gt;"",SUMPRODUCT((Resultados!$B$1:$B$602=4)*(Resultados!$C$1:$C$602=B6)*1),"")</f>
        <v>1</v>
      </c>
      <c r="J6" s="7">
        <f>IF(B6&lt;&gt;"",SUMPRODUCT((Resultados!$B$1:$B$602=5)*(Resultados!$C$1:$C$602=B6)*1),"")</f>
        <v>2</v>
      </c>
      <c r="K6" s="7">
        <f>IF(B6&lt;&gt;"",SUMPRODUCT((Resultados!$B$1:$B$602=6)*(Resultados!$C$1:$C$602=B6)*1),"")</f>
        <v>1</v>
      </c>
      <c r="L6" s="7">
        <f>IF(B6&lt;&gt;"",SUMPRODUCT((Resultados!$B$1:$B$602=7)*(Resultados!$C$1:$C$602=B6)*1),"")</f>
        <v>0</v>
      </c>
      <c r="M6" s="7">
        <f>IF(B6&lt;&gt;"",SUMPRODUCT((Resultados!$B$1:$B$602=8)*(Resultados!$C$1:$C$602=B6)*1),"")</f>
        <v>0</v>
      </c>
      <c r="N6" s="7">
        <f>IF(B6&lt;&gt;"",SUMPRODUCT((Resultados!$B$1:$B$602=9)*(Resultados!$C$1:$C$602=B6)*1),"")</f>
        <v>0</v>
      </c>
      <c r="O6" s="7">
        <f>IF(B6&lt;&gt;"",SUMPRODUCT((Resultados!$B$1:$B$602=10)*(Resultados!$C$1:$C$602=B6)*1),"")</f>
        <v>0</v>
      </c>
      <c r="P6" s="7">
        <f>IF(B6&lt;&gt;"",SUMPRODUCT((Resultados!$B$1:$B$602=11)*(Resultados!$C$1:$C$602=B6)*1),"")</f>
        <v>0</v>
      </c>
      <c r="Q6" s="7">
        <f>IF(B6&lt;&gt;"",SUMPRODUCT((Resultados!$B$1:$B$602=12)*(Resultados!$C$1:$C$602=B6)*1),"")</f>
        <v>0</v>
      </c>
      <c r="R6" s="7">
        <f>IF(B6&lt;&gt;"",SUMPRODUCT((Resultados!$B$1:$B$602=13)*(Resultados!$C$1:$C$602=B6)*1),"")</f>
        <v>0</v>
      </c>
      <c r="S6" s="7">
        <f>IF(B6&lt;&gt;"",SUMPRODUCT((Resultados!$B$1:$B$602=14)*(Resultados!$C$1:$C$602=B6)*1),"")</f>
        <v>0</v>
      </c>
      <c r="T6" s="7">
        <f>IF(B6&lt;&gt;"",SUMPRODUCT((Resultados!$B$1:$B$602=15)*(Resultados!$C$1:$C$602=B6)*1),"")</f>
        <v>1</v>
      </c>
      <c r="U6" s="7">
        <f>IF(B6&lt;&gt;"",SUMPRODUCT((Resultados!$B$1:$B$602=16)*(Resultados!$C$1:$C$602=B6)*1),"")</f>
        <v>1</v>
      </c>
      <c r="V6" s="7">
        <f>IF(B6&lt;&gt;"",SUMPRODUCT((Resultados!$B$1:$B$602=17)*(Resultados!$C$1:$C$602=B6)*1),"")</f>
        <v>0</v>
      </c>
      <c r="W6" s="7">
        <f>IF(B6&lt;&gt;"",SUMPRODUCT((Resultados!$B$1:$B$602=18)*(Resultados!$C$1:$C$602=B6)*1),"")</f>
        <v>0</v>
      </c>
      <c r="X6" s="7">
        <f>IF(B6&lt;&gt;"",SUMPRODUCT((Resultados!$B$1:$B$602=19)*(Resultados!$C$1:$C$602=B6)*1),"")</f>
        <v>0</v>
      </c>
      <c r="Y6" s="7">
        <f>IF(B6&lt;&gt;"",SUMPRODUCT((Resultados!$B$1:$B$602=20)*(Resultados!$C$1:$C$602=B6)*1),"")</f>
        <v>0</v>
      </c>
      <c r="Z6" s="7">
        <f>IF(B6&lt;&gt;"",SUMPRODUCT((Resultados!$B$1:$B$602=21)*(Resultados!$C$1:$C$602=B6)*1),"")</f>
        <v>0</v>
      </c>
      <c r="AA6" s="7">
        <f>IF(B6&lt;&gt;"",SUMPRODUCT((Resultados!$B$1:$B$602=22)*(Resultados!$C$1:$C$602=B6)*1),"")</f>
        <v>0</v>
      </c>
      <c r="AB6" s="7">
        <f>IF(B6&lt;&gt;"",SUMPRODUCT((Resultados!$B$1:$B$602=23)*(Resultados!$C$1:$C$602=B6)*1),"")</f>
        <v>0</v>
      </c>
      <c r="AC6" s="7">
        <f>IF(B6&lt;&gt;"",SUMPRODUCT((Resultados!$B$1:$B$602=24)*(Resultados!$C$1:$C$602=B6)*1),"")</f>
        <v>0</v>
      </c>
      <c r="AD6" s="6">
        <f t="shared" si="1"/>
        <v>0</v>
      </c>
      <c r="AE6" s="6">
        <f t="shared" si="2"/>
        <v>0</v>
      </c>
      <c r="AF6" s="6">
        <f t="shared" si="3"/>
        <v>0</v>
      </c>
      <c r="AG6" s="6">
        <f t="shared" si="4"/>
        <v>0</v>
      </c>
      <c r="AH6" s="6">
        <f t="shared" si="5"/>
        <v>0</v>
      </c>
      <c r="AI6" s="6">
        <f t="shared" si="6"/>
        <v>0</v>
      </c>
      <c r="AJ6" s="6">
        <f t="shared" si="7"/>
        <v>0</v>
      </c>
      <c r="AK6" s="6">
        <f t="shared" si="8"/>
        <v>0</v>
      </c>
      <c r="AL6" s="6">
        <f t="shared" si="9"/>
        <v>0</v>
      </c>
      <c r="AM6" s="6">
        <f t="shared" si="10"/>
        <v>0</v>
      </c>
      <c r="AN6" s="6">
        <f t="shared" si="11"/>
        <v>0</v>
      </c>
      <c r="AO6" s="6">
        <f t="shared" si="12"/>
        <v>0</v>
      </c>
      <c r="AP6" s="6">
        <f t="shared" si="13"/>
        <v>0</v>
      </c>
      <c r="AQ6" s="6">
        <f t="shared" si="14"/>
        <v>0</v>
      </c>
      <c r="AR6" s="6">
        <f t="shared" si="15"/>
        <v>0</v>
      </c>
      <c r="AS6" s="6">
        <f t="shared" si="16"/>
        <v>0</v>
      </c>
      <c r="AT6" s="6">
        <f t="shared" si="17"/>
        <v>0</v>
      </c>
      <c r="AU6" s="6">
        <f t="shared" si="18"/>
        <v>0</v>
      </c>
      <c r="AV6" s="6">
        <f t="shared" si="19"/>
        <v>0</v>
      </c>
      <c r="AW6" s="6">
        <f t="shared" si="20"/>
        <v>0</v>
      </c>
      <c r="AX6" s="6">
        <f t="shared" si="21"/>
        <v>0</v>
      </c>
      <c r="AY6" s="6">
        <f t="shared" si="22"/>
        <v>0</v>
      </c>
      <c r="AZ6" s="6">
        <f t="shared" si="23"/>
        <v>0</v>
      </c>
      <c r="BA6" s="6">
        <f t="shared" si="24"/>
        <v>0</v>
      </c>
      <c r="BB6" s="6">
        <f t="shared" si="25"/>
        <v>0</v>
      </c>
      <c r="BC6" s="6">
        <f>IF(B6&lt;&gt;"",'Equipes e Pilotos'!B6,"")</f>
        <v>4</v>
      </c>
    </row>
    <row r="7" spans="1:55" x14ac:dyDescent="0.2">
      <c r="A7" s="1">
        <f t="shared" si="0"/>
        <v>4</v>
      </c>
      <c r="B7" s="1" t="str">
        <f>IF('Equipes e Pilotos'!C7&lt;&gt;"",'Equipes e Pilotos'!C7,"")</f>
        <v>Max Verstappen</v>
      </c>
      <c r="C7" s="1" t="str">
        <f>IF(B7&lt;&gt;"",VLOOKUP(B7,'Equipes e Pilotos'!$C$3:$F$30,3,FALSE),"")</f>
        <v>Holanda</v>
      </c>
      <c r="D7" s="1" t="str">
        <f>IF(B7&lt;&gt;"",VLOOKUP(B7,'Equipes e Pilotos'!$C$3:$F$30,4,FALSE),"")</f>
        <v>Red Bull</v>
      </c>
      <c r="E7" s="1">
        <f>IF(B7&lt;&gt;"",SUMIF(Resultados!C:C,B7,Resultados!F:F),"")</f>
        <v>221</v>
      </c>
      <c r="F7" s="7">
        <f>IF(B7&lt;&gt;"",SUMPRODUCT((Resultados!$B$1:$B$602=1)*(Resultados!$C$1:$C$602=B7)*1),"")</f>
        <v>1</v>
      </c>
      <c r="G7" s="7">
        <f>IF(B7&lt;&gt;"",SUMPRODUCT((Resultados!$B$1:$B$602=2)*(Resultados!$C$1:$C$602=B7)*1),"")</f>
        <v>4</v>
      </c>
      <c r="H7" s="7">
        <f>IF(B7&lt;&gt;"",SUMPRODUCT((Resultados!$B$1:$B$602=3)*(Resultados!$C$1:$C$602=B7)*1),"")</f>
        <v>3</v>
      </c>
      <c r="I7" s="7">
        <f>IF(B7&lt;&gt;"",SUMPRODUCT((Resultados!$B$1:$B$602=4)*(Resultados!$C$1:$C$602=B7)*1),"")</f>
        <v>1</v>
      </c>
      <c r="J7" s="7">
        <f>IF(B7&lt;&gt;"",SUMPRODUCT((Resultados!$B$1:$B$602=5)*(Resultados!$C$1:$C$602=B7)*1),"")</f>
        <v>2</v>
      </c>
      <c r="K7" s="7">
        <f>IF(B7&lt;&gt;"",SUMPRODUCT((Resultados!$B$1:$B$602=6)*(Resultados!$C$1:$C$602=B7)*1),"")</f>
        <v>3</v>
      </c>
      <c r="L7" s="7">
        <f>IF(B7&lt;&gt;"",SUMPRODUCT((Resultados!$B$1:$B$602=7)*(Resultados!$C$1:$C$602=B7)*1),"")</f>
        <v>1</v>
      </c>
      <c r="M7" s="7">
        <f>IF(B7&lt;&gt;"",SUMPRODUCT((Resultados!$B$1:$B$602=8)*(Resultados!$C$1:$C$602=B7)*1),"")</f>
        <v>1</v>
      </c>
      <c r="N7" s="7">
        <f>IF(B7&lt;&gt;"",SUMPRODUCT((Resultados!$B$1:$B$602=9)*(Resultados!$C$1:$C$602=B7)*1),"")</f>
        <v>1</v>
      </c>
      <c r="O7" s="7">
        <f>IF(B7&lt;&gt;"",SUMPRODUCT((Resultados!$B$1:$B$602=10)*(Resultados!$C$1:$C$602=B7)*1),"")</f>
        <v>0</v>
      </c>
      <c r="P7" s="7">
        <f>IF(B7&lt;&gt;"",SUMPRODUCT((Resultados!$B$1:$B$602=11)*(Resultados!$C$1:$C$602=B7)*1),"")</f>
        <v>0</v>
      </c>
      <c r="Q7" s="7">
        <f>IF(B7&lt;&gt;"",SUMPRODUCT((Resultados!$B$1:$B$602=12)*(Resultados!$C$1:$C$602=B7)*1),"")</f>
        <v>0</v>
      </c>
      <c r="R7" s="7">
        <f>IF(B7&lt;&gt;"",SUMPRODUCT((Resultados!$B$1:$B$602=13)*(Resultados!$C$1:$C$602=B7)*1),"")</f>
        <v>0</v>
      </c>
      <c r="S7" s="7">
        <f>IF(B7&lt;&gt;"",SUMPRODUCT((Resultados!$B$1:$B$602=14)*(Resultados!$C$1:$C$602=B7)*1),"")</f>
        <v>0</v>
      </c>
      <c r="T7" s="7">
        <f>IF(B7&lt;&gt;"",SUMPRODUCT((Resultados!$B$1:$B$602=15)*(Resultados!$C$1:$C$602=B7)*1),"")</f>
        <v>0</v>
      </c>
      <c r="U7" s="7">
        <f>IF(B7&lt;&gt;"",SUMPRODUCT((Resultados!$B$1:$B$602=16)*(Resultados!$C$1:$C$602=B7)*1),"")</f>
        <v>1</v>
      </c>
      <c r="V7" s="7">
        <f>IF(B7&lt;&gt;"",SUMPRODUCT((Resultados!$B$1:$B$602=17)*(Resultados!$C$1:$C$602=B7)*1),"")</f>
        <v>0</v>
      </c>
      <c r="W7" s="7">
        <f>IF(B7&lt;&gt;"",SUMPRODUCT((Resultados!$B$1:$B$602=18)*(Resultados!$C$1:$C$602=B7)*1),"")</f>
        <v>0</v>
      </c>
      <c r="X7" s="7">
        <f>IF(B7&lt;&gt;"",SUMPRODUCT((Resultados!$B$1:$B$602=19)*(Resultados!$C$1:$C$602=B7)*1),"")</f>
        <v>0</v>
      </c>
      <c r="Y7" s="7">
        <f>IF(B7&lt;&gt;"",SUMPRODUCT((Resultados!$B$1:$B$602=20)*(Resultados!$C$1:$C$602=B7)*1),"")</f>
        <v>1</v>
      </c>
      <c r="Z7" s="7">
        <f>IF(B7&lt;&gt;"",SUMPRODUCT((Resultados!$B$1:$B$602=21)*(Resultados!$C$1:$C$602=B7)*1),"")</f>
        <v>0</v>
      </c>
      <c r="AA7" s="7">
        <f>IF(B7&lt;&gt;"",SUMPRODUCT((Resultados!$B$1:$B$602=22)*(Resultados!$C$1:$C$602=B7)*1),"")</f>
        <v>2</v>
      </c>
      <c r="AB7" s="7">
        <f>IF(B7&lt;&gt;"",SUMPRODUCT((Resultados!$B$1:$B$602=23)*(Resultados!$C$1:$C$602=B7)*1),"")</f>
        <v>0</v>
      </c>
      <c r="AC7" s="7">
        <f>IF(B7&lt;&gt;"",SUMPRODUCT((Resultados!$B$1:$B$602=24)*(Resultados!$C$1:$C$602=B7)*1),"")</f>
        <v>0</v>
      </c>
      <c r="AD7" s="6">
        <f t="shared" si="1"/>
        <v>0</v>
      </c>
      <c r="AE7" s="6">
        <f t="shared" si="2"/>
        <v>0</v>
      </c>
      <c r="AF7" s="6">
        <f t="shared" si="3"/>
        <v>0</v>
      </c>
      <c r="AG7" s="6">
        <f t="shared" si="4"/>
        <v>0</v>
      </c>
      <c r="AH7" s="6">
        <f t="shared" si="5"/>
        <v>0</v>
      </c>
      <c r="AI7" s="6">
        <f t="shared" si="6"/>
        <v>0</v>
      </c>
      <c r="AJ7" s="6">
        <f t="shared" si="7"/>
        <v>0</v>
      </c>
      <c r="AK7" s="6">
        <f t="shared" si="8"/>
        <v>0</v>
      </c>
      <c r="AL7" s="6">
        <f t="shared" si="9"/>
        <v>0</v>
      </c>
      <c r="AM7" s="6">
        <f t="shared" si="10"/>
        <v>0</v>
      </c>
      <c r="AN7" s="6">
        <f t="shared" si="11"/>
        <v>0</v>
      </c>
      <c r="AO7" s="6">
        <f t="shared" si="12"/>
        <v>0</v>
      </c>
      <c r="AP7" s="6">
        <f t="shared" si="13"/>
        <v>0</v>
      </c>
      <c r="AQ7" s="6">
        <f t="shared" si="14"/>
        <v>0</v>
      </c>
      <c r="AR7" s="6">
        <f t="shared" si="15"/>
        <v>0</v>
      </c>
      <c r="AS7" s="6">
        <f t="shared" si="16"/>
        <v>0</v>
      </c>
      <c r="AT7" s="6">
        <f t="shared" si="17"/>
        <v>0</v>
      </c>
      <c r="AU7" s="6">
        <f t="shared" si="18"/>
        <v>0</v>
      </c>
      <c r="AV7" s="6">
        <f t="shared" si="19"/>
        <v>0</v>
      </c>
      <c r="AW7" s="6">
        <f t="shared" si="20"/>
        <v>0</v>
      </c>
      <c r="AX7" s="6">
        <f t="shared" si="21"/>
        <v>0</v>
      </c>
      <c r="AY7" s="6">
        <f t="shared" si="22"/>
        <v>0</v>
      </c>
      <c r="AZ7" s="6">
        <f t="shared" si="23"/>
        <v>0</v>
      </c>
      <c r="BA7" s="6">
        <f t="shared" si="24"/>
        <v>0</v>
      </c>
      <c r="BB7" s="6">
        <f t="shared" si="25"/>
        <v>0</v>
      </c>
      <c r="BC7" s="6">
        <f>IF(B7&lt;&gt;"",'Equipes e Pilotos'!B7,"")</f>
        <v>5</v>
      </c>
    </row>
    <row r="8" spans="1:55" x14ac:dyDescent="0.2">
      <c r="A8" s="1">
        <f t="shared" si="0"/>
        <v>8</v>
      </c>
      <c r="B8" s="1" t="str">
        <f>IF('Equipes e Pilotos'!C8&lt;&gt;"",'Equipes e Pilotos'!C8,"")</f>
        <v>Isack Hadjar</v>
      </c>
      <c r="C8" s="1" t="str">
        <f>IF(B8&lt;&gt;"",VLOOKUP(B8,'Equipes e Pilotos'!$C$3:$F$30,3,FALSE),"")</f>
        <v>França</v>
      </c>
      <c r="D8" s="1" t="str">
        <f>IF(B8&lt;&gt;"",VLOOKUP(B8,'Equipes e Pilotos'!$C$3:$F$30,4,FALSE),"")</f>
        <v>Red Bull</v>
      </c>
      <c r="E8" s="1">
        <f>IF(B8&lt;&gt;"",SUMIF(Resultados!C:C,B8,Resultados!F:F),"")</f>
        <v>97</v>
      </c>
      <c r="F8" s="7">
        <f>IF(B8&lt;&gt;"",SUMPRODUCT((Resultados!$B$1:$B$602=1)*(Resultados!$C$1:$C$602=B8)*1),"")</f>
        <v>0</v>
      </c>
      <c r="G8" s="7">
        <f>IF(B8&lt;&gt;"",SUMPRODUCT((Resultados!$B$1:$B$602=2)*(Resultados!$C$1:$C$602=B8)*1),"")</f>
        <v>0</v>
      </c>
      <c r="H8" s="7">
        <f>IF(B8&lt;&gt;"",SUMPRODUCT((Resultados!$B$1:$B$602=3)*(Resultados!$C$1:$C$602=B8)*1),"")</f>
        <v>2</v>
      </c>
      <c r="I8" s="7">
        <f>IF(B8&lt;&gt;"",SUMPRODUCT((Resultados!$B$1:$B$602=4)*(Resultados!$C$1:$C$602=B8)*1),"")</f>
        <v>0</v>
      </c>
      <c r="J8" s="7">
        <f>IF(B8&lt;&gt;"",SUMPRODUCT((Resultados!$B$1:$B$602=5)*(Resultados!$C$1:$C$602=B8)*1),"")</f>
        <v>3</v>
      </c>
      <c r="K8" s="7">
        <f>IF(B8&lt;&gt;"",SUMPRODUCT((Resultados!$B$1:$B$602=6)*(Resultados!$C$1:$C$602=B8)*1),"")</f>
        <v>4</v>
      </c>
      <c r="L8" s="7">
        <f>IF(B8&lt;&gt;"",SUMPRODUCT((Resultados!$B$1:$B$602=7)*(Resultados!$C$1:$C$602=B8)*1),"")</f>
        <v>0</v>
      </c>
      <c r="M8" s="7">
        <f>IF(B8&lt;&gt;"",SUMPRODUCT((Resultados!$B$1:$B$602=8)*(Resultados!$C$1:$C$602=B8)*1),"")</f>
        <v>1</v>
      </c>
      <c r="N8" s="7">
        <f>IF(B8&lt;&gt;"",SUMPRODUCT((Resultados!$B$1:$B$602=9)*(Resultados!$C$1:$C$602=B8)*1),"")</f>
        <v>2</v>
      </c>
      <c r="O8" s="7">
        <f>IF(B8&lt;&gt;"",SUMPRODUCT((Resultados!$B$1:$B$602=10)*(Resultados!$C$1:$C$602=B8)*1),"")</f>
        <v>0</v>
      </c>
      <c r="P8" s="7">
        <f>IF(B8&lt;&gt;"",SUMPRODUCT((Resultados!$B$1:$B$602=11)*(Resultados!$C$1:$C$602=B8)*1),"")</f>
        <v>0</v>
      </c>
      <c r="Q8" s="7">
        <f>IF(B8&lt;&gt;"",SUMPRODUCT((Resultados!$B$1:$B$602=12)*(Resultados!$C$1:$C$602=B8)*1),"")</f>
        <v>1</v>
      </c>
      <c r="R8" s="7">
        <f>IF(B8&lt;&gt;"",SUMPRODUCT((Resultados!$B$1:$B$602=13)*(Resultados!$C$1:$C$602=B8)*1),"")</f>
        <v>0</v>
      </c>
      <c r="S8" s="7">
        <f>IF(B8&lt;&gt;"",SUMPRODUCT((Resultados!$B$1:$B$602=14)*(Resultados!$C$1:$C$602=B8)*1),"")</f>
        <v>0</v>
      </c>
      <c r="T8" s="7">
        <f>IF(B8&lt;&gt;"",SUMPRODUCT((Resultados!$B$1:$B$602=15)*(Resultados!$C$1:$C$602=B8)*1),"")</f>
        <v>1</v>
      </c>
      <c r="U8" s="7">
        <f>IF(B8&lt;&gt;"",SUMPRODUCT((Resultados!$B$1:$B$602=16)*(Resultados!$C$1:$C$602=B8)*1),"")</f>
        <v>0</v>
      </c>
      <c r="V8" s="7">
        <f>IF(B8&lt;&gt;"",SUMPRODUCT((Resultados!$B$1:$B$602=17)*(Resultados!$C$1:$C$602=B8)*1),"")</f>
        <v>0</v>
      </c>
      <c r="W8" s="7">
        <f>IF(B8&lt;&gt;"",SUMPRODUCT((Resultados!$B$1:$B$602=18)*(Resultados!$C$1:$C$602=B8)*1),"")</f>
        <v>0</v>
      </c>
      <c r="X8" s="7">
        <f>IF(B8&lt;&gt;"",SUMPRODUCT((Resultados!$B$1:$B$602=19)*(Resultados!$C$1:$C$602=B8)*1),"")</f>
        <v>0</v>
      </c>
      <c r="Y8" s="7">
        <f>IF(B8&lt;&gt;"",SUMPRODUCT((Resultados!$B$1:$B$602=20)*(Resultados!$C$1:$C$602=B8)*1),"")</f>
        <v>1</v>
      </c>
      <c r="Z8" s="7">
        <f>IF(B8&lt;&gt;"",SUMPRODUCT((Resultados!$B$1:$B$602=21)*(Resultados!$C$1:$C$602=B8)*1),"")</f>
        <v>1</v>
      </c>
      <c r="AA8" s="7">
        <f>IF(B8&lt;&gt;"",SUMPRODUCT((Resultados!$B$1:$B$602=22)*(Resultados!$C$1:$C$602=B8)*1),"")</f>
        <v>1</v>
      </c>
      <c r="AB8" s="7">
        <f>IF(B8&lt;&gt;"",SUMPRODUCT((Resultados!$B$1:$B$602=23)*(Resultados!$C$1:$C$602=B8)*1),"")</f>
        <v>0</v>
      </c>
      <c r="AC8" s="7">
        <f>IF(B8&lt;&gt;"",SUMPRODUCT((Resultados!$B$1:$B$602=24)*(Resultados!$C$1:$C$602=B8)*1),"")</f>
        <v>0</v>
      </c>
      <c r="AD8" s="6">
        <f t="shared" si="1"/>
        <v>0</v>
      </c>
      <c r="AE8" s="6">
        <f t="shared" si="2"/>
        <v>0</v>
      </c>
      <c r="AF8" s="6">
        <f t="shared" si="3"/>
        <v>0</v>
      </c>
      <c r="AG8" s="6">
        <f t="shared" si="4"/>
        <v>0</v>
      </c>
      <c r="AH8" s="6">
        <f t="shared" si="5"/>
        <v>0</v>
      </c>
      <c r="AI8" s="6">
        <f t="shared" si="6"/>
        <v>0</v>
      </c>
      <c r="AJ8" s="6">
        <f t="shared" si="7"/>
        <v>0</v>
      </c>
      <c r="AK8" s="6">
        <f t="shared" si="8"/>
        <v>0</v>
      </c>
      <c r="AL8" s="6">
        <f t="shared" si="9"/>
        <v>0</v>
      </c>
      <c r="AM8" s="6">
        <f t="shared" si="10"/>
        <v>0</v>
      </c>
      <c r="AN8" s="6">
        <f t="shared" si="11"/>
        <v>0</v>
      </c>
      <c r="AO8" s="6">
        <f t="shared" si="12"/>
        <v>0</v>
      </c>
      <c r="AP8" s="6">
        <f t="shared" si="13"/>
        <v>0</v>
      </c>
      <c r="AQ8" s="6">
        <f t="shared" si="14"/>
        <v>0</v>
      </c>
      <c r="AR8" s="6">
        <f t="shared" si="15"/>
        <v>0</v>
      </c>
      <c r="AS8" s="6">
        <f t="shared" si="16"/>
        <v>0</v>
      </c>
      <c r="AT8" s="6">
        <f t="shared" si="17"/>
        <v>0</v>
      </c>
      <c r="AU8" s="6">
        <f t="shared" si="18"/>
        <v>0</v>
      </c>
      <c r="AV8" s="6">
        <f t="shared" si="19"/>
        <v>0</v>
      </c>
      <c r="AW8" s="6">
        <f t="shared" si="20"/>
        <v>0</v>
      </c>
      <c r="AX8" s="6">
        <f t="shared" si="21"/>
        <v>0</v>
      </c>
      <c r="AY8" s="6">
        <f t="shared" si="22"/>
        <v>0</v>
      </c>
      <c r="AZ8" s="6">
        <f t="shared" si="23"/>
        <v>0</v>
      </c>
      <c r="BA8" s="6">
        <f t="shared" si="24"/>
        <v>0</v>
      </c>
      <c r="BB8" s="6">
        <f t="shared" si="25"/>
        <v>0</v>
      </c>
      <c r="BC8" s="6">
        <f>IF(B8&lt;&gt;"",'Equipes e Pilotos'!B8,"")</f>
        <v>6</v>
      </c>
    </row>
    <row r="9" spans="1:55" x14ac:dyDescent="0.2">
      <c r="A9" s="1">
        <f t="shared" si="0"/>
        <v>5</v>
      </c>
      <c r="B9" s="1" t="str">
        <f>IF('Equipes e Pilotos'!C9&lt;&gt;"",'Equipes e Pilotos'!C9,"")</f>
        <v>Charles Leclerc</v>
      </c>
      <c r="C9" s="1" t="str">
        <f>IF(B9&lt;&gt;"",VLOOKUP(B9,'Equipes e Pilotos'!$C$3:$F$30,3,FALSE),"")</f>
        <v>Mônaco</v>
      </c>
      <c r="D9" s="1" t="str">
        <f>IF(B9&lt;&gt;"",VLOOKUP(B9,'Equipes e Pilotos'!$C$3:$F$30,4,FALSE),"")</f>
        <v>Ferrari</v>
      </c>
      <c r="E9" s="1">
        <f>IF(B9&lt;&gt;"",SUMIF(Resultados!C:C,B9,Resultados!F:F),"")</f>
        <v>215</v>
      </c>
      <c r="F9" s="7">
        <f>IF(B9&lt;&gt;"",SUMPRODUCT((Resultados!$B$1:$B$602=1)*(Resultados!$C$1:$C$602=B9)*1),"")</f>
        <v>1</v>
      </c>
      <c r="G9" s="7">
        <f>IF(B9&lt;&gt;"",SUMPRODUCT((Resultados!$B$1:$B$602=2)*(Resultados!$C$1:$C$602=B9)*1),"")</f>
        <v>3</v>
      </c>
      <c r="H9" s="7">
        <f>IF(B9&lt;&gt;"",SUMPRODUCT((Resultados!$B$1:$B$602=3)*(Resultados!$C$1:$C$602=B9)*1),"")</f>
        <v>3</v>
      </c>
      <c r="I9" s="7">
        <f>IF(B9&lt;&gt;"",SUMPRODUCT((Resultados!$B$1:$B$602=4)*(Resultados!$C$1:$C$602=B9)*1),"")</f>
        <v>6</v>
      </c>
      <c r="J9" s="7">
        <f>IF(B9&lt;&gt;"",SUMPRODUCT((Resultados!$B$1:$B$602=5)*(Resultados!$C$1:$C$602=B9)*1),"")</f>
        <v>3</v>
      </c>
      <c r="K9" s="7">
        <f>IF(B9&lt;&gt;"",SUMPRODUCT((Resultados!$B$1:$B$602=6)*(Resultados!$C$1:$C$602=B9)*1),"")</f>
        <v>0</v>
      </c>
      <c r="L9" s="7">
        <f>IF(B9&lt;&gt;"",SUMPRODUCT((Resultados!$B$1:$B$602=7)*(Resultados!$C$1:$C$602=B9)*1),"")</f>
        <v>0</v>
      </c>
      <c r="M9" s="7">
        <f>IF(B9&lt;&gt;"",SUMPRODUCT((Resultados!$B$1:$B$602=8)*(Resultados!$C$1:$C$602=B9)*1),"")</f>
        <v>2</v>
      </c>
      <c r="N9" s="7">
        <f>IF(B9&lt;&gt;"",SUMPRODUCT((Resultados!$B$1:$B$602=9)*(Resultados!$C$1:$C$602=B9)*1),"")</f>
        <v>0</v>
      </c>
      <c r="O9" s="7">
        <f>IF(B9&lt;&gt;"",SUMPRODUCT((Resultados!$B$1:$B$602=10)*(Resultados!$C$1:$C$602=B9)*1),"")</f>
        <v>0</v>
      </c>
      <c r="P9" s="7">
        <f>IF(B9&lt;&gt;"",SUMPRODUCT((Resultados!$B$1:$B$602=11)*(Resultados!$C$1:$C$602=B9)*1),"")</f>
        <v>0</v>
      </c>
      <c r="Q9" s="7">
        <f>IF(B9&lt;&gt;"",SUMPRODUCT((Resultados!$B$1:$B$602=12)*(Resultados!$C$1:$C$602=B9)*1),"")</f>
        <v>0</v>
      </c>
      <c r="R9" s="7">
        <f>IF(B9&lt;&gt;"",SUMPRODUCT((Resultados!$B$1:$B$602=13)*(Resultados!$C$1:$C$602=B9)*1),"")</f>
        <v>0</v>
      </c>
      <c r="S9" s="7">
        <f>IF(B9&lt;&gt;"",SUMPRODUCT((Resultados!$B$1:$B$602=14)*(Resultados!$C$1:$C$602=B9)*1),"")</f>
        <v>0</v>
      </c>
      <c r="T9" s="7">
        <f>IF(B9&lt;&gt;"",SUMPRODUCT((Resultados!$B$1:$B$602=15)*(Resultados!$C$1:$C$602=B9)*1),"")</f>
        <v>1</v>
      </c>
      <c r="U9" s="7">
        <f>IF(B9&lt;&gt;"",SUMPRODUCT((Resultados!$B$1:$B$602=16)*(Resultados!$C$1:$C$602=B9)*1),"")</f>
        <v>0</v>
      </c>
      <c r="V9" s="7">
        <f>IF(B9&lt;&gt;"",SUMPRODUCT((Resultados!$B$1:$B$602=17)*(Resultados!$C$1:$C$602=B9)*1),"")</f>
        <v>1</v>
      </c>
      <c r="W9" s="7">
        <f>IF(B9&lt;&gt;"",SUMPRODUCT((Resultados!$B$1:$B$602=18)*(Resultados!$C$1:$C$602=B9)*1),"")</f>
        <v>0</v>
      </c>
      <c r="X9" s="7">
        <f>IF(B9&lt;&gt;"",SUMPRODUCT((Resultados!$B$1:$B$602=19)*(Resultados!$C$1:$C$602=B9)*1),"")</f>
        <v>0</v>
      </c>
      <c r="Y9" s="7">
        <f>IF(B9&lt;&gt;"",SUMPRODUCT((Resultados!$B$1:$B$602=20)*(Resultados!$C$1:$C$602=B9)*1),"")</f>
        <v>0</v>
      </c>
      <c r="Z9" s="7">
        <f>IF(B9&lt;&gt;"",SUMPRODUCT((Resultados!$B$1:$B$602=21)*(Resultados!$C$1:$C$602=B9)*1),"")</f>
        <v>0</v>
      </c>
      <c r="AA9" s="7">
        <f>IF(B9&lt;&gt;"",SUMPRODUCT((Resultados!$B$1:$B$602=22)*(Resultados!$C$1:$C$602=B9)*1),"")</f>
        <v>1</v>
      </c>
      <c r="AB9" s="7">
        <f>IF(B9&lt;&gt;"",SUMPRODUCT((Resultados!$B$1:$B$602=23)*(Resultados!$C$1:$C$602=B9)*1),"")</f>
        <v>0</v>
      </c>
      <c r="AC9" s="7">
        <f>IF(B9&lt;&gt;"",SUMPRODUCT((Resultados!$B$1:$B$602=24)*(Resultados!$C$1:$C$602=B9)*1),"")</f>
        <v>0</v>
      </c>
      <c r="AD9" s="6">
        <f t="shared" si="1"/>
        <v>0</v>
      </c>
      <c r="AE9" s="6">
        <f t="shared" si="2"/>
        <v>0</v>
      </c>
      <c r="AF9" s="6">
        <f t="shared" si="3"/>
        <v>0</v>
      </c>
      <c r="AG9" s="6">
        <f t="shared" si="4"/>
        <v>0</v>
      </c>
      <c r="AH9" s="6">
        <f t="shared" si="5"/>
        <v>0</v>
      </c>
      <c r="AI9" s="6">
        <f t="shared" si="6"/>
        <v>0</v>
      </c>
      <c r="AJ9" s="6">
        <f t="shared" si="7"/>
        <v>0</v>
      </c>
      <c r="AK9" s="6">
        <f t="shared" si="8"/>
        <v>0</v>
      </c>
      <c r="AL9" s="6">
        <f t="shared" si="9"/>
        <v>0</v>
      </c>
      <c r="AM9" s="6">
        <f t="shared" si="10"/>
        <v>0</v>
      </c>
      <c r="AN9" s="6">
        <f t="shared" si="11"/>
        <v>0</v>
      </c>
      <c r="AO9" s="6">
        <f t="shared" si="12"/>
        <v>0</v>
      </c>
      <c r="AP9" s="6">
        <f t="shared" si="13"/>
        <v>0</v>
      </c>
      <c r="AQ9" s="6">
        <f t="shared" si="14"/>
        <v>0</v>
      </c>
      <c r="AR9" s="6">
        <f t="shared" si="15"/>
        <v>0</v>
      </c>
      <c r="AS9" s="6">
        <f t="shared" si="16"/>
        <v>0</v>
      </c>
      <c r="AT9" s="6">
        <f t="shared" si="17"/>
        <v>0</v>
      </c>
      <c r="AU9" s="6">
        <f t="shared" si="18"/>
        <v>0</v>
      </c>
      <c r="AV9" s="6">
        <f t="shared" si="19"/>
        <v>0</v>
      </c>
      <c r="AW9" s="6">
        <f t="shared" si="20"/>
        <v>0</v>
      </c>
      <c r="AX9" s="6">
        <f t="shared" si="21"/>
        <v>0</v>
      </c>
      <c r="AY9" s="6">
        <f t="shared" si="22"/>
        <v>0</v>
      </c>
      <c r="AZ9" s="6">
        <f t="shared" si="23"/>
        <v>0</v>
      </c>
      <c r="BA9" s="6">
        <f t="shared" si="24"/>
        <v>0</v>
      </c>
      <c r="BB9" s="6">
        <f t="shared" si="25"/>
        <v>0</v>
      </c>
      <c r="BC9" s="6">
        <f>IF(B9&lt;&gt;"",'Equipes e Pilotos'!B9,"")</f>
        <v>7</v>
      </c>
    </row>
    <row r="10" spans="1:55" x14ac:dyDescent="0.2">
      <c r="A10" s="1">
        <f t="shared" si="0"/>
        <v>3</v>
      </c>
      <c r="B10" s="1" t="str">
        <f>IF('Equipes e Pilotos'!C10&lt;&gt;"",'Equipes e Pilotos'!C10,"")</f>
        <v>Lewis Hamilton</v>
      </c>
      <c r="C10" s="1" t="str">
        <f>IF(B10&lt;&gt;"",VLOOKUP(B10,'Equipes e Pilotos'!$C$3:$F$30,3,FALSE),"")</f>
        <v>Inglaterra</v>
      </c>
      <c r="D10" s="1" t="str">
        <f>IF(B10&lt;&gt;"",VLOOKUP(B10,'Equipes e Pilotos'!$C$3:$F$30,4,FALSE),"")</f>
        <v>Ferrari</v>
      </c>
      <c r="E10" s="1">
        <f>IF(B10&lt;&gt;"",SUMIF(Resultados!C:C,B10,Resultados!F:F),"")</f>
        <v>229</v>
      </c>
      <c r="F10" s="7">
        <f>IF(B10&lt;&gt;"",SUMPRODUCT((Resultados!$B$1:$B$602=1)*(Resultados!$C$1:$C$602=B10)*1),"")</f>
        <v>1</v>
      </c>
      <c r="G10" s="7">
        <f>IF(B10&lt;&gt;"",SUMPRODUCT((Resultados!$B$1:$B$602=2)*(Resultados!$C$1:$C$602=B10)*1),"")</f>
        <v>3</v>
      </c>
      <c r="H10" s="7">
        <f>IF(B10&lt;&gt;"",SUMPRODUCT((Resultados!$B$1:$B$602=3)*(Resultados!$C$1:$C$602=B10)*1),"")</f>
        <v>4</v>
      </c>
      <c r="I10" s="7">
        <f>IF(B10&lt;&gt;"",SUMPRODUCT((Resultados!$B$1:$B$602=4)*(Resultados!$C$1:$C$602=B10)*1),"")</f>
        <v>3</v>
      </c>
      <c r="J10" s="7">
        <f>IF(B10&lt;&gt;"",SUMPRODUCT((Resultados!$B$1:$B$602=5)*(Resultados!$C$1:$C$602=B10)*1),"")</f>
        <v>2</v>
      </c>
      <c r="K10" s="7">
        <f>IF(B10&lt;&gt;"",SUMPRODUCT((Resultados!$B$1:$B$602=6)*(Resultados!$C$1:$C$602=B10)*1),"")</f>
        <v>5</v>
      </c>
      <c r="L10" s="7">
        <f>IF(B10&lt;&gt;"",SUMPRODUCT((Resultados!$B$1:$B$602=7)*(Resultados!$C$1:$C$602=B10)*1),"")</f>
        <v>2</v>
      </c>
      <c r="M10" s="7">
        <f>IF(B10&lt;&gt;"",SUMPRODUCT((Resultados!$B$1:$B$602=8)*(Resultados!$C$1:$C$602=B10)*1),"")</f>
        <v>0</v>
      </c>
      <c r="N10" s="7">
        <f>IF(B10&lt;&gt;"",SUMPRODUCT((Resultados!$B$1:$B$602=9)*(Resultados!$C$1:$C$602=B10)*1),"")</f>
        <v>0</v>
      </c>
      <c r="O10" s="7">
        <f>IF(B10&lt;&gt;"",SUMPRODUCT((Resultados!$B$1:$B$602=10)*(Resultados!$C$1:$C$602=B10)*1),"")</f>
        <v>0</v>
      </c>
      <c r="P10" s="7">
        <f>IF(B10&lt;&gt;"",SUMPRODUCT((Resultados!$B$1:$B$602=11)*(Resultados!$C$1:$C$602=B10)*1),"")</f>
        <v>0</v>
      </c>
      <c r="Q10" s="7">
        <f>IF(B10&lt;&gt;"",SUMPRODUCT((Resultados!$B$1:$B$602=12)*(Resultados!$C$1:$C$602=B10)*1),"")</f>
        <v>0</v>
      </c>
      <c r="R10" s="7">
        <f>IF(B10&lt;&gt;"",SUMPRODUCT((Resultados!$B$1:$B$602=13)*(Resultados!$C$1:$C$602=B10)*1),"")</f>
        <v>0</v>
      </c>
      <c r="S10" s="7">
        <f>IF(B10&lt;&gt;"",SUMPRODUCT((Resultados!$B$1:$B$602=14)*(Resultados!$C$1:$C$602=B10)*1),"")</f>
        <v>0</v>
      </c>
      <c r="T10" s="7">
        <f>IF(B10&lt;&gt;"",SUMPRODUCT((Resultados!$B$1:$B$602=15)*(Resultados!$C$1:$C$602=B10)*1),"")</f>
        <v>0</v>
      </c>
      <c r="U10" s="7">
        <f>IF(B10&lt;&gt;"",SUMPRODUCT((Resultados!$B$1:$B$602=16)*(Resultados!$C$1:$C$602=B10)*1),"")</f>
        <v>0</v>
      </c>
      <c r="V10" s="7">
        <f>IF(B10&lt;&gt;"",SUMPRODUCT((Resultados!$B$1:$B$602=17)*(Resultados!$C$1:$C$602=B10)*1),"")</f>
        <v>0</v>
      </c>
      <c r="W10" s="7">
        <f>IF(B10&lt;&gt;"",SUMPRODUCT((Resultados!$B$1:$B$602=18)*(Resultados!$C$1:$C$602=B10)*1),"")</f>
        <v>0</v>
      </c>
      <c r="X10" s="7">
        <f>IF(B10&lt;&gt;"",SUMPRODUCT((Resultados!$B$1:$B$602=19)*(Resultados!$C$1:$C$602=B10)*1),"")</f>
        <v>0</v>
      </c>
      <c r="Y10" s="7">
        <f>IF(B10&lt;&gt;"",SUMPRODUCT((Resultados!$B$1:$B$602=20)*(Resultados!$C$1:$C$602=B10)*1),"")</f>
        <v>0</v>
      </c>
      <c r="Z10" s="7">
        <f>IF(B10&lt;&gt;"",SUMPRODUCT((Resultados!$B$1:$B$602=21)*(Resultados!$C$1:$C$602=B10)*1),"")</f>
        <v>0</v>
      </c>
      <c r="AA10" s="7">
        <f>IF(B10&lt;&gt;"",SUMPRODUCT((Resultados!$B$1:$B$602=22)*(Resultados!$C$1:$C$602=B10)*1),"")</f>
        <v>1</v>
      </c>
      <c r="AB10" s="7">
        <f>IF(B10&lt;&gt;"",SUMPRODUCT((Resultados!$B$1:$B$602=23)*(Resultados!$C$1:$C$602=B10)*1),"")</f>
        <v>0</v>
      </c>
      <c r="AC10" s="7">
        <f>IF(B10&lt;&gt;"",SUMPRODUCT((Resultados!$B$1:$B$602=24)*(Resultados!$C$1:$C$602=B10)*1),"")</f>
        <v>0</v>
      </c>
      <c r="AD10" s="6">
        <f t="shared" si="1"/>
        <v>0</v>
      </c>
      <c r="AE10" s="6">
        <f t="shared" si="2"/>
        <v>0</v>
      </c>
      <c r="AF10" s="6">
        <f t="shared" si="3"/>
        <v>0</v>
      </c>
      <c r="AG10" s="6">
        <f t="shared" si="4"/>
        <v>0</v>
      </c>
      <c r="AH10" s="6">
        <f t="shared" si="5"/>
        <v>0</v>
      </c>
      <c r="AI10" s="6">
        <f t="shared" si="6"/>
        <v>0</v>
      </c>
      <c r="AJ10" s="6">
        <f t="shared" si="7"/>
        <v>0</v>
      </c>
      <c r="AK10" s="6">
        <f t="shared" si="8"/>
        <v>0</v>
      </c>
      <c r="AL10" s="6">
        <f t="shared" si="9"/>
        <v>0</v>
      </c>
      <c r="AM10" s="6">
        <f t="shared" si="10"/>
        <v>0</v>
      </c>
      <c r="AN10" s="6">
        <f t="shared" si="11"/>
        <v>0</v>
      </c>
      <c r="AO10" s="6">
        <f t="shared" si="12"/>
        <v>0</v>
      </c>
      <c r="AP10" s="6">
        <f t="shared" si="13"/>
        <v>0</v>
      </c>
      <c r="AQ10" s="6">
        <f t="shared" si="14"/>
        <v>0</v>
      </c>
      <c r="AR10" s="6">
        <f t="shared" si="15"/>
        <v>0</v>
      </c>
      <c r="AS10" s="6">
        <f t="shared" si="16"/>
        <v>0</v>
      </c>
      <c r="AT10" s="6">
        <f t="shared" si="17"/>
        <v>0</v>
      </c>
      <c r="AU10" s="6">
        <f t="shared" si="18"/>
        <v>0</v>
      </c>
      <c r="AV10" s="6">
        <f t="shared" si="19"/>
        <v>0</v>
      </c>
      <c r="AW10" s="6">
        <f t="shared" si="20"/>
        <v>0</v>
      </c>
      <c r="AX10" s="6">
        <f t="shared" si="21"/>
        <v>0</v>
      </c>
      <c r="AY10" s="6">
        <f t="shared" si="22"/>
        <v>0</v>
      </c>
      <c r="AZ10" s="6">
        <f t="shared" si="23"/>
        <v>0</v>
      </c>
      <c r="BA10" s="6">
        <f t="shared" si="24"/>
        <v>0</v>
      </c>
      <c r="BB10" s="6">
        <f t="shared" si="25"/>
        <v>0</v>
      </c>
      <c r="BC10" s="6">
        <f>IF(B10&lt;&gt;"",'Equipes e Pilotos'!B10,"")</f>
        <v>8</v>
      </c>
    </row>
    <row r="11" spans="1:55" x14ac:dyDescent="0.2">
      <c r="A11" s="1">
        <f t="shared" si="0"/>
        <v>19</v>
      </c>
      <c r="B11" s="1" t="str">
        <f>IF('Equipes e Pilotos'!C11&lt;&gt;"",'Equipes e Pilotos'!C11,"")</f>
        <v>Alexander Albon</v>
      </c>
      <c r="C11" s="1" t="str">
        <f>IF(B11&lt;&gt;"",VLOOKUP(B11,'Equipes e Pilotos'!$C$3:$F$30,3,FALSE),"")</f>
        <v>Tailandia</v>
      </c>
      <c r="D11" s="1" t="str">
        <f>IF(B11&lt;&gt;"",VLOOKUP(B11,'Equipes e Pilotos'!$C$3:$F$30,4,FALSE),"")</f>
        <v>Williams</v>
      </c>
      <c r="E11" s="1">
        <f>IF(B11&lt;&gt;"",SUMIF(Resultados!C:C,B11,Resultados!F:F),"")</f>
        <v>5</v>
      </c>
      <c r="F11" s="7">
        <f>IF(B11&lt;&gt;"",SUMPRODUCT((Resultados!$B$1:$B$602=1)*(Resultados!$C$1:$C$602=B11)*1),"")</f>
        <v>0</v>
      </c>
      <c r="G11" s="7">
        <f>IF(B11&lt;&gt;"",SUMPRODUCT((Resultados!$B$1:$B$602=2)*(Resultados!$C$1:$C$602=B11)*1),"")</f>
        <v>0</v>
      </c>
      <c r="H11" s="7">
        <f>IF(B11&lt;&gt;"",SUMPRODUCT((Resultados!$B$1:$B$602=3)*(Resultados!$C$1:$C$602=B11)*1),"")</f>
        <v>0</v>
      </c>
      <c r="I11" s="7">
        <f>IF(B11&lt;&gt;"",SUMPRODUCT((Resultados!$B$1:$B$602=4)*(Resultados!$C$1:$C$602=B11)*1),"")</f>
        <v>0</v>
      </c>
      <c r="J11" s="7">
        <f>IF(B11&lt;&gt;"",SUMPRODUCT((Resultados!$B$1:$B$602=5)*(Resultados!$C$1:$C$602=B11)*1),"")</f>
        <v>0</v>
      </c>
      <c r="K11" s="7">
        <f>IF(B11&lt;&gt;"",SUMPRODUCT((Resultados!$B$1:$B$602=6)*(Resultados!$C$1:$C$602=B11)*1),"")</f>
        <v>0</v>
      </c>
      <c r="L11" s="7">
        <f>IF(B11&lt;&gt;"",SUMPRODUCT((Resultados!$B$1:$B$602=7)*(Resultados!$C$1:$C$602=B11)*1),"")</f>
        <v>0</v>
      </c>
      <c r="M11" s="7">
        <f>IF(B11&lt;&gt;"",SUMPRODUCT((Resultados!$B$1:$B$602=8)*(Resultados!$C$1:$C$602=B11)*1),"")</f>
        <v>1</v>
      </c>
      <c r="N11" s="7">
        <f>IF(B11&lt;&gt;"",SUMPRODUCT((Resultados!$B$1:$B$602=9)*(Resultados!$C$1:$C$602=B11)*1),"")</f>
        <v>0</v>
      </c>
      <c r="O11" s="7">
        <f>IF(B11&lt;&gt;"",SUMPRODUCT((Resultados!$B$1:$B$602=10)*(Resultados!$C$1:$C$602=B11)*1),"")</f>
        <v>1</v>
      </c>
      <c r="P11" s="7">
        <f>IF(B11&lt;&gt;"",SUMPRODUCT((Resultados!$B$1:$B$602=11)*(Resultados!$C$1:$C$602=B11)*1),"")</f>
        <v>0</v>
      </c>
      <c r="Q11" s="7">
        <f>IF(B11&lt;&gt;"",SUMPRODUCT((Resultados!$B$1:$B$602=12)*(Resultados!$C$1:$C$602=B11)*1),"")</f>
        <v>1</v>
      </c>
      <c r="R11" s="7">
        <f>IF(B11&lt;&gt;"",SUMPRODUCT((Resultados!$B$1:$B$602=13)*(Resultados!$C$1:$C$602=B11)*1),"")</f>
        <v>0</v>
      </c>
      <c r="S11" s="7">
        <f>IF(B11&lt;&gt;"",SUMPRODUCT((Resultados!$B$1:$B$602=14)*(Resultados!$C$1:$C$602=B11)*1),"")</f>
        <v>0</v>
      </c>
      <c r="T11" s="7">
        <f>IF(B11&lt;&gt;"",SUMPRODUCT((Resultados!$B$1:$B$602=15)*(Resultados!$C$1:$C$602=B11)*1),"")</f>
        <v>2</v>
      </c>
      <c r="U11" s="7">
        <f>IF(B11&lt;&gt;"",SUMPRODUCT((Resultados!$B$1:$B$602=16)*(Resultados!$C$1:$C$602=B11)*1),"")</f>
        <v>2</v>
      </c>
      <c r="V11" s="7">
        <f>IF(B11&lt;&gt;"",SUMPRODUCT((Resultados!$B$1:$B$602=17)*(Resultados!$C$1:$C$602=B11)*1),"")</f>
        <v>4</v>
      </c>
      <c r="W11" s="7">
        <f>IF(B11&lt;&gt;"",SUMPRODUCT((Resultados!$B$1:$B$602=18)*(Resultados!$C$1:$C$602=B11)*1),"")</f>
        <v>3</v>
      </c>
      <c r="X11" s="7">
        <f>IF(B11&lt;&gt;"",SUMPRODUCT((Resultados!$B$1:$B$602=19)*(Resultados!$C$1:$C$602=B11)*1),"")</f>
        <v>1</v>
      </c>
      <c r="Y11" s="7">
        <f>IF(B11&lt;&gt;"",SUMPRODUCT((Resultados!$B$1:$B$602=20)*(Resultados!$C$1:$C$602=B11)*1),"")</f>
        <v>2</v>
      </c>
      <c r="Z11" s="7">
        <f>IF(B11&lt;&gt;"",SUMPRODUCT((Resultados!$B$1:$B$602=21)*(Resultados!$C$1:$C$602=B11)*1),"")</f>
        <v>3</v>
      </c>
      <c r="AA11" s="7">
        <f>IF(B11&lt;&gt;"",SUMPRODUCT((Resultados!$B$1:$B$602=22)*(Resultados!$C$1:$C$602=B11)*1),"")</f>
        <v>1</v>
      </c>
      <c r="AB11" s="7">
        <f>IF(B11&lt;&gt;"",SUMPRODUCT((Resultados!$B$1:$B$602=23)*(Resultados!$C$1:$C$602=B11)*1),"")</f>
        <v>0</v>
      </c>
      <c r="AC11" s="7">
        <f>IF(B11&lt;&gt;"",SUMPRODUCT((Resultados!$B$1:$B$602=24)*(Resultados!$C$1:$C$602=B11)*1),"")</f>
        <v>0</v>
      </c>
      <c r="AD11" s="6">
        <f t="shared" si="1"/>
        <v>0</v>
      </c>
      <c r="AE11" s="6">
        <f t="shared" si="2"/>
        <v>0</v>
      </c>
      <c r="AF11" s="6">
        <f t="shared" si="3"/>
        <v>0</v>
      </c>
      <c r="AG11" s="6">
        <f t="shared" si="4"/>
        <v>0</v>
      </c>
      <c r="AH11" s="6">
        <f t="shared" si="5"/>
        <v>0</v>
      </c>
      <c r="AI11" s="6">
        <f t="shared" si="6"/>
        <v>0</v>
      </c>
      <c r="AJ11" s="6">
        <f t="shared" si="7"/>
        <v>0</v>
      </c>
      <c r="AK11" s="6">
        <f t="shared" si="8"/>
        <v>0</v>
      </c>
      <c r="AL11" s="6">
        <f t="shared" si="9"/>
        <v>0</v>
      </c>
      <c r="AM11" s="6">
        <f t="shared" si="10"/>
        <v>0</v>
      </c>
      <c r="AN11" s="6">
        <f t="shared" si="11"/>
        <v>0</v>
      </c>
      <c r="AO11" s="6">
        <f t="shared" si="12"/>
        <v>0</v>
      </c>
      <c r="AP11" s="6">
        <f t="shared" si="13"/>
        <v>0</v>
      </c>
      <c r="AQ11" s="6">
        <f t="shared" si="14"/>
        <v>0</v>
      </c>
      <c r="AR11" s="6">
        <f t="shared" si="15"/>
        <v>0</v>
      </c>
      <c r="AS11" s="6">
        <f t="shared" si="16"/>
        <v>0</v>
      </c>
      <c r="AT11" s="6">
        <f t="shared" si="17"/>
        <v>0</v>
      </c>
      <c r="AU11" s="6">
        <f t="shared" si="18"/>
        <v>0</v>
      </c>
      <c r="AV11" s="6">
        <f t="shared" si="19"/>
        <v>0</v>
      </c>
      <c r="AW11" s="6">
        <f t="shared" si="20"/>
        <v>0</v>
      </c>
      <c r="AX11" s="6">
        <f t="shared" si="21"/>
        <v>0</v>
      </c>
      <c r="AY11" s="6">
        <f t="shared" si="22"/>
        <v>0</v>
      </c>
      <c r="AZ11" s="6">
        <f t="shared" si="23"/>
        <v>0</v>
      </c>
      <c r="BA11" s="6">
        <f t="shared" si="24"/>
        <v>0</v>
      </c>
      <c r="BB11" s="6">
        <f t="shared" si="25"/>
        <v>0</v>
      </c>
      <c r="BC11" s="6">
        <f>IF(B11&lt;&gt;"",'Equipes e Pilotos'!B11,"")</f>
        <v>9</v>
      </c>
    </row>
    <row r="12" spans="1:55" x14ac:dyDescent="0.2">
      <c r="A12" s="1">
        <f t="shared" si="0"/>
        <v>18</v>
      </c>
      <c r="B12" s="1" t="str">
        <f>IF('Equipes e Pilotos'!C12&lt;&gt;"",'Equipes e Pilotos'!C12,"")</f>
        <v>Carlos Sainz</v>
      </c>
      <c r="C12" s="1" t="str">
        <f>IF(B12&lt;&gt;"",VLOOKUP(B12,'Equipes e Pilotos'!$C$3:$F$30,3,FALSE),"")</f>
        <v>Espanha</v>
      </c>
      <c r="D12" s="1" t="str">
        <f>IF(B12&lt;&gt;"",VLOOKUP(B12,'Equipes e Pilotos'!$C$3:$F$30,4,FALSE),"")</f>
        <v>Williams</v>
      </c>
      <c r="E12" s="1">
        <f>IF(B12&lt;&gt;"",SUMIF(Resultados!C:C,B12,Resultados!F:F),"")</f>
        <v>7</v>
      </c>
      <c r="F12" s="7">
        <f>IF(B12&lt;&gt;"",SUMPRODUCT((Resultados!$B$1:$B$602=1)*(Resultados!$C$1:$C$602=B12)*1),"")</f>
        <v>0</v>
      </c>
      <c r="G12" s="7">
        <f>IF(B12&lt;&gt;"",SUMPRODUCT((Resultados!$B$1:$B$602=2)*(Resultados!$C$1:$C$602=B12)*1),"")</f>
        <v>0</v>
      </c>
      <c r="H12" s="7">
        <f>IF(B12&lt;&gt;"",SUMPRODUCT((Resultados!$B$1:$B$602=3)*(Resultados!$C$1:$C$602=B12)*1),"")</f>
        <v>0</v>
      </c>
      <c r="I12" s="7">
        <f>IF(B12&lt;&gt;"",SUMPRODUCT((Resultados!$B$1:$B$602=4)*(Resultados!$C$1:$C$602=B12)*1),"")</f>
        <v>0</v>
      </c>
      <c r="J12" s="7">
        <f>IF(B12&lt;&gt;"",SUMPRODUCT((Resultados!$B$1:$B$602=5)*(Resultados!$C$1:$C$602=B12)*1),"")</f>
        <v>0</v>
      </c>
      <c r="K12" s="7">
        <f>IF(B12&lt;&gt;"",SUMPRODUCT((Resultados!$B$1:$B$602=6)*(Resultados!$C$1:$C$602=B12)*1),"")</f>
        <v>0</v>
      </c>
      <c r="L12" s="7">
        <f>IF(B12&lt;&gt;"",SUMPRODUCT((Resultados!$B$1:$B$602=7)*(Resultados!$C$1:$C$602=B12)*1),"")</f>
        <v>0</v>
      </c>
      <c r="M12" s="7">
        <f>IF(B12&lt;&gt;"",SUMPRODUCT((Resultados!$B$1:$B$602=8)*(Resultados!$C$1:$C$602=B12)*1),"")</f>
        <v>0</v>
      </c>
      <c r="N12" s="7">
        <f>IF(B12&lt;&gt;"",SUMPRODUCT((Resultados!$B$1:$B$602=9)*(Resultados!$C$1:$C$602=B12)*1),"")</f>
        <v>3</v>
      </c>
      <c r="O12" s="7">
        <f>IF(B12&lt;&gt;"",SUMPRODUCT((Resultados!$B$1:$B$602=10)*(Resultados!$C$1:$C$602=B12)*1),"")</f>
        <v>2</v>
      </c>
      <c r="P12" s="7">
        <f>IF(B12&lt;&gt;"",SUMPRODUCT((Resultados!$B$1:$B$602=11)*(Resultados!$C$1:$C$602=B12)*1),"")</f>
        <v>0</v>
      </c>
      <c r="Q12" s="7">
        <f>IF(B12&lt;&gt;"",SUMPRODUCT((Resultados!$B$1:$B$602=12)*(Resultados!$C$1:$C$602=B12)*1),"")</f>
        <v>2</v>
      </c>
      <c r="R12" s="7">
        <f>IF(B12&lt;&gt;"",SUMPRODUCT((Resultados!$B$1:$B$602=13)*(Resultados!$C$1:$C$602=B12)*1),"")</f>
        <v>2</v>
      </c>
      <c r="S12" s="7">
        <f>IF(B12&lt;&gt;"",SUMPRODUCT((Resultados!$B$1:$B$602=14)*(Resultados!$C$1:$C$602=B12)*1),"")</f>
        <v>0</v>
      </c>
      <c r="T12" s="7">
        <f>IF(B12&lt;&gt;"",SUMPRODUCT((Resultados!$B$1:$B$602=15)*(Resultados!$C$1:$C$602=B12)*1),"")</f>
        <v>2</v>
      </c>
      <c r="U12" s="7">
        <f>IF(B12&lt;&gt;"",SUMPRODUCT((Resultados!$B$1:$B$602=16)*(Resultados!$C$1:$C$602=B12)*1),"")</f>
        <v>3</v>
      </c>
      <c r="V12" s="7">
        <f>IF(B12&lt;&gt;"",SUMPRODUCT((Resultados!$B$1:$B$602=17)*(Resultados!$C$1:$C$602=B12)*1),"")</f>
        <v>3</v>
      </c>
      <c r="W12" s="7">
        <f>IF(B12&lt;&gt;"",SUMPRODUCT((Resultados!$B$1:$B$602=18)*(Resultados!$C$1:$C$602=B12)*1),"")</f>
        <v>1</v>
      </c>
      <c r="X12" s="7">
        <f>IF(B12&lt;&gt;"",SUMPRODUCT((Resultados!$B$1:$B$602=19)*(Resultados!$C$1:$C$602=B12)*1),"")</f>
        <v>1</v>
      </c>
      <c r="Y12" s="7">
        <f>IF(B12&lt;&gt;"",SUMPRODUCT((Resultados!$B$1:$B$602=20)*(Resultados!$C$1:$C$602=B12)*1),"")</f>
        <v>2</v>
      </c>
      <c r="Z12" s="7">
        <f>IF(B12&lt;&gt;"",SUMPRODUCT((Resultados!$B$1:$B$602=21)*(Resultados!$C$1:$C$602=B12)*1),"")</f>
        <v>0</v>
      </c>
      <c r="AA12" s="7">
        <f>IF(B12&lt;&gt;"",SUMPRODUCT((Resultados!$B$1:$B$602=22)*(Resultados!$C$1:$C$602=B12)*1),"")</f>
        <v>0</v>
      </c>
      <c r="AB12" s="7">
        <f>IF(B12&lt;&gt;"",SUMPRODUCT((Resultados!$B$1:$B$602=23)*(Resultados!$C$1:$C$602=B12)*1),"")</f>
        <v>0</v>
      </c>
      <c r="AC12" s="7">
        <f>IF(B12&lt;&gt;"",SUMPRODUCT((Resultados!$B$1:$B$602=24)*(Resultados!$C$1:$C$602=B12)*1),"")</f>
        <v>0</v>
      </c>
      <c r="AD12" s="6">
        <f t="shared" si="1"/>
        <v>0</v>
      </c>
      <c r="AE12" s="6">
        <f t="shared" si="2"/>
        <v>0</v>
      </c>
      <c r="AF12" s="6">
        <f t="shared" si="3"/>
        <v>0</v>
      </c>
      <c r="AG12" s="6">
        <f t="shared" si="4"/>
        <v>0</v>
      </c>
      <c r="AH12" s="6">
        <f t="shared" si="5"/>
        <v>0</v>
      </c>
      <c r="AI12" s="6">
        <f t="shared" si="6"/>
        <v>0</v>
      </c>
      <c r="AJ12" s="6">
        <f t="shared" si="7"/>
        <v>0</v>
      </c>
      <c r="AK12" s="6">
        <f t="shared" si="8"/>
        <v>2</v>
      </c>
      <c r="AL12" s="6">
        <f t="shared" si="9"/>
        <v>0</v>
      </c>
      <c r="AM12" s="6">
        <f t="shared" si="10"/>
        <v>0</v>
      </c>
      <c r="AN12" s="6">
        <f t="shared" si="11"/>
        <v>0</v>
      </c>
      <c r="AO12" s="6">
        <f t="shared" si="12"/>
        <v>0</v>
      </c>
      <c r="AP12" s="6">
        <f t="shared" si="13"/>
        <v>0</v>
      </c>
      <c r="AQ12" s="6">
        <f t="shared" si="14"/>
        <v>0</v>
      </c>
      <c r="AR12" s="6">
        <f t="shared" si="15"/>
        <v>0</v>
      </c>
      <c r="AS12" s="6">
        <f t="shared" si="16"/>
        <v>0</v>
      </c>
      <c r="AT12" s="6">
        <f t="shared" si="17"/>
        <v>0</v>
      </c>
      <c r="AU12" s="6">
        <f t="shared" si="18"/>
        <v>0</v>
      </c>
      <c r="AV12" s="6">
        <f t="shared" si="19"/>
        <v>0</v>
      </c>
      <c r="AW12" s="6">
        <f t="shared" si="20"/>
        <v>0</v>
      </c>
      <c r="AX12" s="6">
        <f t="shared" si="21"/>
        <v>0</v>
      </c>
      <c r="AY12" s="6">
        <f t="shared" si="22"/>
        <v>0</v>
      </c>
      <c r="AZ12" s="6">
        <f t="shared" si="23"/>
        <v>0</v>
      </c>
      <c r="BA12" s="6">
        <f t="shared" si="24"/>
        <v>0</v>
      </c>
      <c r="BB12" s="6">
        <f t="shared" si="25"/>
        <v>0</v>
      </c>
      <c r="BC12" s="6">
        <f>IF(B12&lt;&gt;"",'Equipes e Pilotos'!B12,"")</f>
        <v>10</v>
      </c>
    </row>
    <row r="13" spans="1:55" x14ac:dyDescent="0.2">
      <c r="A13" s="1">
        <f t="shared" si="0"/>
        <v>9</v>
      </c>
      <c r="B13" s="1" t="str">
        <f>IF('Equipes e Pilotos'!C13&lt;&gt;"",'Equipes e Pilotos'!C13,"")</f>
        <v>Liam Lawson</v>
      </c>
      <c r="C13" s="1" t="str">
        <f>IF(B13&lt;&gt;"",VLOOKUP(B13,'Equipes e Pilotos'!$C$3:$F$30,3,FALSE),"")</f>
        <v>Austrália</v>
      </c>
      <c r="D13" s="1" t="str">
        <f>IF(B13&lt;&gt;"",VLOOKUP(B13,'Equipes e Pilotos'!$C$3:$F$30,4,FALSE),"")</f>
        <v>Racing Bulls</v>
      </c>
      <c r="E13" s="1">
        <f>IF(B13&lt;&gt;"",SUMIF(Resultados!C:C,B13,Resultados!F:F),"")</f>
        <v>75</v>
      </c>
      <c r="F13" s="7">
        <f>IF(B13&lt;&gt;"",SUMPRODUCT((Resultados!$B$1:$B$602=1)*(Resultados!$C$1:$C$602=B13)*1),"")</f>
        <v>0</v>
      </c>
      <c r="G13" s="7">
        <f>IF(B13&lt;&gt;"",SUMPRODUCT((Resultados!$B$1:$B$602=2)*(Resultados!$C$1:$C$602=B13)*1),"")</f>
        <v>0</v>
      </c>
      <c r="H13" s="7">
        <f>IF(B13&lt;&gt;"",SUMPRODUCT((Resultados!$B$1:$B$602=3)*(Resultados!$C$1:$C$602=B13)*1),"")</f>
        <v>0</v>
      </c>
      <c r="I13" s="7">
        <f>IF(B13&lt;&gt;"",SUMPRODUCT((Resultados!$B$1:$B$602=4)*(Resultados!$C$1:$C$602=B13)*1),"")</f>
        <v>0</v>
      </c>
      <c r="J13" s="7">
        <f>IF(B13&lt;&gt;"",SUMPRODUCT((Resultados!$B$1:$B$602=5)*(Resultados!$C$1:$C$602=B13)*1),"")</f>
        <v>1</v>
      </c>
      <c r="K13" s="7">
        <f>IF(B13&lt;&gt;"",SUMPRODUCT((Resultados!$B$1:$B$602=6)*(Resultados!$C$1:$C$602=B13)*1),"")</f>
        <v>2</v>
      </c>
      <c r="L13" s="7">
        <f>IF(B13&lt;&gt;"",SUMPRODUCT((Resultados!$B$1:$B$602=7)*(Resultados!$C$1:$C$602=B13)*1),"")</f>
        <v>5</v>
      </c>
      <c r="M13" s="7">
        <f>IF(B13&lt;&gt;"",SUMPRODUCT((Resultados!$B$1:$B$602=8)*(Resultados!$C$1:$C$602=B13)*1),"")</f>
        <v>3</v>
      </c>
      <c r="N13" s="7">
        <f>IF(B13&lt;&gt;"",SUMPRODUCT((Resultados!$B$1:$B$602=9)*(Resultados!$C$1:$C$602=B13)*1),"")</f>
        <v>2</v>
      </c>
      <c r="O13" s="7">
        <f>IF(B13&lt;&gt;"",SUMPRODUCT((Resultados!$B$1:$B$602=10)*(Resultados!$C$1:$C$602=B13)*1),"")</f>
        <v>0</v>
      </c>
      <c r="P13" s="7">
        <f>IF(B13&lt;&gt;"",SUMPRODUCT((Resultados!$B$1:$B$602=11)*(Resultados!$C$1:$C$602=B13)*1),"")</f>
        <v>2</v>
      </c>
      <c r="Q13" s="7">
        <f>IF(B13&lt;&gt;"",SUMPRODUCT((Resultados!$B$1:$B$602=12)*(Resultados!$C$1:$C$602=B13)*1),"")</f>
        <v>2</v>
      </c>
      <c r="R13" s="7">
        <f>IF(B13&lt;&gt;"",SUMPRODUCT((Resultados!$B$1:$B$602=13)*(Resultados!$C$1:$C$602=B13)*1),"")</f>
        <v>1</v>
      </c>
      <c r="S13" s="7">
        <f>IF(B13&lt;&gt;"",SUMPRODUCT((Resultados!$B$1:$B$602=14)*(Resultados!$C$1:$C$602=B13)*1),"")</f>
        <v>2</v>
      </c>
      <c r="T13" s="7">
        <f>IF(B13&lt;&gt;"",SUMPRODUCT((Resultados!$B$1:$B$602=15)*(Resultados!$C$1:$C$602=B13)*1),"")</f>
        <v>0</v>
      </c>
      <c r="U13" s="7">
        <f>IF(B13&lt;&gt;"",SUMPRODUCT((Resultados!$B$1:$B$602=16)*(Resultados!$C$1:$C$602=B13)*1),"")</f>
        <v>0</v>
      </c>
      <c r="V13" s="7">
        <f>IF(B13&lt;&gt;"",SUMPRODUCT((Resultados!$B$1:$B$602=17)*(Resultados!$C$1:$C$602=B13)*1),"")</f>
        <v>0</v>
      </c>
      <c r="W13" s="7">
        <f>IF(B13&lt;&gt;"",SUMPRODUCT((Resultados!$B$1:$B$602=18)*(Resultados!$C$1:$C$602=B13)*1),"")</f>
        <v>0</v>
      </c>
      <c r="X13" s="7">
        <f>IF(B13&lt;&gt;"",SUMPRODUCT((Resultados!$B$1:$B$602=19)*(Resultados!$C$1:$C$602=B13)*1),"")</f>
        <v>0</v>
      </c>
      <c r="Y13" s="7">
        <f>IF(B13&lt;&gt;"",SUMPRODUCT((Resultados!$B$1:$B$602=20)*(Resultados!$C$1:$C$602=B13)*1),"")</f>
        <v>1</v>
      </c>
      <c r="Z13" s="7">
        <f>IF(B13&lt;&gt;"",SUMPRODUCT((Resultados!$B$1:$B$602=21)*(Resultados!$C$1:$C$602=B13)*1),"")</f>
        <v>0</v>
      </c>
      <c r="AA13" s="7">
        <f>IF(B13&lt;&gt;"",SUMPRODUCT((Resultados!$B$1:$B$602=22)*(Resultados!$C$1:$C$602=B13)*1),"")</f>
        <v>0</v>
      </c>
      <c r="AB13" s="7">
        <f>IF(B13&lt;&gt;"",SUMPRODUCT((Resultados!$B$1:$B$602=23)*(Resultados!$C$1:$C$602=B13)*1),"")</f>
        <v>0</v>
      </c>
      <c r="AC13" s="7">
        <f>IF(B13&lt;&gt;"",SUMPRODUCT((Resultados!$B$1:$B$602=24)*(Resultados!$C$1:$C$602=B13)*1),"")</f>
        <v>0</v>
      </c>
      <c r="AD13" s="6">
        <f t="shared" si="1"/>
        <v>0</v>
      </c>
      <c r="AE13" s="6">
        <f t="shared" si="2"/>
        <v>0</v>
      </c>
      <c r="AF13" s="6">
        <f t="shared" si="3"/>
        <v>0</v>
      </c>
      <c r="AG13" s="6">
        <f t="shared" si="4"/>
        <v>0</v>
      </c>
      <c r="AH13" s="6">
        <f t="shared" si="5"/>
        <v>0</v>
      </c>
      <c r="AI13" s="6">
        <f t="shared" si="6"/>
        <v>0</v>
      </c>
      <c r="AJ13" s="6">
        <f t="shared" si="7"/>
        <v>0</v>
      </c>
      <c r="AK13" s="6">
        <f t="shared" si="8"/>
        <v>0</v>
      </c>
      <c r="AL13" s="6">
        <f t="shared" si="9"/>
        <v>0</v>
      </c>
      <c r="AM13" s="6">
        <f t="shared" si="10"/>
        <v>0</v>
      </c>
      <c r="AN13" s="6">
        <f t="shared" si="11"/>
        <v>0</v>
      </c>
      <c r="AO13" s="6">
        <f t="shared" si="12"/>
        <v>0</v>
      </c>
      <c r="AP13" s="6">
        <f t="shared" si="13"/>
        <v>0</v>
      </c>
      <c r="AQ13" s="6">
        <f t="shared" si="14"/>
        <v>0</v>
      </c>
      <c r="AR13" s="6">
        <f t="shared" si="15"/>
        <v>0</v>
      </c>
      <c r="AS13" s="6">
        <f t="shared" si="16"/>
        <v>0</v>
      </c>
      <c r="AT13" s="6">
        <f t="shared" si="17"/>
        <v>0</v>
      </c>
      <c r="AU13" s="6">
        <f t="shared" si="18"/>
        <v>0</v>
      </c>
      <c r="AV13" s="6">
        <f t="shared" si="19"/>
        <v>0</v>
      </c>
      <c r="AW13" s="6">
        <f t="shared" si="20"/>
        <v>0</v>
      </c>
      <c r="AX13" s="6">
        <f t="shared" si="21"/>
        <v>0</v>
      </c>
      <c r="AY13" s="6">
        <f t="shared" si="22"/>
        <v>0</v>
      </c>
      <c r="AZ13" s="6">
        <f t="shared" si="23"/>
        <v>0</v>
      </c>
      <c r="BA13" s="6">
        <f t="shared" si="24"/>
        <v>0</v>
      </c>
      <c r="BB13" s="6">
        <f t="shared" si="25"/>
        <v>0</v>
      </c>
      <c r="BC13" s="6">
        <f>IF(B13&lt;&gt;"",'Equipes e Pilotos'!B13,"")</f>
        <v>11</v>
      </c>
    </row>
    <row r="14" spans="1:55" x14ac:dyDescent="0.2">
      <c r="A14" s="1">
        <f t="shared" si="0"/>
        <v>11</v>
      </c>
      <c r="B14" s="1" t="str">
        <f>IF('Equipes e Pilotos'!C14&lt;&gt;"",'Equipes e Pilotos'!C14,"")</f>
        <v>Arvid Lindblad</v>
      </c>
      <c r="C14" s="1" t="str">
        <f>IF(B14&lt;&gt;"",VLOOKUP(B14,'Equipes e Pilotos'!$C$3:$F$30,3,FALSE),"")</f>
        <v>Inglaterra</v>
      </c>
      <c r="D14" s="1" t="str">
        <f>IF(B14&lt;&gt;"",VLOOKUP(B14,'Equipes e Pilotos'!$C$3:$F$30,4,FALSE),"")</f>
        <v>Racing Bulls</v>
      </c>
      <c r="E14" s="1">
        <f>IF(B14&lt;&gt;"",SUMIF(Resultados!C:C,B14,Resultados!F:F),"")</f>
        <v>38</v>
      </c>
      <c r="F14" s="7">
        <f>IF(B14&lt;&gt;"",SUMPRODUCT((Resultados!$B$1:$B$602=1)*(Resultados!$C$1:$C$602=B14)*1),"")</f>
        <v>0</v>
      </c>
      <c r="G14" s="7">
        <f>IF(B14&lt;&gt;"",SUMPRODUCT((Resultados!$B$1:$B$602=2)*(Resultados!$C$1:$C$602=B14)*1),"")</f>
        <v>0</v>
      </c>
      <c r="H14" s="7">
        <f>IF(B14&lt;&gt;"",SUMPRODUCT((Resultados!$B$1:$B$602=3)*(Resultados!$C$1:$C$602=B14)*1),"")</f>
        <v>0</v>
      </c>
      <c r="I14" s="7">
        <f>IF(B14&lt;&gt;"",SUMPRODUCT((Resultados!$B$1:$B$602=4)*(Resultados!$C$1:$C$602=B14)*1),"")</f>
        <v>0</v>
      </c>
      <c r="J14" s="7">
        <f>IF(B14&lt;&gt;"",SUMPRODUCT((Resultados!$B$1:$B$602=5)*(Resultados!$C$1:$C$602=B14)*1),"")</f>
        <v>0</v>
      </c>
      <c r="K14" s="7">
        <f>IF(B14&lt;&gt;"",SUMPRODUCT((Resultados!$B$1:$B$602=6)*(Resultados!$C$1:$C$602=B14)*1),"")</f>
        <v>1</v>
      </c>
      <c r="L14" s="7">
        <f>IF(B14&lt;&gt;"",SUMPRODUCT((Resultados!$B$1:$B$602=7)*(Resultados!$C$1:$C$602=B14)*1),"")</f>
        <v>2</v>
      </c>
      <c r="M14" s="7">
        <f>IF(B14&lt;&gt;"",SUMPRODUCT((Resultados!$B$1:$B$602=8)*(Resultados!$C$1:$C$602=B14)*1),"")</f>
        <v>3</v>
      </c>
      <c r="N14" s="7">
        <f>IF(B14&lt;&gt;"",SUMPRODUCT((Resultados!$B$1:$B$602=9)*(Resultados!$C$1:$C$602=B14)*1),"")</f>
        <v>3</v>
      </c>
      <c r="O14" s="7">
        <f>IF(B14&lt;&gt;"",SUMPRODUCT((Resultados!$B$1:$B$602=10)*(Resultados!$C$1:$C$602=B14)*1),"")</f>
        <v>5</v>
      </c>
      <c r="P14" s="7">
        <f>IF(B14&lt;&gt;"",SUMPRODUCT((Resultados!$B$1:$B$602=11)*(Resultados!$C$1:$C$602=B14)*1),"")</f>
        <v>0</v>
      </c>
      <c r="Q14" s="7">
        <f>IF(B14&lt;&gt;"",SUMPRODUCT((Resultados!$B$1:$B$602=12)*(Resultados!$C$1:$C$602=B14)*1),"")</f>
        <v>2</v>
      </c>
      <c r="R14" s="7">
        <f>IF(B14&lt;&gt;"",SUMPRODUCT((Resultados!$B$1:$B$602=13)*(Resultados!$C$1:$C$602=B14)*1),"")</f>
        <v>0</v>
      </c>
      <c r="S14" s="7">
        <f>IF(B14&lt;&gt;"",SUMPRODUCT((Resultados!$B$1:$B$602=14)*(Resultados!$C$1:$C$602=B14)*1),"")</f>
        <v>2</v>
      </c>
      <c r="T14" s="7">
        <f>IF(B14&lt;&gt;"",SUMPRODUCT((Resultados!$B$1:$B$602=15)*(Resultados!$C$1:$C$602=B14)*1),"")</f>
        <v>0</v>
      </c>
      <c r="U14" s="7">
        <f>IF(B14&lt;&gt;"",SUMPRODUCT((Resultados!$B$1:$B$602=16)*(Resultados!$C$1:$C$602=B14)*1),"")</f>
        <v>0</v>
      </c>
      <c r="V14" s="7">
        <f>IF(B14&lt;&gt;"",SUMPRODUCT((Resultados!$B$1:$B$602=17)*(Resultados!$C$1:$C$602=B14)*1),"")</f>
        <v>0</v>
      </c>
      <c r="W14" s="7">
        <f>IF(B14&lt;&gt;"",SUMPRODUCT((Resultados!$B$1:$B$602=18)*(Resultados!$C$1:$C$602=B14)*1),"")</f>
        <v>0</v>
      </c>
      <c r="X14" s="7">
        <f>IF(B14&lt;&gt;"",SUMPRODUCT((Resultados!$B$1:$B$602=19)*(Resultados!$C$1:$C$602=B14)*1),"")</f>
        <v>0</v>
      </c>
      <c r="Y14" s="7">
        <f>IF(B14&lt;&gt;"",SUMPRODUCT((Resultados!$B$1:$B$602=20)*(Resultados!$C$1:$C$602=B14)*1),"")</f>
        <v>0</v>
      </c>
      <c r="Z14" s="7">
        <f>IF(B14&lt;&gt;"",SUMPRODUCT((Resultados!$B$1:$B$602=21)*(Resultados!$C$1:$C$602=B14)*1),"")</f>
        <v>1</v>
      </c>
      <c r="AA14" s="7">
        <f>IF(B14&lt;&gt;"",SUMPRODUCT((Resultados!$B$1:$B$602=22)*(Resultados!$C$1:$C$602=B14)*1),"")</f>
        <v>2</v>
      </c>
      <c r="AB14" s="7">
        <f>IF(B14&lt;&gt;"",SUMPRODUCT((Resultados!$B$1:$B$602=23)*(Resultados!$C$1:$C$602=B14)*1),"")</f>
        <v>0</v>
      </c>
      <c r="AC14" s="7">
        <f>IF(B14&lt;&gt;"",SUMPRODUCT((Resultados!$B$1:$B$602=24)*(Resultados!$C$1:$C$602=B14)*1),"")</f>
        <v>0</v>
      </c>
      <c r="AD14" s="6">
        <f t="shared" si="1"/>
        <v>0</v>
      </c>
      <c r="AE14" s="6">
        <f t="shared" si="2"/>
        <v>0</v>
      </c>
      <c r="AF14" s="6">
        <f t="shared" si="3"/>
        <v>0</v>
      </c>
      <c r="AG14" s="6">
        <f t="shared" si="4"/>
        <v>0</v>
      </c>
      <c r="AH14" s="6">
        <f t="shared" si="5"/>
        <v>0</v>
      </c>
      <c r="AI14" s="6">
        <f t="shared" si="6"/>
        <v>0</v>
      </c>
      <c r="AJ14" s="6">
        <f t="shared" si="7"/>
        <v>0</v>
      </c>
      <c r="AK14" s="6">
        <f t="shared" si="8"/>
        <v>0</v>
      </c>
      <c r="AL14" s="6">
        <f t="shared" si="9"/>
        <v>0</v>
      </c>
      <c r="AM14" s="6">
        <f t="shared" si="10"/>
        <v>0</v>
      </c>
      <c r="AN14" s="6">
        <f t="shared" si="11"/>
        <v>0</v>
      </c>
      <c r="AO14" s="6">
        <f t="shared" si="12"/>
        <v>0</v>
      </c>
      <c r="AP14" s="6">
        <f t="shared" si="13"/>
        <v>0</v>
      </c>
      <c r="AQ14" s="6">
        <f t="shared" si="14"/>
        <v>0</v>
      </c>
      <c r="AR14" s="6">
        <f t="shared" si="15"/>
        <v>0</v>
      </c>
      <c r="AS14" s="6">
        <f t="shared" si="16"/>
        <v>0</v>
      </c>
      <c r="AT14" s="6">
        <f t="shared" si="17"/>
        <v>0</v>
      </c>
      <c r="AU14" s="6">
        <f t="shared" si="18"/>
        <v>0</v>
      </c>
      <c r="AV14" s="6">
        <f t="shared" si="19"/>
        <v>0</v>
      </c>
      <c r="AW14" s="6">
        <f t="shared" si="20"/>
        <v>0</v>
      </c>
      <c r="AX14" s="6">
        <f t="shared" si="21"/>
        <v>0</v>
      </c>
      <c r="AY14" s="6">
        <f t="shared" si="22"/>
        <v>0</v>
      </c>
      <c r="AZ14" s="6">
        <f t="shared" si="23"/>
        <v>0</v>
      </c>
      <c r="BA14" s="6">
        <f t="shared" si="24"/>
        <v>0</v>
      </c>
      <c r="BB14" s="6">
        <f t="shared" si="25"/>
        <v>0</v>
      </c>
      <c r="BC14" s="6">
        <f>IF(B14&lt;&gt;"",'Equipes e Pilotos'!B14,"")</f>
        <v>12</v>
      </c>
    </row>
    <row r="15" spans="1:55" x14ac:dyDescent="0.2">
      <c r="A15" s="1">
        <f t="shared" si="0"/>
        <v>16</v>
      </c>
      <c r="B15" s="1" t="str">
        <f>IF('Equipes e Pilotos'!C15&lt;&gt;"",'Equipes e Pilotos'!C15,"")</f>
        <v>Esteban Ocon</v>
      </c>
      <c r="C15" s="1" t="str">
        <f>IF(B15&lt;&gt;"",VLOOKUP(B15,'Equipes e Pilotos'!$C$3:$F$30,3,FALSE),"")</f>
        <v>França</v>
      </c>
      <c r="D15" s="1" t="str">
        <f>IF(B15&lt;&gt;"",VLOOKUP(B15,'Equipes e Pilotos'!$C$3:$F$30,4,FALSE),"")</f>
        <v>Haas</v>
      </c>
      <c r="E15" s="1">
        <f>IF(B15&lt;&gt;"",SUMIF(Resultados!C:C,B15,Resultados!F:F),"")</f>
        <v>7</v>
      </c>
      <c r="F15" s="7">
        <f>IF(B15&lt;&gt;"",SUMPRODUCT((Resultados!$B$1:$B$602=1)*(Resultados!$C$1:$C$602=B15)*1),"")</f>
        <v>0</v>
      </c>
      <c r="G15" s="7">
        <f>IF(B15&lt;&gt;"",SUMPRODUCT((Resultados!$B$1:$B$602=2)*(Resultados!$C$1:$C$602=B15)*1),"")</f>
        <v>0</v>
      </c>
      <c r="H15" s="7">
        <f>IF(B15&lt;&gt;"",SUMPRODUCT((Resultados!$B$1:$B$602=3)*(Resultados!$C$1:$C$602=B15)*1),"")</f>
        <v>0</v>
      </c>
      <c r="I15" s="7">
        <f>IF(B15&lt;&gt;"",SUMPRODUCT((Resultados!$B$1:$B$602=4)*(Resultados!$C$1:$C$602=B15)*1),"")</f>
        <v>0</v>
      </c>
      <c r="J15" s="7">
        <f>IF(B15&lt;&gt;"",SUMPRODUCT((Resultados!$B$1:$B$602=5)*(Resultados!$C$1:$C$602=B15)*1),"")</f>
        <v>0</v>
      </c>
      <c r="K15" s="7">
        <f>IF(B15&lt;&gt;"",SUMPRODUCT((Resultados!$B$1:$B$602=6)*(Resultados!$C$1:$C$602=B15)*1),"")</f>
        <v>0</v>
      </c>
      <c r="L15" s="7">
        <f>IF(B15&lt;&gt;"",SUMPRODUCT((Resultados!$B$1:$B$602=7)*(Resultados!$C$1:$C$602=B15)*1),"")</f>
        <v>0</v>
      </c>
      <c r="M15" s="7">
        <f>IF(B15&lt;&gt;"",SUMPRODUCT((Resultados!$B$1:$B$602=8)*(Resultados!$C$1:$C$602=B15)*1),"")</f>
        <v>1</v>
      </c>
      <c r="N15" s="7">
        <f>IF(B15&lt;&gt;"",SUMPRODUCT((Resultados!$B$1:$B$602=9)*(Resultados!$C$1:$C$602=B15)*1),"")</f>
        <v>1</v>
      </c>
      <c r="O15" s="7">
        <f>IF(B15&lt;&gt;"",SUMPRODUCT((Resultados!$B$1:$B$602=10)*(Resultados!$C$1:$C$602=B15)*1),"")</f>
        <v>2</v>
      </c>
      <c r="P15" s="7">
        <f>IF(B15&lt;&gt;"",SUMPRODUCT((Resultados!$B$1:$B$602=11)*(Resultados!$C$1:$C$602=B15)*1),"")</f>
        <v>3</v>
      </c>
      <c r="Q15" s="7">
        <f>IF(B15&lt;&gt;"",SUMPRODUCT((Resultados!$B$1:$B$602=12)*(Resultados!$C$1:$C$602=B15)*1),"")</f>
        <v>0</v>
      </c>
      <c r="R15" s="7">
        <f>IF(B15&lt;&gt;"",SUMPRODUCT((Resultados!$B$1:$B$602=13)*(Resultados!$C$1:$C$602=B15)*1),"")</f>
        <v>4</v>
      </c>
      <c r="S15" s="7">
        <f>IF(B15&lt;&gt;"",SUMPRODUCT((Resultados!$B$1:$B$602=14)*(Resultados!$C$1:$C$602=B15)*1),"")</f>
        <v>3</v>
      </c>
      <c r="T15" s="7">
        <f>IF(B15&lt;&gt;"",SUMPRODUCT((Resultados!$B$1:$B$602=15)*(Resultados!$C$1:$C$602=B15)*1),"")</f>
        <v>1</v>
      </c>
      <c r="U15" s="7">
        <f>IF(B15&lt;&gt;"",SUMPRODUCT((Resultados!$B$1:$B$602=16)*(Resultados!$C$1:$C$602=B15)*1),"")</f>
        <v>4</v>
      </c>
      <c r="V15" s="7">
        <f>IF(B15&lt;&gt;"",SUMPRODUCT((Resultados!$B$1:$B$602=17)*(Resultados!$C$1:$C$602=B15)*1),"")</f>
        <v>1</v>
      </c>
      <c r="W15" s="7">
        <f>IF(B15&lt;&gt;"",SUMPRODUCT((Resultados!$B$1:$B$602=18)*(Resultados!$C$1:$C$602=B15)*1),"")</f>
        <v>0</v>
      </c>
      <c r="X15" s="7">
        <f>IF(B15&lt;&gt;"",SUMPRODUCT((Resultados!$B$1:$B$602=19)*(Resultados!$C$1:$C$602=B15)*1),"")</f>
        <v>1</v>
      </c>
      <c r="Y15" s="7">
        <f>IF(B15&lt;&gt;"",SUMPRODUCT((Resultados!$B$1:$B$602=20)*(Resultados!$C$1:$C$602=B15)*1),"")</f>
        <v>0</v>
      </c>
      <c r="Z15" s="7">
        <f>IF(B15&lt;&gt;"",SUMPRODUCT((Resultados!$B$1:$B$602=21)*(Resultados!$C$1:$C$602=B15)*1),"")</f>
        <v>0</v>
      </c>
      <c r="AA15" s="7">
        <f>IF(B15&lt;&gt;"",SUMPRODUCT((Resultados!$B$1:$B$602=22)*(Resultados!$C$1:$C$602=B15)*1),"")</f>
        <v>0</v>
      </c>
      <c r="AB15" s="7">
        <f>IF(B15&lt;&gt;"",SUMPRODUCT((Resultados!$B$1:$B$602=23)*(Resultados!$C$1:$C$602=B15)*1),"")</f>
        <v>0</v>
      </c>
      <c r="AC15" s="7">
        <f>IF(B15&lt;&gt;"",SUMPRODUCT((Resultados!$B$1:$B$602=24)*(Resultados!$C$1:$C$602=B15)*1),"")</f>
        <v>0</v>
      </c>
      <c r="AD15" s="6">
        <f t="shared" si="1"/>
        <v>0</v>
      </c>
      <c r="AE15" s="6">
        <f t="shared" si="2"/>
        <v>0</v>
      </c>
      <c r="AF15" s="6">
        <f t="shared" si="3"/>
        <v>0</v>
      </c>
      <c r="AG15" s="6">
        <f t="shared" si="4"/>
        <v>0</v>
      </c>
      <c r="AH15" s="6">
        <f t="shared" si="5"/>
        <v>0</v>
      </c>
      <c r="AI15" s="6">
        <f t="shared" si="6"/>
        <v>0</v>
      </c>
      <c r="AJ15" s="6">
        <f t="shared" si="7"/>
        <v>0</v>
      </c>
      <c r="AK15" s="6">
        <f t="shared" si="8"/>
        <v>0</v>
      </c>
      <c r="AL15" s="6">
        <f t="shared" si="9"/>
        <v>0</v>
      </c>
      <c r="AM15" s="6">
        <f t="shared" si="10"/>
        <v>0</v>
      </c>
      <c r="AN15" s="6">
        <f t="shared" si="11"/>
        <v>0</v>
      </c>
      <c r="AO15" s="6">
        <f t="shared" si="12"/>
        <v>0</v>
      </c>
      <c r="AP15" s="6">
        <f t="shared" si="13"/>
        <v>0</v>
      </c>
      <c r="AQ15" s="6">
        <f t="shared" si="14"/>
        <v>0</v>
      </c>
      <c r="AR15" s="6">
        <f t="shared" si="15"/>
        <v>0</v>
      </c>
      <c r="AS15" s="6">
        <f t="shared" si="16"/>
        <v>0</v>
      </c>
      <c r="AT15" s="6">
        <f t="shared" si="17"/>
        <v>0</v>
      </c>
      <c r="AU15" s="6">
        <f t="shared" si="18"/>
        <v>0</v>
      </c>
      <c r="AV15" s="6">
        <f t="shared" si="19"/>
        <v>0</v>
      </c>
      <c r="AW15" s="6">
        <f t="shared" si="20"/>
        <v>0</v>
      </c>
      <c r="AX15" s="6">
        <f t="shared" si="21"/>
        <v>0</v>
      </c>
      <c r="AY15" s="6">
        <f t="shared" si="22"/>
        <v>0</v>
      </c>
      <c r="AZ15" s="6">
        <f t="shared" si="23"/>
        <v>0</v>
      </c>
      <c r="BA15" s="6">
        <f t="shared" si="24"/>
        <v>0</v>
      </c>
      <c r="BB15" s="6">
        <f t="shared" si="25"/>
        <v>0</v>
      </c>
      <c r="BC15" s="6">
        <f>IF(B15&lt;&gt;"",'Equipes e Pilotos'!B15,"")</f>
        <v>13</v>
      </c>
    </row>
    <row r="16" spans="1:55" x14ac:dyDescent="0.2">
      <c r="A16" s="1">
        <f t="shared" si="0"/>
        <v>13</v>
      </c>
      <c r="B16" s="1" t="str">
        <f>IF('Equipes e Pilotos'!C16&lt;&gt;"",'Equipes e Pilotos'!C16,"")</f>
        <v>Oliver Bearman</v>
      </c>
      <c r="C16" s="1" t="str">
        <f>IF(B16&lt;&gt;"",VLOOKUP(B16,'Equipes e Pilotos'!$C$3:$F$30,3,FALSE),"")</f>
        <v>Inglaterra</v>
      </c>
      <c r="D16" s="1" t="str">
        <f>IF(B16&lt;&gt;"",VLOOKUP(B16,'Equipes e Pilotos'!$C$3:$F$30,4,FALSE),"")</f>
        <v>Haas</v>
      </c>
      <c r="E16" s="1">
        <f>IF(B16&lt;&gt;"",SUMIF(Resultados!C:C,B16,Resultados!F:F),"")</f>
        <v>23</v>
      </c>
      <c r="F16" s="7">
        <f>IF(B16&lt;&gt;"",SUMPRODUCT((Resultados!$B$1:$B$602=1)*(Resultados!$C$1:$C$602=B16)*1),"")</f>
        <v>0</v>
      </c>
      <c r="G16" s="7">
        <f>IF(B16&lt;&gt;"",SUMPRODUCT((Resultados!$B$1:$B$602=2)*(Resultados!$C$1:$C$602=B16)*1),"")</f>
        <v>0</v>
      </c>
      <c r="H16" s="7">
        <f>IF(B16&lt;&gt;"",SUMPRODUCT((Resultados!$B$1:$B$602=3)*(Resultados!$C$1:$C$602=B16)*1),"")</f>
        <v>0</v>
      </c>
      <c r="I16" s="7">
        <f>IF(B16&lt;&gt;"",SUMPRODUCT((Resultados!$B$1:$B$602=4)*(Resultados!$C$1:$C$602=B16)*1),"")</f>
        <v>0</v>
      </c>
      <c r="J16" s="7">
        <f>IF(B16&lt;&gt;"",SUMPRODUCT((Resultados!$B$1:$B$602=5)*(Resultados!$C$1:$C$602=B16)*1),"")</f>
        <v>1</v>
      </c>
      <c r="K16" s="7">
        <f>IF(B16&lt;&gt;"",SUMPRODUCT((Resultados!$B$1:$B$602=6)*(Resultados!$C$1:$C$602=B16)*1),"")</f>
        <v>0</v>
      </c>
      <c r="L16" s="7">
        <f>IF(B16&lt;&gt;"",SUMPRODUCT((Resultados!$B$1:$B$602=7)*(Resultados!$C$1:$C$602=B16)*1),"")</f>
        <v>1</v>
      </c>
      <c r="M16" s="7">
        <f>IF(B16&lt;&gt;"",SUMPRODUCT((Resultados!$B$1:$B$602=8)*(Resultados!$C$1:$C$602=B16)*1),"")</f>
        <v>1</v>
      </c>
      <c r="N16" s="7">
        <f>IF(B16&lt;&gt;"",SUMPRODUCT((Resultados!$B$1:$B$602=9)*(Resultados!$C$1:$C$602=B16)*1),"")</f>
        <v>1</v>
      </c>
      <c r="O16" s="7">
        <f>IF(B16&lt;&gt;"",SUMPRODUCT((Resultados!$B$1:$B$602=10)*(Resultados!$C$1:$C$602=B16)*1),"")</f>
        <v>1</v>
      </c>
      <c r="P16" s="7">
        <f>IF(B16&lt;&gt;"",SUMPRODUCT((Resultados!$B$1:$B$602=11)*(Resultados!$C$1:$C$602=B16)*1),"")</f>
        <v>1</v>
      </c>
      <c r="Q16" s="7">
        <f>IF(B16&lt;&gt;"",SUMPRODUCT((Resultados!$B$1:$B$602=12)*(Resultados!$C$1:$C$602=B16)*1),"")</f>
        <v>2</v>
      </c>
      <c r="R16" s="7">
        <f>IF(B16&lt;&gt;"",SUMPRODUCT((Resultados!$B$1:$B$602=13)*(Resultados!$C$1:$C$602=B16)*1),"")</f>
        <v>0</v>
      </c>
      <c r="S16" s="7">
        <f>IF(B16&lt;&gt;"",SUMPRODUCT((Resultados!$B$1:$B$602=14)*(Resultados!$C$1:$C$602=B16)*1),"")</f>
        <v>4</v>
      </c>
      <c r="T16" s="7">
        <f>IF(B16&lt;&gt;"",SUMPRODUCT((Resultados!$B$1:$B$602=15)*(Resultados!$C$1:$C$602=B16)*1),"")</f>
        <v>2</v>
      </c>
      <c r="U16" s="7">
        <f>IF(B16&lt;&gt;"",SUMPRODUCT((Resultados!$B$1:$B$602=16)*(Resultados!$C$1:$C$602=B16)*1),"")</f>
        <v>1</v>
      </c>
      <c r="V16" s="7">
        <f>IF(B16&lt;&gt;"",SUMPRODUCT((Resultados!$B$1:$B$602=17)*(Resultados!$C$1:$C$602=B16)*1),"")</f>
        <v>1</v>
      </c>
      <c r="W16" s="7">
        <f>IF(B16&lt;&gt;"",SUMPRODUCT((Resultados!$B$1:$B$602=18)*(Resultados!$C$1:$C$602=B16)*1),"")</f>
        <v>1</v>
      </c>
      <c r="X16" s="7">
        <f>IF(B16&lt;&gt;"",SUMPRODUCT((Resultados!$B$1:$B$602=19)*(Resultados!$C$1:$C$602=B16)*1),"")</f>
        <v>1</v>
      </c>
      <c r="Y16" s="7">
        <f>IF(B16&lt;&gt;"",SUMPRODUCT((Resultados!$B$1:$B$602=20)*(Resultados!$C$1:$C$602=B16)*1),"")</f>
        <v>1</v>
      </c>
      <c r="Z16" s="7">
        <f>IF(B16&lt;&gt;"",SUMPRODUCT((Resultados!$B$1:$B$602=21)*(Resultados!$C$1:$C$602=B16)*1),"")</f>
        <v>1</v>
      </c>
      <c r="AA16" s="7">
        <f>IF(B16&lt;&gt;"",SUMPRODUCT((Resultados!$B$1:$B$602=22)*(Resultados!$C$1:$C$602=B16)*1),"")</f>
        <v>1</v>
      </c>
      <c r="AB16" s="7">
        <f>IF(B16&lt;&gt;"",SUMPRODUCT((Resultados!$B$1:$B$602=23)*(Resultados!$C$1:$C$602=B16)*1),"")</f>
        <v>0</v>
      </c>
      <c r="AC16" s="7">
        <f>IF(B16&lt;&gt;"",SUMPRODUCT((Resultados!$B$1:$B$602=24)*(Resultados!$C$1:$C$602=B16)*1),"")</f>
        <v>0</v>
      </c>
      <c r="AD16" s="6">
        <f t="shared" si="1"/>
        <v>0</v>
      </c>
      <c r="AE16" s="6">
        <f t="shared" si="2"/>
        <v>0</v>
      </c>
      <c r="AF16" s="6">
        <f t="shared" si="3"/>
        <v>0</v>
      </c>
      <c r="AG16" s="6">
        <f t="shared" si="4"/>
        <v>0</v>
      </c>
      <c r="AH16" s="6">
        <f t="shared" si="5"/>
        <v>0</v>
      </c>
      <c r="AI16" s="6">
        <f t="shared" si="6"/>
        <v>0</v>
      </c>
      <c r="AJ16" s="6">
        <f t="shared" si="7"/>
        <v>0</v>
      </c>
      <c r="AK16" s="6">
        <f t="shared" si="8"/>
        <v>0</v>
      </c>
      <c r="AL16" s="6">
        <f t="shared" si="9"/>
        <v>0</v>
      </c>
      <c r="AM16" s="6">
        <f t="shared" si="10"/>
        <v>0</v>
      </c>
      <c r="AN16" s="6">
        <f t="shared" si="11"/>
        <v>0</v>
      </c>
      <c r="AO16" s="6">
        <f t="shared" si="12"/>
        <v>0</v>
      </c>
      <c r="AP16" s="6">
        <f t="shared" si="13"/>
        <v>0</v>
      </c>
      <c r="AQ16" s="6">
        <f t="shared" si="14"/>
        <v>0</v>
      </c>
      <c r="AR16" s="6">
        <f t="shared" si="15"/>
        <v>0</v>
      </c>
      <c r="AS16" s="6">
        <f t="shared" si="16"/>
        <v>0</v>
      </c>
      <c r="AT16" s="6">
        <f t="shared" si="17"/>
        <v>0</v>
      </c>
      <c r="AU16" s="6">
        <f t="shared" si="18"/>
        <v>0</v>
      </c>
      <c r="AV16" s="6">
        <f t="shared" si="19"/>
        <v>0</v>
      </c>
      <c r="AW16" s="6">
        <f t="shared" si="20"/>
        <v>0</v>
      </c>
      <c r="AX16" s="6">
        <f t="shared" si="21"/>
        <v>0</v>
      </c>
      <c r="AY16" s="6">
        <f t="shared" si="22"/>
        <v>0</v>
      </c>
      <c r="AZ16" s="6">
        <f t="shared" si="23"/>
        <v>0</v>
      </c>
      <c r="BA16" s="6">
        <f t="shared" si="24"/>
        <v>0</v>
      </c>
      <c r="BB16" s="6">
        <f t="shared" si="25"/>
        <v>0</v>
      </c>
      <c r="BC16" s="6">
        <f>IF(B16&lt;&gt;"",'Equipes e Pilotos'!B16,"")</f>
        <v>14</v>
      </c>
    </row>
    <row r="17" spans="1:55" x14ac:dyDescent="0.2">
      <c r="A17" s="1">
        <f t="shared" si="0"/>
        <v>21</v>
      </c>
      <c r="B17" s="1" t="str">
        <f>IF('Equipes e Pilotos'!C17&lt;&gt;"",'Equipes e Pilotos'!C17,"")</f>
        <v>Lance Stroll</v>
      </c>
      <c r="C17" s="1" t="str">
        <f>IF(B17&lt;&gt;"",VLOOKUP(B17,'Equipes e Pilotos'!$C$3:$F$30,3,FALSE),"")</f>
        <v>Canadá</v>
      </c>
      <c r="D17" s="1" t="str">
        <f>IF(B17&lt;&gt;"",VLOOKUP(B17,'Equipes e Pilotos'!$C$3:$F$30,4,FALSE),"")</f>
        <v>Aston Martin</v>
      </c>
      <c r="E17" s="1">
        <f>IF(B17&lt;&gt;"",SUMIF(Resultados!C:C,B17,Resultados!F:F),"")</f>
        <v>0</v>
      </c>
      <c r="F17" s="7">
        <f>IF(B17&lt;&gt;"",SUMPRODUCT((Resultados!$B$1:$B$602=1)*(Resultados!$C$1:$C$602=B17)*1),"")</f>
        <v>0</v>
      </c>
      <c r="G17" s="7">
        <f>IF(B17&lt;&gt;"",SUMPRODUCT((Resultados!$B$1:$B$602=2)*(Resultados!$C$1:$C$602=B17)*1),"")</f>
        <v>0</v>
      </c>
      <c r="H17" s="7">
        <f>IF(B17&lt;&gt;"",SUMPRODUCT((Resultados!$B$1:$B$602=3)*(Resultados!$C$1:$C$602=B17)*1),"")</f>
        <v>0</v>
      </c>
      <c r="I17" s="7">
        <f>IF(B17&lt;&gt;"",SUMPRODUCT((Resultados!$B$1:$B$602=4)*(Resultados!$C$1:$C$602=B17)*1),"")</f>
        <v>0</v>
      </c>
      <c r="J17" s="7">
        <f>IF(B17&lt;&gt;"",SUMPRODUCT((Resultados!$B$1:$B$602=5)*(Resultados!$C$1:$C$602=B17)*1),"")</f>
        <v>0</v>
      </c>
      <c r="K17" s="7">
        <f>IF(B17&lt;&gt;"",SUMPRODUCT((Resultados!$B$1:$B$602=6)*(Resultados!$C$1:$C$602=B17)*1),"")</f>
        <v>0</v>
      </c>
      <c r="L17" s="7">
        <f>IF(B17&lt;&gt;"",SUMPRODUCT((Resultados!$B$1:$B$602=7)*(Resultados!$C$1:$C$602=B17)*1),"")</f>
        <v>0</v>
      </c>
      <c r="M17" s="7">
        <f>IF(B17&lt;&gt;"",SUMPRODUCT((Resultados!$B$1:$B$602=8)*(Resultados!$C$1:$C$602=B17)*1),"")</f>
        <v>0</v>
      </c>
      <c r="N17" s="7">
        <f>IF(B17&lt;&gt;"",SUMPRODUCT((Resultados!$B$1:$B$602=9)*(Resultados!$C$1:$C$602=B17)*1),"")</f>
        <v>0</v>
      </c>
      <c r="O17" s="7">
        <f>IF(B17&lt;&gt;"",SUMPRODUCT((Resultados!$B$1:$B$602=10)*(Resultados!$C$1:$C$602=B17)*1),"")</f>
        <v>0</v>
      </c>
      <c r="P17" s="7">
        <f>IF(B17&lt;&gt;"",SUMPRODUCT((Resultados!$B$1:$B$602=11)*(Resultados!$C$1:$C$602=B17)*1),"")</f>
        <v>0</v>
      </c>
      <c r="Q17" s="7">
        <f>IF(B17&lt;&gt;"",SUMPRODUCT((Resultados!$B$1:$B$602=12)*(Resultados!$C$1:$C$602=B17)*1),"")</f>
        <v>1</v>
      </c>
      <c r="R17" s="7">
        <f>IF(B17&lt;&gt;"",SUMPRODUCT((Resultados!$B$1:$B$602=13)*(Resultados!$C$1:$C$602=B17)*1),"")</f>
        <v>1</v>
      </c>
      <c r="S17" s="7">
        <f>IF(B17&lt;&gt;"",SUMPRODUCT((Resultados!$B$1:$B$602=14)*(Resultados!$C$1:$C$602=B17)*1),"")</f>
        <v>0</v>
      </c>
      <c r="T17" s="7">
        <f>IF(B17&lt;&gt;"",SUMPRODUCT((Resultados!$B$1:$B$602=15)*(Resultados!$C$1:$C$602=B17)*1),"")</f>
        <v>1</v>
      </c>
      <c r="U17" s="7">
        <f>IF(B17&lt;&gt;"",SUMPRODUCT((Resultados!$B$1:$B$602=16)*(Resultados!$C$1:$C$602=B17)*1),"")</f>
        <v>1</v>
      </c>
      <c r="V17" s="7">
        <f>IF(B17&lt;&gt;"",SUMPRODUCT((Resultados!$B$1:$B$602=17)*(Resultados!$C$1:$C$602=B17)*1),"")</f>
        <v>4</v>
      </c>
      <c r="W17" s="7">
        <f>IF(B17&lt;&gt;"",SUMPRODUCT((Resultados!$B$1:$B$602=18)*(Resultados!$C$1:$C$602=B17)*1),"")</f>
        <v>3</v>
      </c>
      <c r="X17" s="7">
        <f>IF(B17&lt;&gt;"",SUMPRODUCT((Resultados!$B$1:$B$602=19)*(Resultados!$C$1:$C$602=B17)*1),"")</f>
        <v>2</v>
      </c>
      <c r="Y17" s="7">
        <f>IF(B17&lt;&gt;"",SUMPRODUCT((Resultados!$B$1:$B$602=20)*(Resultados!$C$1:$C$602=B17)*1),"")</f>
        <v>3</v>
      </c>
      <c r="Z17" s="7">
        <f>IF(B17&lt;&gt;"",SUMPRODUCT((Resultados!$B$1:$B$602=21)*(Resultados!$C$1:$C$602=B17)*1),"")</f>
        <v>3</v>
      </c>
      <c r="AA17" s="7">
        <f>IF(B17&lt;&gt;"",SUMPRODUCT((Resultados!$B$1:$B$602=22)*(Resultados!$C$1:$C$602=B17)*1),"")</f>
        <v>2</v>
      </c>
      <c r="AB17" s="7">
        <f>IF(B17&lt;&gt;"",SUMPRODUCT((Resultados!$B$1:$B$602=23)*(Resultados!$C$1:$C$602=B17)*1),"")</f>
        <v>0</v>
      </c>
      <c r="AC17" s="7">
        <f>IF(B17&lt;&gt;"",SUMPRODUCT((Resultados!$B$1:$B$602=24)*(Resultados!$C$1:$C$602=B17)*1),"")</f>
        <v>0</v>
      </c>
      <c r="AD17" s="6">
        <f t="shared" si="1"/>
        <v>0</v>
      </c>
      <c r="AE17" s="6">
        <f t="shared" si="2"/>
        <v>0</v>
      </c>
      <c r="AF17" s="6">
        <f t="shared" si="3"/>
        <v>0</v>
      </c>
      <c r="AG17" s="6">
        <f t="shared" si="4"/>
        <v>0</v>
      </c>
      <c r="AH17" s="6">
        <f t="shared" si="5"/>
        <v>0</v>
      </c>
      <c r="AI17" s="6">
        <f t="shared" si="6"/>
        <v>0</v>
      </c>
      <c r="AJ17" s="6">
        <f t="shared" si="7"/>
        <v>0</v>
      </c>
      <c r="AK17" s="6">
        <f t="shared" si="8"/>
        <v>0</v>
      </c>
      <c r="AL17" s="6">
        <f t="shared" si="9"/>
        <v>0</v>
      </c>
      <c r="AM17" s="6">
        <f t="shared" si="10"/>
        <v>0</v>
      </c>
      <c r="AN17" s="6">
        <f t="shared" si="11"/>
        <v>0</v>
      </c>
      <c r="AO17" s="6">
        <f t="shared" si="12"/>
        <v>0</v>
      </c>
      <c r="AP17" s="6">
        <f t="shared" si="13"/>
        <v>0</v>
      </c>
      <c r="AQ17" s="6">
        <f t="shared" si="14"/>
        <v>0</v>
      </c>
      <c r="AR17" s="6">
        <f t="shared" si="15"/>
        <v>0</v>
      </c>
      <c r="AS17" s="6">
        <f t="shared" si="16"/>
        <v>0</v>
      </c>
      <c r="AT17" s="6">
        <f t="shared" si="17"/>
        <v>0</v>
      </c>
      <c r="AU17" s="6">
        <f t="shared" si="18"/>
        <v>0</v>
      </c>
      <c r="AV17" s="6">
        <f t="shared" si="19"/>
        <v>0</v>
      </c>
      <c r="AW17" s="6">
        <f t="shared" si="20"/>
        <v>0</v>
      </c>
      <c r="AX17" s="6">
        <f t="shared" si="21"/>
        <v>0</v>
      </c>
      <c r="AY17" s="6">
        <f t="shared" si="22"/>
        <v>0</v>
      </c>
      <c r="AZ17" s="6">
        <f t="shared" si="23"/>
        <v>0</v>
      </c>
      <c r="BA17" s="6">
        <f t="shared" si="24"/>
        <v>0</v>
      </c>
      <c r="BB17" s="6">
        <f t="shared" si="25"/>
        <v>0</v>
      </c>
      <c r="BC17" s="6">
        <f>IF(B17&lt;&gt;"",'Equipes e Pilotos'!B17,"")</f>
        <v>15</v>
      </c>
    </row>
    <row r="18" spans="1:55" x14ac:dyDescent="0.2">
      <c r="A18" s="1">
        <f t="shared" si="0"/>
        <v>17</v>
      </c>
      <c r="B18" s="1" t="str">
        <f>IF('Equipes e Pilotos'!C18&lt;&gt;"",'Equipes e Pilotos'!C18,"")</f>
        <v>Fernando Alonso</v>
      </c>
      <c r="C18" s="1" t="str">
        <f>IF(B18&lt;&gt;"",VLOOKUP(B18,'Equipes e Pilotos'!$C$3:$F$30,3,FALSE),"")</f>
        <v>Espanha</v>
      </c>
      <c r="D18" s="1" t="str">
        <f>IF(B18&lt;&gt;"",VLOOKUP(B18,'Equipes e Pilotos'!$C$3:$F$30,4,FALSE),"")</f>
        <v>Aston Martin</v>
      </c>
      <c r="E18" s="1">
        <f>IF(B18&lt;&gt;"",SUMIF(Resultados!C:C,B18,Resultados!F:F),"")</f>
        <v>7</v>
      </c>
      <c r="F18" s="7">
        <f>IF(B18&lt;&gt;"",SUMPRODUCT((Resultados!$B$1:$B$602=1)*(Resultados!$C$1:$C$602=B18)*1),"")</f>
        <v>0</v>
      </c>
      <c r="G18" s="7">
        <f>IF(B18&lt;&gt;"",SUMPRODUCT((Resultados!$B$1:$B$602=2)*(Resultados!$C$1:$C$602=B18)*1),"")</f>
        <v>0</v>
      </c>
      <c r="H18" s="7">
        <f>IF(B18&lt;&gt;"",SUMPRODUCT((Resultados!$B$1:$B$602=3)*(Resultados!$C$1:$C$602=B18)*1),"")</f>
        <v>0</v>
      </c>
      <c r="I18" s="7">
        <f>IF(B18&lt;&gt;"",SUMPRODUCT((Resultados!$B$1:$B$602=4)*(Resultados!$C$1:$C$602=B18)*1),"")</f>
        <v>0</v>
      </c>
      <c r="J18" s="7">
        <f>IF(B18&lt;&gt;"",SUMPRODUCT((Resultados!$B$1:$B$602=5)*(Resultados!$C$1:$C$602=B18)*1),"")</f>
        <v>0</v>
      </c>
      <c r="K18" s="7">
        <f>IF(B18&lt;&gt;"",SUMPRODUCT((Resultados!$B$1:$B$602=6)*(Resultados!$C$1:$C$602=B18)*1),"")</f>
        <v>0</v>
      </c>
      <c r="L18" s="7">
        <f>IF(B18&lt;&gt;"",SUMPRODUCT((Resultados!$B$1:$B$602=7)*(Resultados!$C$1:$C$602=B18)*1),"")</f>
        <v>0</v>
      </c>
      <c r="M18" s="7">
        <f>IF(B18&lt;&gt;"",SUMPRODUCT((Resultados!$B$1:$B$602=8)*(Resultados!$C$1:$C$602=B18)*1),"")</f>
        <v>1</v>
      </c>
      <c r="N18" s="7">
        <f>IF(B18&lt;&gt;"",SUMPRODUCT((Resultados!$B$1:$B$602=9)*(Resultados!$C$1:$C$602=B18)*1),"")</f>
        <v>1</v>
      </c>
      <c r="O18" s="7">
        <f>IF(B18&lt;&gt;"",SUMPRODUCT((Resultados!$B$1:$B$602=10)*(Resultados!$C$1:$C$602=B18)*1),"")</f>
        <v>1</v>
      </c>
      <c r="P18" s="7">
        <f>IF(B18&lt;&gt;"",SUMPRODUCT((Resultados!$B$1:$B$602=11)*(Resultados!$C$1:$C$602=B18)*1),"")</f>
        <v>0</v>
      </c>
      <c r="Q18" s="7">
        <f>IF(B18&lt;&gt;"",SUMPRODUCT((Resultados!$B$1:$B$602=12)*(Resultados!$C$1:$C$602=B18)*1),"")</f>
        <v>0</v>
      </c>
      <c r="R18" s="7">
        <f>IF(B18&lt;&gt;"",SUMPRODUCT((Resultados!$B$1:$B$602=13)*(Resultados!$C$1:$C$602=B18)*1),"")</f>
        <v>0</v>
      </c>
      <c r="S18" s="7">
        <f>IF(B18&lt;&gt;"",SUMPRODUCT((Resultados!$B$1:$B$602=14)*(Resultados!$C$1:$C$602=B18)*1),"")</f>
        <v>1</v>
      </c>
      <c r="T18" s="7">
        <f>IF(B18&lt;&gt;"",SUMPRODUCT((Resultados!$B$1:$B$602=15)*(Resultados!$C$1:$C$602=B18)*1),"")</f>
        <v>2</v>
      </c>
      <c r="U18" s="7">
        <f>IF(B18&lt;&gt;"",SUMPRODUCT((Resultados!$B$1:$B$602=16)*(Resultados!$C$1:$C$602=B18)*1),"")</f>
        <v>0</v>
      </c>
      <c r="V18" s="7">
        <f>IF(B18&lt;&gt;"",SUMPRODUCT((Resultados!$B$1:$B$602=17)*(Resultados!$C$1:$C$602=B18)*1),"")</f>
        <v>3</v>
      </c>
      <c r="W18" s="7">
        <f>IF(B18&lt;&gt;"",SUMPRODUCT((Resultados!$B$1:$B$602=18)*(Resultados!$C$1:$C$602=B18)*1),"")</f>
        <v>5</v>
      </c>
      <c r="X18" s="7">
        <f>IF(B18&lt;&gt;"",SUMPRODUCT((Resultados!$B$1:$B$602=19)*(Resultados!$C$1:$C$602=B18)*1),"")</f>
        <v>2</v>
      </c>
      <c r="Y18" s="7">
        <f>IF(B18&lt;&gt;"",SUMPRODUCT((Resultados!$B$1:$B$602=20)*(Resultados!$C$1:$C$602=B18)*1),"")</f>
        <v>2</v>
      </c>
      <c r="Z18" s="7">
        <f>IF(B18&lt;&gt;"",SUMPRODUCT((Resultados!$B$1:$B$602=21)*(Resultados!$C$1:$C$602=B18)*1),"")</f>
        <v>2</v>
      </c>
      <c r="AA18" s="7">
        <f>IF(B18&lt;&gt;"",SUMPRODUCT((Resultados!$B$1:$B$602=22)*(Resultados!$C$1:$C$602=B18)*1),"")</f>
        <v>1</v>
      </c>
      <c r="AB18" s="7">
        <f>IF(B18&lt;&gt;"",SUMPRODUCT((Resultados!$B$1:$B$602=23)*(Resultados!$C$1:$C$602=B18)*1),"")</f>
        <v>0</v>
      </c>
      <c r="AC18" s="7">
        <f>IF(B18&lt;&gt;"",SUMPRODUCT((Resultados!$B$1:$B$602=24)*(Resultados!$C$1:$C$602=B18)*1),"")</f>
        <v>0</v>
      </c>
      <c r="AD18" s="6">
        <f t="shared" si="1"/>
        <v>0</v>
      </c>
      <c r="AE18" s="6">
        <f t="shared" si="2"/>
        <v>0</v>
      </c>
      <c r="AF18" s="6">
        <f t="shared" si="3"/>
        <v>0</v>
      </c>
      <c r="AG18" s="6">
        <f t="shared" si="4"/>
        <v>0</v>
      </c>
      <c r="AH18" s="6">
        <f t="shared" si="5"/>
        <v>0</v>
      </c>
      <c r="AI18" s="6">
        <f t="shared" si="6"/>
        <v>0</v>
      </c>
      <c r="AJ18" s="6">
        <f t="shared" si="7"/>
        <v>0</v>
      </c>
      <c r="AK18" s="6">
        <f t="shared" si="8"/>
        <v>0</v>
      </c>
      <c r="AL18" s="6">
        <f t="shared" si="9"/>
        <v>0</v>
      </c>
      <c r="AM18" s="6">
        <f t="shared" si="10"/>
        <v>1</v>
      </c>
      <c r="AN18" s="6">
        <f t="shared" si="11"/>
        <v>0</v>
      </c>
      <c r="AO18" s="6">
        <f t="shared" si="12"/>
        <v>0</v>
      </c>
      <c r="AP18" s="6">
        <f t="shared" si="13"/>
        <v>0</v>
      </c>
      <c r="AQ18" s="6">
        <f t="shared" si="14"/>
        <v>0</v>
      </c>
      <c r="AR18" s="6">
        <f t="shared" si="15"/>
        <v>0</v>
      </c>
      <c r="AS18" s="6">
        <f t="shared" si="16"/>
        <v>0</v>
      </c>
      <c r="AT18" s="6">
        <f t="shared" si="17"/>
        <v>0</v>
      </c>
      <c r="AU18" s="6">
        <f t="shared" si="18"/>
        <v>0</v>
      </c>
      <c r="AV18" s="6">
        <f t="shared" si="19"/>
        <v>0</v>
      </c>
      <c r="AW18" s="6">
        <f t="shared" si="20"/>
        <v>0</v>
      </c>
      <c r="AX18" s="6">
        <f t="shared" si="21"/>
        <v>0</v>
      </c>
      <c r="AY18" s="6">
        <f t="shared" si="22"/>
        <v>0</v>
      </c>
      <c r="AZ18" s="6">
        <f t="shared" si="23"/>
        <v>0</v>
      </c>
      <c r="BA18" s="6">
        <f t="shared" si="24"/>
        <v>0</v>
      </c>
      <c r="BB18" s="6">
        <f t="shared" si="25"/>
        <v>0</v>
      </c>
      <c r="BC18" s="6">
        <f>IF(B18&lt;&gt;"",'Equipes e Pilotos'!B18,"")</f>
        <v>16</v>
      </c>
    </row>
    <row r="19" spans="1:55" x14ac:dyDescent="0.2">
      <c r="A19" s="1">
        <f t="shared" si="0"/>
        <v>14</v>
      </c>
      <c r="B19" s="1" t="str">
        <f>IF('Equipes e Pilotos'!C19&lt;&gt;"",'Equipes e Pilotos'!C19,"")</f>
        <v>Nico Hulkenberg</v>
      </c>
      <c r="C19" s="1" t="str">
        <f>IF(B19&lt;&gt;"",VLOOKUP(B19,'Equipes e Pilotos'!$C$3:$F$30,3,FALSE),"")</f>
        <v>Alemanha</v>
      </c>
      <c r="D19" s="1" t="str">
        <f>IF(B19&lt;&gt;"",VLOOKUP(B19,'Equipes e Pilotos'!$C$3:$F$30,4,FALSE),"")</f>
        <v>Audi</v>
      </c>
      <c r="E19" s="1">
        <f>IF(B19&lt;&gt;"",SUMIF(Resultados!C:C,B19,Resultados!F:F),"")</f>
        <v>13</v>
      </c>
      <c r="F19" s="7">
        <f>IF(B19&lt;&gt;"",SUMPRODUCT((Resultados!$B$1:$B$602=1)*(Resultados!$C$1:$C$602=B19)*1),"")</f>
        <v>0</v>
      </c>
      <c r="G19" s="7">
        <f>IF(B19&lt;&gt;"",SUMPRODUCT((Resultados!$B$1:$B$602=2)*(Resultados!$C$1:$C$602=B19)*1),"")</f>
        <v>0</v>
      </c>
      <c r="H19" s="7">
        <f>IF(B19&lt;&gt;"",SUMPRODUCT((Resultados!$B$1:$B$602=3)*(Resultados!$C$1:$C$602=B19)*1),"")</f>
        <v>0</v>
      </c>
      <c r="I19" s="7">
        <f>IF(B19&lt;&gt;"",SUMPRODUCT((Resultados!$B$1:$B$602=4)*(Resultados!$C$1:$C$602=B19)*1),"")</f>
        <v>0</v>
      </c>
      <c r="J19" s="7">
        <f>IF(B19&lt;&gt;"",SUMPRODUCT((Resultados!$B$1:$B$602=5)*(Resultados!$C$1:$C$602=B19)*1),"")</f>
        <v>0</v>
      </c>
      <c r="K19" s="7">
        <f>IF(B19&lt;&gt;"",SUMPRODUCT((Resultados!$B$1:$B$602=6)*(Resultados!$C$1:$C$602=B19)*1),"")</f>
        <v>0</v>
      </c>
      <c r="L19" s="7">
        <f>IF(B19&lt;&gt;"",SUMPRODUCT((Resultados!$B$1:$B$602=7)*(Resultados!$C$1:$C$602=B19)*1),"")</f>
        <v>0</v>
      </c>
      <c r="M19" s="7">
        <f>IF(B19&lt;&gt;"",SUMPRODUCT((Resultados!$B$1:$B$602=8)*(Resultados!$C$1:$C$602=B19)*1),"")</f>
        <v>1</v>
      </c>
      <c r="N19" s="7">
        <f>IF(B19&lt;&gt;"",SUMPRODUCT((Resultados!$B$1:$B$602=9)*(Resultados!$C$1:$C$602=B19)*1),"")</f>
        <v>1</v>
      </c>
      <c r="O19" s="7">
        <f>IF(B19&lt;&gt;"",SUMPRODUCT((Resultados!$B$1:$B$602=10)*(Resultados!$C$1:$C$602=B19)*1),"")</f>
        <v>1</v>
      </c>
      <c r="P19" s="7">
        <f>IF(B19&lt;&gt;"",SUMPRODUCT((Resultados!$B$1:$B$602=11)*(Resultados!$C$1:$C$602=B19)*1),"")</f>
        <v>4</v>
      </c>
      <c r="Q19" s="7">
        <f>IF(B19&lt;&gt;"",SUMPRODUCT((Resultados!$B$1:$B$602=12)*(Resultados!$C$1:$C$602=B19)*1),"")</f>
        <v>3</v>
      </c>
      <c r="R19" s="7">
        <f>IF(B19&lt;&gt;"",SUMPRODUCT((Resultados!$B$1:$B$602=13)*(Resultados!$C$1:$C$602=B19)*1),"")</f>
        <v>2</v>
      </c>
      <c r="S19" s="7">
        <f>IF(B19&lt;&gt;"",SUMPRODUCT((Resultados!$B$1:$B$602=14)*(Resultados!$C$1:$C$602=B19)*1),"")</f>
        <v>0</v>
      </c>
      <c r="T19" s="7">
        <f>IF(B19&lt;&gt;"",SUMPRODUCT((Resultados!$B$1:$B$602=15)*(Resultados!$C$1:$C$602=B19)*1),"")</f>
        <v>2</v>
      </c>
      <c r="U19" s="7">
        <f>IF(B19&lt;&gt;"",SUMPRODUCT((Resultados!$B$1:$B$602=16)*(Resultados!$C$1:$C$602=B19)*1),"")</f>
        <v>0</v>
      </c>
      <c r="V19" s="7">
        <f>IF(B19&lt;&gt;"",SUMPRODUCT((Resultados!$B$1:$B$602=17)*(Resultados!$C$1:$C$602=B19)*1),"")</f>
        <v>0</v>
      </c>
      <c r="W19" s="7">
        <f>IF(B19&lt;&gt;"",SUMPRODUCT((Resultados!$B$1:$B$602=18)*(Resultados!$C$1:$C$602=B19)*1),"")</f>
        <v>0</v>
      </c>
      <c r="X19" s="7">
        <f>IF(B19&lt;&gt;"",SUMPRODUCT((Resultados!$B$1:$B$602=19)*(Resultados!$C$1:$C$602=B19)*1),"")</f>
        <v>1</v>
      </c>
      <c r="Y19" s="7">
        <f>IF(B19&lt;&gt;"",SUMPRODUCT((Resultados!$B$1:$B$602=20)*(Resultados!$C$1:$C$602=B19)*1),"")</f>
        <v>3</v>
      </c>
      <c r="Z19" s="7">
        <f>IF(B19&lt;&gt;"",SUMPRODUCT((Resultados!$B$1:$B$602=21)*(Resultados!$C$1:$C$602=B19)*1),"")</f>
        <v>0</v>
      </c>
      <c r="AA19" s="7">
        <f>IF(B19&lt;&gt;"",SUMPRODUCT((Resultados!$B$1:$B$602=22)*(Resultados!$C$1:$C$602=B19)*1),"")</f>
        <v>3</v>
      </c>
      <c r="AB19" s="7">
        <f>IF(B19&lt;&gt;"",SUMPRODUCT((Resultados!$B$1:$B$602=23)*(Resultados!$C$1:$C$602=B19)*1),"")</f>
        <v>0</v>
      </c>
      <c r="AC19" s="7">
        <f>IF(B19&lt;&gt;"",SUMPRODUCT((Resultados!$B$1:$B$602=24)*(Resultados!$C$1:$C$602=B19)*1),"")</f>
        <v>0</v>
      </c>
      <c r="AD19" s="6">
        <f t="shared" si="1"/>
        <v>0</v>
      </c>
      <c r="AE19" s="6">
        <f t="shared" si="2"/>
        <v>0</v>
      </c>
      <c r="AF19" s="6">
        <f t="shared" si="3"/>
        <v>0</v>
      </c>
      <c r="AG19" s="6">
        <f t="shared" si="4"/>
        <v>0</v>
      </c>
      <c r="AH19" s="6">
        <f t="shared" si="5"/>
        <v>0</v>
      </c>
      <c r="AI19" s="6">
        <f t="shared" si="6"/>
        <v>0</v>
      </c>
      <c r="AJ19" s="6">
        <f t="shared" si="7"/>
        <v>0</v>
      </c>
      <c r="AK19" s="6">
        <f t="shared" si="8"/>
        <v>0</v>
      </c>
      <c r="AL19" s="6">
        <f t="shared" si="9"/>
        <v>0</v>
      </c>
      <c r="AM19" s="6">
        <f t="shared" si="10"/>
        <v>0</v>
      </c>
      <c r="AN19" s="6">
        <f t="shared" si="11"/>
        <v>0</v>
      </c>
      <c r="AO19" s="6">
        <f t="shared" si="12"/>
        <v>0</v>
      </c>
      <c r="AP19" s="6">
        <f t="shared" si="13"/>
        <v>0</v>
      </c>
      <c r="AQ19" s="6">
        <f t="shared" si="14"/>
        <v>0</v>
      </c>
      <c r="AR19" s="6">
        <f t="shared" si="15"/>
        <v>0</v>
      </c>
      <c r="AS19" s="6">
        <f t="shared" si="16"/>
        <v>0</v>
      </c>
      <c r="AT19" s="6">
        <f t="shared" si="17"/>
        <v>0</v>
      </c>
      <c r="AU19" s="6">
        <f t="shared" si="18"/>
        <v>0</v>
      </c>
      <c r="AV19" s="6">
        <f t="shared" si="19"/>
        <v>0</v>
      </c>
      <c r="AW19" s="6">
        <f t="shared" si="20"/>
        <v>0</v>
      </c>
      <c r="AX19" s="6">
        <f t="shared" si="21"/>
        <v>0</v>
      </c>
      <c r="AY19" s="6">
        <f t="shared" si="22"/>
        <v>0</v>
      </c>
      <c r="AZ19" s="6">
        <f t="shared" si="23"/>
        <v>0</v>
      </c>
      <c r="BA19" s="6">
        <f t="shared" si="24"/>
        <v>0</v>
      </c>
      <c r="BB19" s="6">
        <f t="shared" si="25"/>
        <v>0</v>
      </c>
      <c r="BC19" s="6">
        <f>IF(B19&lt;&gt;"",'Equipes e Pilotos'!B19,"")</f>
        <v>17</v>
      </c>
    </row>
    <row r="20" spans="1:55" x14ac:dyDescent="0.2">
      <c r="A20" s="1">
        <f t="shared" si="0"/>
        <v>15</v>
      </c>
      <c r="B20" s="1" t="str">
        <f>IF('Equipes e Pilotos'!C20&lt;&gt;"",'Equipes e Pilotos'!C20,"")</f>
        <v>Gabriel Bortoleto</v>
      </c>
      <c r="C20" s="1" t="str">
        <f>IF(B20&lt;&gt;"",VLOOKUP(B20,'Equipes e Pilotos'!$C$3:$F$30,3,FALSE),"")</f>
        <v>Brasil</v>
      </c>
      <c r="D20" s="1" t="str">
        <f>IF(B20&lt;&gt;"",VLOOKUP(B20,'Equipes e Pilotos'!$C$3:$F$30,4,FALSE),"")</f>
        <v>Audi</v>
      </c>
      <c r="E20" s="1">
        <f>IF(B20&lt;&gt;"",SUMIF(Resultados!C:C,B20,Resultados!F:F),"")</f>
        <v>10</v>
      </c>
      <c r="F20" s="7">
        <f>IF(B20&lt;&gt;"",SUMPRODUCT((Resultados!$B$1:$B$602=1)*(Resultados!$C$1:$C$602=B20)*1),"")</f>
        <v>0</v>
      </c>
      <c r="G20" s="7">
        <f>IF(B20&lt;&gt;"",SUMPRODUCT((Resultados!$B$1:$B$602=2)*(Resultados!$C$1:$C$602=B20)*1),"")</f>
        <v>0</v>
      </c>
      <c r="H20" s="7">
        <f>IF(B20&lt;&gt;"",SUMPRODUCT((Resultados!$B$1:$B$602=3)*(Resultados!$C$1:$C$602=B20)*1),"")</f>
        <v>0</v>
      </c>
      <c r="I20" s="7">
        <f>IF(B20&lt;&gt;"",SUMPRODUCT((Resultados!$B$1:$B$602=4)*(Resultados!$C$1:$C$602=B20)*1),"")</f>
        <v>0</v>
      </c>
      <c r="J20" s="7">
        <f>IF(B20&lt;&gt;"",SUMPRODUCT((Resultados!$B$1:$B$602=5)*(Resultados!$C$1:$C$602=B20)*1),"")</f>
        <v>0</v>
      </c>
      <c r="K20" s="7">
        <f>IF(B20&lt;&gt;"",SUMPRODUCT((Resultados!$B$1:$B$602=6)*(Resultados!$C$1:$C$602=B20)*1),"")</f>
        <v>0</v>
      </c>
      <c r="L20" s="7">
        <f>IF(B20&lt;&gt;"",SUMPRODUCT((Resultados!$B$1:$B$602=7)*(Resultados!$C$1:$C$602=B20)*1),"")</f>
        <v>0</v>
      </c>
      <c r="M20" s="7">
        <f>IF(B20&lt;&gt;"",SUMPRODUCT((Resultados!$B$1:$B$602=8)*(Resultados!$C$1:$C$602=B20)*1),"")</f>
        <v>2</v>
      </c>
      <c r="N20" s="7">
        <f>IF(B20&lt;&gt;"",SUMPRODUCT((Resultados!$B$1:$B$602=9)*(Resultados!$C$1:$C$602=B20)*1),"")</f>
        <v>2</v>
      </c>
      <c r="O20" s="7">
        <f>IF(B20&lt;&gt;"",SUMPRODUCT((Resultados!$B$1:$B$602=10)*(Resultados!$C$1:$C$602=B20)*1),"")</f>
        <v>0</v>
      </c>
      <c r="P20" s="7">
        <f>IF(B20&lt;&gt;"",SUMPRODUCT((Resultados!$B$1:$B$602=11)*(Resultados!$C$1:$C$602=B20)*1),"")</f>
        <v>5</v>
      </c>
      <c r="Q20" s="7">
        <f>IF(B20&lt;&gt;"",SUMPRODUCT((Resultados!$B$1:$B$602=12)*(Resultados!$C$1:$C$602=B20)*1),"")</f>
        <v>2</v>
      </c>
      <c r="R20" s="7">
        <f>IF(B20&lt;&gt;"",SUMPRODUCT((Resultados!$B$1:$B$602=13)*(Resultados!$C$1:$C$602=B20)*1),"")</f>
        <v>5</v>
      </c>
      <c r="S20" s="7">
        <f>IF(B20&lt;&gt;"",SUMPRODUCT((Resultados!$B$1:$B$602=14)*(Resultados!$C$1:$C$602=B20)*1),"")</f>
        <v>0</v>
      </c>
      <c r="T20" s="7">
        <f>IF(B20&lt;&gt;"",SUMPRODUCT((Resultados!$B$1:$B$602=15)*(Resultados!$C$1:$C$602=B20)*1),"")</f>
        <v>1</v>
      </c>
      <c r="U20" s="7">
        <f>IF(B20&lt;&gt;"",SUMPRODUCT((Resultados!$B$1:$B$602=16)*(Resultados!$C$1:$C$602=B20)*1),"")</f>
        <v>0</v>
      </c>
      <c r="V20" s="7">
        <f>IF(B20&lt;&gt;"",SUMPRODUCT((Resultados!$B$1:$B$602=17)*(Resultados!$C$1:$C$602=B20)*1),"")</f>
        <v>0</v>
      </c>
      <c r="W20" s="7">
        <f>IF(B20&lt;&gt;"",SUMPRODUCT((Resultados!$B$1:$B$602=18)*(Resultados!$C$1:$C$602=B20)*1),"")</f>
        <v>1</v>
      </c>
      <c r="X20" s="7">
        <f>IF(B20&lt;&gt;"",SUMPRODUCT((Resultados!$B$1:$B$602=19)*(Resultados!$C$1:$C$602=B20)*1),"")</f>
        <v>0</v>
      </c>
      <c r="Y20" s="7">
        <f>IF(B20&lt;&gt;"",SUMPRODUCT((Resultados!$B$1:$B$602=20)*(Resultados!$C$1:$C$602=B20)*1),"")</f>
        <v>0</v>
      </c>
      <c r="Z20" s="7">
        <f>IF(B20&lt;&gt;"",SUMPRODUCT((Resultados!$B$1:$B$602=21)*(Resultados!$C$1:$C$602=B20)*1),"")</f>
        <v>1</v>
      </c>
      <c r="AA20" s="7">
        <f>IF(B20&lt;&gt;"",SUMPRODUCT((Resultados!$B$1:$B$602=22)*(Resultados!$C$1:$C$602=B20)*1),"")</f>
        <v>1</v>
      </c>
      <c r="AB20" s="7">
        <f>IF(B20&lt;&gt;"",SUMPRODUCT((Resultados!$B$1:$B$602=23)*(Resultados!$C$1:$C$602=B20)*1),"")</f>
        <v>0</v>
      </c>
      <c r="AC20" s="7">
        <f>IF(B20&lt;&gt;"",SUMPRODUCT((Resultados!$B$1:$B$602=24)*(Resultados!$C$1:$C$602=B20)*1),"")</f>
        <v>0</v>
      </c>
      <c r="AD20" s="6">
        <f t="shared" si="1"/>
        <v>0</v>
      </c>
      <c r="AE20" s="6">
        <f t="shared" si="2"/>
        <v>0</v>
      </c>
      <c r="AF20" s="6">
        <f t="shared" si="3"/>
        <v>0</v>
      </c>
      <c r="AG20" s="6">
        <f t="shared" si="4"/>
        <v>0</v>
      </c>
      <c r="AH20" s="6">
        <f t="shared" si="5"/>
        <v>0</v>
      </c>
      <c r="AI20" s="6">
        <f t="shared" si="6"/>
        <v>0</v>
      </c>
      <c r="AJ20" s="6">
        <f t="shared" si="7"/>
        <v>0</v>
      </c>
      <c r="AK20" s="6">
        <f t="shared" si="8"/>
        <v>0</v>
      </c>
      <c r="AL20" s="6">
        <f t="shared" si="9"/>
        <v>0</v>
      </c>
      <c r="AM20" s="6">
        <f t="shared" si="10"/>
        <v>0</v>
      </c>
      <c r="AN20" s="6">
        <f t="shared" si="11"/>
        <v>0</v>
      </c>
      <c r="AO20" s="6">
        <f t="shared" si="12"/>
        <v>0</v>
      </c>
      <c r="AP20" s="6">
        <f t="shared" si="13"/>
        <v>0</v>
      </c>
      <c r="AQ20" s="6">
        <f t="shared" si="14"/>
        <v>0</v>
      </c>
      <c r="AR20" s="6">
        <f t="shared" si="15"/>
        <v>0</v>
      </c>
      <c r="AS20" s="6">
        <f t="shared" si="16"/>
        <v>0</v>
      </c>
      <c r="AT20" s="6">
        <f t="shared" si="17"/>
        <v>0</v>
      </c>
      <c r="AU20" s="6">
        <f t="shared" si="18"/>
        <v>0</v>
      </c>
      <c r="AV20" s="6">
        <f t="shared" si="19"/>
        <v>0</v>
      </c>
      <c r="AW20" s="6">
        <f t="shared" si="20"/>
        <v>0</v>
      </c>
      <c r="AX20" s="6">
        <f t="shared" si="21"/>
        <v>0</v>
      </c>
      <c r="AY20" s="6">
        <f t="shared" si="22"/>
        <v>0</v>
      </c>
      <c r="AZ20" s="6">
        <f t="shared" si="23"/>
        <v>0</v>
      </c>
      <c r="BA20" s="6">
        <f t="shared" si="24"/>
        <v>0</v>
      </c>
      <c r="BB20" s="6">
        <f t="shared" si="25"/>
        <v>0</v>
      </c>
      <c r="BC20" s="6">
        <f>IF(B20&lt;&gt;"",'Equipes e Pilotos'!B20,"")</f>
        <v>18</v>
      </c>
    </row>
    <row r="21" spans="1:55" x14ac:dyDescent="0.2">
      <c r="A21" s="1">
        <f t="shared" si="0"/>
        <v>10</v>
      </c>
      <c r="B21" s="1" t="str">
        <f>IF('Equipes e Pilotos'!C21&lt;&gt;"",'Equipes e Pilotos'!C21,"")</f>
        <v>Pierre Gasly</v>
      </c>
      <c r="C21" s="1" t="str">
        <f>IF(B21&lt;&gt;"",VLOOKUP(B21,'Equipes e Pilotos'!$C$3:$F$30,3,FALSE),"")</f>
        <v>França</v>
      </c>
      <c r="D21" s="1" t="str">
        <f>IF(B21&lt;&gt;"",VLOOKUP(B21,'Equipes e Pilotos'!$C$3:$F$30,4,FALSE),"")</f>
        <v>Alpine</v>
      </c>
      <c r="E21" s="1">
        <f>IF(B21&lt;&gt;"",SUMIF(Resultados!C:C,B21,Resultados!F:F),"")</f>
        <v>41</v>
      </c>
      <c r="F21" s="7">
        <f>IF(B21&lt;&gt;"",SUMPRODUCT((Resultados!$B$1:$B$602=1)*(Resultados!$C$1:$C$602=B21)*1),"")</f>
        <v>0</v>
      </c>
      <c r="G21" s="7">
        <f>IF(B21&lt;&gt;"",SUMPRODUCT((Resultados!$B$1:$B$602=2)*(Resultados!$C$1:$C$602=B21)*1),"")</f>
        <v>0</v>
      </c>
      <c r="H21" s="7">
        <f>IF(B21&lt;&gt;"",SUMPRODUCT((Resultados!$B$1:$B$602=3)*(Resultados!$C$1:$C$602=B21)*1),"")</f>
        <v>0</v>
      </c>
      <c r="I21" s="7">
        <f>IF(B21&lt;&gt;"",SUMPRODUCT((Resultados!$B$1:$B$602=4)*(Resultados!$C$1:$C$602=B21)*1),"")</f>
        <v>0</v>
      </c>
      <c r="J21" s="7">
        <f>IF(B21&lt;&gt;"",SUMPRODUCT((Resultados!$B$1:$B$602=5)*(Resultados!$C$1:$C$602=B21)*1),"")</f>
        <v>0</v>
      </c>
      <c r="K21" s="7">
        <f>IF(B21&lt;&gt;"",SUMPRODUCT((Resultados!$B$1:$B$602=6)*(Resultados!$C$1:$C$602=B21)*1),"")</f>
        <v>1</v>
      </c>
      <c r="L21" s="7">
        <f>IF(B21&lt;&gt;"",SUMPRODUCT((Resultados!$B$1:$B$602=7)*(Resultados!$C$1:$C$602=B21)*1),"")</f>
        <v>4</v>
      </c>
      <c r="M21" s="7">
        <f>IF(B21&lt;&gt;"",SUMPRODUCT((Resultados!$B$1:$B$602=8)*(Resultados!$C$1:$C$602=B21)*1),"")</f>
        <v>3</v>
      </c>
      <c r="N21" s="7">
        <f>IF(B21&lt;&gt;"",SUMPRODUCT((Resultados!$B$1:$B$602=9)*(Resultados!$C$1:$C$602=B21)*1),"")</f>
        <v>0</v>
      </c>
      <c r="O21" s="7">
        <f>IF(B21&lt;&gt;"",SUMPRODUCT((Resultados!$B$1:$B$602=10)*(Resultados!$C$1:$C$602=B21)*1),"")</f>
        <v>3</v>
      </c>
      <c r="P21" s="7">
        <f>IF(B21&lt;&gt;"",SUMPRODUCT((Resultados!$B$1:$B$602=11)*(Resultados!$C$1:$C$602=B21)*1),"")</f>
        <v>3</v>
      </c>
      <c r="Q21" s="7">
        <f>IF(B21&lt;&gt;"",SUMPRODUCT((Resultados!$B$1:$B$602=12)*(Resultados!$C$1:$C$602=B21)*1),"")</f>
        <v>2</v>
      </c>
      <c r="R21" s="7">
        <f>IF(B21&lt;&gt;"",SUMPRODUCT((Resultados!$B$1:$B$602=13)*(Resultados!$C$1:$C$602=B21)*1),"")</f>
        <v>1</v>
      </c>
      <c r="S21" s="7">
        <f>IF(B21&lt;&gt;"",SUMPRODUCT((Resultados!$B$1:$B$602=14)*(Resultados!$C$1:$C$602=B21)*1),"")</f>
        <v>0</v>
      </c>
      <c r="T21" s="7">
        <f>IF(B21&lt;&gt;"",SUMPRODUCT((Resultados!$B$1:$B$602=15)*(Resultados!$C$1:$C$602=B21)*1),"")</f>
        <v>0</v>
      </c>
      <c r="U21" s="7">
        <f>IF(B21&lt;&gt;"",SUMPRODUCT((Resultados!$B$1:$B$602=16)*(Resultados!$C$1:$C$602=B21)*1),"")</f>
        <v>1</v>
      </c>
      <c r="V21" s="7">
        <f>IF(B21&lt;&gt;"",SUMPRODUCT((Resultados!$B$1:$B$602=17)*(Resultados!$C$1:$C$602=B21)*1),"")</f>
        <v>0</v>
      </c>
      <c r="W21" s="7">
        <f>IF(B21&lt;&gt;"",SUMPRODUCT((Resultados!$B$1:$B$602=18)*(Resultados!$C$1:$C$602=B21)*1),"")</f>
        <v>1</v>
      </c>
      <c r="X21" s="7">
        <f>IF(B21&lt;&gt;"",SUMPRODUCT((Resultados!$B$1:$B$602=19)*(Resultados!$C$1:$C$602=B21)*1),"")</f>
        <v>0</v>
      </c>
      <c r="Y21" s="7">
        <f>IF(B21&lt;&gt;"",SUMPRODUCT((Resultados!$B$1:$B$602=20)*(Resultados!$C$1:$C$602=B21)*1),"")</f>
        <v>1</v>
      </c>
      <c r="Z21" s="7">
        <f>IF(B21&lt;&gt;"",SUMPRODUCT((Resultados!$B$1:$B$602=21)*(Resultados!$C$1:$C$602=B21)*1),"")</f>
        <v>1</v>
      </c>
      <c r="AA21" s="7">
        <f>IF(B21&lt;&gt;"",SUMPRODUCT((Resultados!$B$1:$B$602=22)*(Resultados!$C$1:$C$602=B21)*1),"")</f>
        <v>0</v>
      </c>
      <c r="AB21" s="7">
        <f>IF(B21&lt;&gt;"",SUMPRODUCT((Resultados!$B$1:$B$602=23)*(Resultados!$C$1:$C$602=B21)*1),"")</f>
        <v>0</v>
      </c>
      <c r="AC21" s="7">
        <f>IF(B21&lt;&gt;"",SUMPRODUCT((Resultados!$B$1:$B$602=24)*(Resultados!$C$1:$C$602=B21)*1),"")</f>
        <v>0</v>
      </c>
      <c r="AD21" s="6">
        <f t="shared" si="1"/>
        <v>0</v>
      </c>
      <c r="AE21" s="6">
        <f t="shared" si="2"/>
        <v>0</v>
      </c>
      <c r="AF21" s="6">
        <f t="shared" si="3"/>
        <v>0</v>
      </c>
      <c r="AG21" s="6">
        <f t="shared" si="4"/>
        <v>0</v>
      </c>
      <c r="AH21" s="6">
        <f t="shared" si="5"/>
        <v>0</v>
      </c>
      <c r="AI21" s="6">
        <f t="shared" si="6"/>
        <v>0</v>
      </c>
      <c r="AJ21" s="6">
        <f t="shared" si="7"/>
        <v>0</v>
      </c>
      <c r="AK21" s="6">
        <f t="shared" si="8"/>
        <v>0</v>
      </c>
      <c r="AL21" s="6">
        <f t="shared" si="9"/>
        <v>0</v>
      </c>
      <c r="AM21" s="6">
        <f t="shared" si="10"/>
        <v>0</v>
      </c>
      <c r="AN21" s="6">
        <f t="shared" si="11"/>
        <v>0</v>
      </c>
      <c r="AO21" s="6">
        <f t="shared" si="12"/>
        <v>0</v>
      </c>
      <c r="AP21" s="6">
        <f t="shared" si="13"/>
        <v>0</v>
      </c>
      <c r="AQ21" s="6">
        <f t="shared" si="14"/>
        <v>0</v>
      </c>
      <c r="AR21" s="6">
        <f t="shared" si="15"/>
        <v>0</v>
      </c>
      <c r="AS21" s="6">
        <f t="shared" si="16"/>
        <v>0</v>
      </c>
      <c r="AT21" s="6">
        <f t="shared" si="17"/>
        <v>0</v>
      </c>
      <c r="AU21" s="6">
        <f t="shared" si="18"/>
        <v>0</v>
      </c>
      <c r="AV21" s="6">
        <f t="shared" si="19"/>
        <v>0</v>
      </c>
      <c r="AW21" s="6">
        <f t="shared" si="20"/>
        <v>0</v>
      </c>
      <c r="AX21" s="6">
        <f t="shared" si="21"/>
        <v>0</v>
      </c>
      <c r="AY21" s="6">
        <f t="shared" si="22"/>
        <v>0</v>
      </c>
      <c r="AZ21" s="6">
        <f t="shared" si="23"/>
        <v>0</v>
      </c>
      <c r="BA21" s="6">
        <f t="shared" si="24"/>
        <v>0</v>
      </c>
      <c r="BB21" s="6">
        <f t="shared" si="25"/>
        <v>0</v>
      </c>
      <c r="BC21" s="6">
        <f>IF(B21&lt;&gt;"",'Equipes e Pilotos'!B21,"")</f>
        <v>19</v>
      </c>
    </row>
    <row r="22" spans="1:55" x14ac:dyDescent="0.2">
      <c r="A22" s="1">
        <f t="shared" si="0"/>
        <v>12</v>
      </c>
      <c r="B22" s="1" t="str">
        <f>IF('Equipes e Pilotos'!C22&lt;&gt;"",'Equipes e Pilotos'!C22,"")</f>
        <v>Franco Colapinto</v>
      </c>
      <c r="C22" s="1" t="str">
        <f>IF(B22&lt;&gt;"",VLOOKUP(B22,'Equipes e Pilotos'!$C$3:$F$30,3,FALSE),"")</f>
        <v>Argentina</v>
      </c>
      <c r="D22" s="1" t="str">
        <f>IF(B22&lt;&gt;"",VLOOKUP(B22,'Equipes e Pilotos'!$C$3:$F$30,4,FALSE),"")</f>
        <v>Alpine</v>
      </c>
      <c r="E22" s="1">
        <f>IF(B22&lt;&gt;"",SUMIF(Resultados!C:C,B22,Resultados!F:F),"")</f>
        <v>27</v>
      </c>
      <c r="F22" s="7">
        <f>IF(B22&lt;&gt;"",SUMPRODUCT((Resultados!$B$1:$B$602=1)*(Resultados!$C$1:$C$602=B22)*1),"")</f>
        <v>0</v>
      </c>
      <c r="G22" s="7">
        <f>IF(B22&lt;&gt;"",SUMPRODUCT((Resultados!$B$1:$B$602=2)*(Resultados!$C$1:$C$602=B22)*1),"")</f>
        <v>0</v>
      </c>
      <c r="H22" s="7">
        <f>IF(B22&lt;&gt;"",SUMPRODUCT((Resultados!$B$1:$B$602=3)*(Resultados!$C$1:$C$602=B22)*1),"")</f>
        <v>0</v>
      </c>
      <c r="I22" s="7">
        <f>IF(B22&lt;&gt;"",SUMPRODUCT((Resultados!$B$1:$B$602=4)*(Resultados!$C$1:$C$602=B22)*1),"")</f>
        <v>0</v>
      </c>
      <c r="J22" s="7">
        <f>IF(B22&lt;&gt;"",SUMPRODUCT((Resultados!$B$1:$B$602=5)*(Resultados!$C$1:$C$602=B22)*1),"")</f>
        <v>0</v>
      </c>
      <c r="K22" s="7">
        <f>IF(B22&lt;&gt;"",SUMPRODUCT((Resultados!$B$1:$B$602=6)*(Resultados!$C$1:$C$602=B22)*1),"")</f>
        <v>1</v>
      </c>
      <c r="L22" s="7">
        <f>IF(B22&lt;&gt;"",SUMPRODUCT((Resultados!$B$1:$B$602=7)*(Resultados!$C$1:$C$602=B22)*1),"")</f>
        <v>2</v>
      </c>
      <c r="M22" s="7">
        <f>IF(B22&lt;&gt;"",SUMPRODUCT((Resultados!$B$1:$B$602=8)*(Resultados!$C$1:$C$602=B22)*1),"")</f>
        <v>0</v>
      </c>
      <c r="N22" s="7">
        <f>IF(B22&lt;&gt;"",SUMPRODUCT((Resultados!$B$1:$B$602=9)*(Resultados!$C$1:$C$602=B22)*1),"")</f>
        <v>3</v>
      </c>
      <c r="O22" s="7">
        <f>IF(B22&lt;&gt;"",SUMPRODUCT((Resultados!$B$1:$B$602=10)*(Resultados!$C$1:$C$602=B22)*1),"")</f>
        <v>4</v>
      </c>
      <c r="P22" s="7">
        <f>IF(B22&lt;&gt;"",SUMPRODUCT((Resultados!$B$1:$B$602=11)*(Resultados!$C$1:$C$602=B22)*1),"")</f>
        <v>0</v>
      </c>
      <c r="Q22" s="7">
        <f>IF(B22&lt;&gt;"",SUMPRODUCT((Resultados!$B$1:$B$602=12)*(Resultados!$C$1:$C$602=B22)*1),"")</f>
        <v>2</v>
      </c>
      <c r="R22" s="7">
        <f>IF(B22&lt;&gt;"",SUMPRODUCT((Resultados!$B$1:$B$602=13)*(Resultados!$C$1:$C$602=B22)*1),"")</f>
        <v>1</v>
      </c>
      <c r="S22" s="7">
        <f>IF(B22&lt;&gt;"",SUMPRODUCT((Resultados!$B$1:$B$602=14)*(Resultados!$C$1:$C$602=B22)*1),"")</f>
        <v>4</v>
      </c>
      <c r="T22" s="7">
        <f>IF(B22&lt;&gt;"",SUMPRODUCT((Resultados!$B$1:$B$602=15)*(Resultados!$C$1:$C$602=B22)*1),"")</f>
        <v>2</v>
      </c>
      <c r="U22" s="7">
        <f>IF(B22&lt;&gt;"",SUMPRODUCT((Resultados!$B$1:$B$602=16)*(Resultados!$C$1:$C$602=B22)*1),"")</f>
        <v>1</v>
      </c>
      <c r="V22" s="7">
        <f>IF(B22&lt;&gt;"",SUMPRODUCT((Resultados!$B$1:$B$602=17)*(Resultados!$C$1:$C$602=B22)*1),"")</f>
        <v>1</v>
      </c>
      <c r="W22" s="7">
        <f>IF(B22&lt;&gt;"",SUMPRODUCT((Resultados!$B$1:$B$602=18)*(Resultados!$C$1:$C$602=B22)*1),"")</f>
        <v>0</v>
      </c>
      <c r="X22" s="7">
        <f>IF(B22&lt;&gt;"",SUMPRODUCT((Resultados!$B$1:$B$602=19)*(Resultados!$C$1:$C$602=B22)*1),"")</f>
        <v>0</v>
      </c>
      <c r="Y22" s="7">
        <f>IF(B22&lt;&gt;"",SUMPRODUCT((Resultados!$B$1:$B$602=20)*(Resultados!$C$1:$C$602=B22)*1),"")</f>
        <v>0</v>
      </c>
      <c r="Z22" s="7">
        <f>IF(B22&lt;&gt;"",SUMPRODUCT((Resultados!$B$1:$B$602=21)*(Resultados!$C$1:$C$602=B22)*1),"")</f>
        <v>0</v>
      </c>
      <c r="AA22" s="7">
        <f>IF(B22&lt;&gt;"",SUMPRODUCT((Resultados!$B$1:$B$602=22)*(Resultados!$C$1:$C$602=B22)*1),"")</f>
        <v>0</v>
      </c>
      <c r="AB22" s="7">
        <f>IF(B22&lt;&gt;"",SUMPRODUCT((Resultados!$B$1:$B$602=23)*(Resultados!$C$1:$C$602=B22)*1),"")</f>
        <v>0</v>
      </c>
      <c r="AC22" s="7">
        <f>IF(B22&lt;&gt;"",SUMPRODUCT((Resultados!$B$1:$B$602=24)*(Resultados!$C$1:$C$602=B22)*1),"")</f>
        <v>0</v>
      </c>
      <c r="AD22" s="6">
        <f t="shared" si="1"/>
        <v>0</v>
      </c>
      <c r="AE22" s="6">
        <f t="shared" si="2"/>
        <v>0</v>
      </c>
      <c r="AF22" s="6">
        <f t="shared" si="3"/>
        <v>0</v>
      </c>
      <c r="AG22" s="6">
        <f t="shared" si="4"/>
        <v>0</v>
      </c>
      <c r="AH22" s="6">
        <f t="shared" si="5"/>
        <v>0</v>
      </c>
      <c r="AI22" s="6">
        <f t="shared" si="6"/>
        <v>0</v>
      </c>
      <c r="AJ22" s="6">
        <f t="shared" si="7"/>
        <v>0</v>
      </c>
      <c r="AK22" s="6">
        <f t="shared" si="8"/>
        <v>0</v>
      </c>
      <c r="AL22" s="6">
        <f t="shared" si="9"/>
        <v>0</v>
      </c>
      <c r="AM22" s="6">
        <f t="shared" si="10"/>
        <v>0</v>
      </c>
      <c r="AN22" s="6">
        <f t="shared" si="11"/>
        <v>0</v>
      </c>
      <c r="AO22" s="6">
        <f t="shared" si="12"/>
        <v>0</v>
      </c>
      <c r="AP22" s="6">
        <f t="shared" si="13"/>
        <v>0</v>
      </c>
      <c r="AQ22" s="6">
        <f t="shared" si="14"/>
        <v>0</v>
      </c>
      <c r="AR22" s="6">
        <f t="shared" si="15"/>
        <v>0</v>
      </c>
      <c r="AS22" s="6">
        <f t="shared" si="16"/>
        <v>0</v>
      </c>
      <c r="AT22" s="6">
        <f t="shared" si="17"/>
        <v>0</v>
      </c>
      <c r="AU22" s="6">
        <f t="shared" si="18"/>
        <v>0</v>
      </c>
      <c r="AV22" s="6">
        <f t="shared" si="19"/>
        <v>0</v>
      </c>
      <c r="AW22" s="6">
        <f t="shared" si="20"/>
        <v>0</v>
      </c>
      <c r="AX22" s="6">
        <f t="shared" si="21"/>
        <v>0</v>
      </c>
      <c r="AY22" s="6">
        <f t="shared" si="22"/>
        <v>0</v>
      </c>
      <c r="AZ22" s="6">
        <f t="shared" si="23"/>
        <v>0</v>
      </c>
      <c r="BA22" s="6">
        <f t="shared" si="24"/>
        <v>0</v>
      </c>
      <c r="BB22" s="6">
        <f t="shared" si="25"/>
        <v>0</v>
      </c>
      <c r="BC22" s="6">
        <f>IF(B22&lt;&gt;"",'Equipes e Pilotos'!B22,"")</f>
        <v>20</v>
      </c>
    </row>
    <row r="23" spans="1:55" x14ac:dyDescent="0.2">
      <c r="A23" s="1">
        <f t="shared" si="0"/>
        <v>23</v>
      </c>
      <c r="B23" s="1" t="str">
        <f>IF('Equipes e Pilotos'!C23&lt;&gt;"",'Equipes e Pilotos'!C23,"")</f>
        <v>Sergio Perez</v>
      </c>
      <c r="C23" s="1" t="str">
        <f>IF(B23&lt;&gt;"",VLOOKUP(B23,'Equipes e Pilotos'!$C$3:$F$30,3,FALSE),"")</f>
        <v>México</v>
      </c>
      <c r="D23" s="1" t="str">
        <f>IF(B23&lt;&gt;"",VLOOKUP(B23,'Equipes e Pilotos'!$C$3:$F$30,4,FALSE),"")</f>
        <v>Cadillac</v>
      </c>
      <c r="E23" s="1">
        <f>IF(B23&lt;&gt;"",SUMIF(Resultados!C:C,B23,Resultados!F:F),"")</f>
        <v>0</v>
      </c>
      <c r="F23" s="7">
        <f>IF(B23&lt;&gt;"",SUMPRODUCT((Resultados!$B$1:$B$602=1)*(Resultados!$C$1:$C$602=B23)*1),"")</f>
        <v>0</v>
      </c>
      <c r="G23" s="7">
        <f>IF(B23&lt;&gt;"",SUMPRODUCT((Resultados!$B$1:$B$602=2)*(Resultados!$C$1:$C$602=B23)*1),"")</f>
        <v>0</v>
      </c>
      <c r="H23" s="7">
        <f>IF(B23&lt;&gt;"",SUMPRODUCT((Resultados!$B$1:$B$602=3)*(Resultados!$C$1:$C$602=B23)*1),"")</f>
        <v>0</v>
      </c>
      <c r="I23" s="7">
        <f>IF(B23&lt;&gt;"",SUMPRODUCT((Resultados!$B$1:$B$602=4)*(Resultados!$C$1:$C$602=B23)*1),"")</f>
        <v>0</v>
      </c>
      <c r="J23" s="7">
        <f>IF(B23&lt;&gt;"",SUMPRODUCT((Resultados!$B$1:$B$602=5)*(Resultados!$C$1:$C$602=B23)*1),"")</f>
        <v>0</v>
      </c>
      <c r="K23" s="7">
        <f>IF(B23&lt;&gt;"",SUMPRODUCT((Resultados!$B$1:$B$602=6)*(Resultados!$C$1:$C$602=B23)*1),"")</f>
        <v>0</v>
      </c>
      <c r="L23" s="7">
        <f>IF(B23&lt;&gt;"",SUMPRODUCT((Resultados!$B$1:$B$602=7)*(Resultados!$C$1:$C$602=B23)*1),"")</f>
        <v>0</v>
      </c>
      <c r="M23" s="7">
        <f>IF(B23&lt;&gt;"",SUMPRODUCT((Resultados!$B$1:$B$602=8)*(Resultados!$C$1:$C$602=B23)*1),"")</f>
        <v>0</v>
      </c>
      <c r="N23" s="7">
        <f>IF(B23&lt;&gt;"",SUMPRODUCT((Resultados!$B$1:$B$602=9)*(Resultados!$C$1:$C$602=B23)*1),"")</f>
        <v>0</v>
      </c>
      <c r="O23" s="7">
        <f>IF(B23&lt;&gt;"",SUMPRODUCT((Resultados!$B$1:$B$602=10)*(Resultados!$C$1:$C$602=B23)*1),"")</f>
        <v>0</v>
      </c>
      <c r="P23" s="7">
        <f>IF(B23&lt;&gt;"",SUMPRODUCT((Resultados!$B$1:$B$602=11)*(Resultados!$C$1:$C$602=B23)*1),"")</f>
        <v>0</v>
      </c>
      <c r="Q23" s="7">
        <f>IF(B23&lt;&gt;"",SUMPRODUCT((Resultados!$B$1:$B$602=12)*(Resultados!$C$1:$C$602=B23)*1),"")</f>
        <v>0</v>
      </c>
      <c r="R23" s="7">
        <f>IF(B23&lt;&gt;"",SUMPRODUCT((Resultados!$B$1:$B$602=13)*(Resultados!$C$1:$C$602=B23)*1),"")</f>
        <v>0</v>
      </c>
      <c r="S23" s="7">
        <f>IF(B23&lt;&gt;"",SUMPRODUCT((Resultados!$B$1:$B$602=14)*(Resultados!$C$1:$C$602=B23)*1),"")</f>
        <v>4</v>
      </c>
      <c r="T23" s="7">
        <f>IF(B23&lt;&gt;"",SUMPRODUCT((Resultados!$B$1:$B$602=15)*(Resultados!$C$1:$C$602=B23)*1),"")</f>
        <v>3</v>
      </c>
      <c r="U23" s="7">
        <f>IF(B23&lt;&gt;"",SUMPRODUCT((Resultados!$B$1:$B$602=16)*(Resultados!$C$1:$C$602=B23)*1),"")</f>
        <v>3</v>
      </c>
      <c r="V23" s="7">
        <f>IF(B23&lt;&gt;"",SUMPRODUCT((Resultados!$B$1:$B$602=17)*(Resultados!$C$1:$C$602=B23)*1),"")</f>
        <v>2</v>
      </c>
      <c r="W23" s="7">
        <f>IF(B23&lt;&gt;"",SUMPRODUCT((Resultados!$B$1:$B$602=18)*(Resultados!$C$1:$C$602=B23)*1),"")</f>
        <v>1</v>
      </c>
      <c r="X23" s="7">
        <f>IF(B23&lt;&gt;"",SUMPRODUCT((Resultados!$B$1:$B$602=19)*(Resultados!$C$1:$C$602=B23)*1),"")</f>
        <v>2</v>
      </c>
      <c r="Y23" s="7">
        <f>IF(B23&lt;&gt;"",SUMPRODUCT((Resultados!$B$1:$B$602=20)*(Resultados!$C$1:$C$602=B23)*1),"")</f>
        <v>0</v>
      </c>
      <c r="Z23" s="7">
        <f>IF(B23&lt;&gt;"",SUMPRODUCT((Resultados!$B$1:$B$602=21)*(Resultados!$C$1:$C$602=B23)*1),"")</f>
        <v>4</v>
      </c>
      <c r="AA23" s="7">
        <f>IF(B23&lt;&gt;"",SUMPRODUCT((Resultados!$B$1:$B$602=22)*(Resultados!$C$1:$C$602=B23)*1),"")</f>
        <v>1</v>
      </c>
      <c r="AB23" s="7">
        <f>IF(B23&lt;&gt;"",SUMPRODUCT((Resultados!$B$1:$B$602=23)*(Resultados!$C$1:$C$602=B23)*1),"")</f>
        <v>0</v>
      </c>
      <c r="AC23" s="7">
        <f>IF(B23&lt;&gt;"",SUMPRODUCT((Resultados!$B$1:$B$602=24)*(Resultados!$C$1:$C$602=B23)*1),"")</f>
        <v>0</v>
      </c>
      <c r="AD23" s="6">
        <f t="shared" si="1"/>
        <v>0</v>
      </c>
      <c r="AE23" s="6">
        <f t="shared" si="2"/>
        <v>0</v>
      </c>
      <c r="AF23" s="6">
        <f t="shared" si="3"/>
        <v>0</v>
      </c>
      <c r="AG23" s="6">
        <f t="shared" si="4"/>
        <v>0</v>
      </c>
      <c r="AH23" s="6">
        <f t="shared" si="5"/>
        <v>0</v>
      </c>
      <c r="AI23" s="6">
        <f t="shared" si="6"/>
        <v>0</v>
      </c>
      <c r="AJ23" s="6">
        <f t="shared" si="7"/>
        <v>0</v>
      </c>
      <c r="AK23" s="6">
        <f t="shared" si="8"/>
        <v>0</v>
      </c>
      <c r="AL23" s="6">
        <f t="shared" si="9"/>
        <v>0</v>
      </c>
      <c r="AM23" s="6">
        <f t="shared" si="10"/>
        <v>0</v>
      </c>
      <c r="AN23" s="6">
        <f t="shared" si="11"/>
        <v>0</v>
      </c>
      <c r="AO23" s="6">
        <f t="shared" si="12"/>
        <v>1</v>
      </c>
      <c r="AP23" s="6">
        <f t="shared" si="13"/>
        <v>1</v>
      </c>
      <c r="AQ23" s="6">
        <f t="shared" si="14"/>
        <v>0</v>
      </c>
      <c r="AR23" s="6">
        <f t="shared" si="15"/>
        <v>0</v>
      </c>
      <c r="AS23" s="6">
        <f t="shared" si="16"/>
        <v>0</v>
      </c>
      <c r="AT23" s="6">
        <f t="shared" si="17"/>
        <v>0</v>
      </c>
      <c r="AU23" s="6">
        <f t="shared" si="18"/>
        <v>0</v>
      </c>
      <c r="AV23" s="6">
        <f t="shared" si="19"/>
        <v>0</v>
      </c>
      <c r="AW23" s="6">
        <f t="shared" si="20"/>
        <v>0</v>
      </c>
      <c r="AX23" s="6">
        <f t="shared" si="21"/>
        <v>0</v>
      </c>
      <c r="AY23" s="6">
        <f t="shared" si="22"/>
        <v>0</v>
      </c>
      <c r="AZ23" s="6">
        <f t="shared" si="23"/>
        <v>0</v>
      </c>
      <c r="BA23" s="6">
        <f t="shared" si="24"/>
        <v>0</v>
      </c>
      <c r="BB23" s="6">
        <f t="shared" si="25"/>
        <v>0</v>
      </c>
      <c r="BC23" s="6">
        <f>IF(B23&lt;&gt;"",'Equipes e Pilotos'!B23,"")</f>
        <v>21</v>
      </c>
    </row>
    <row r="24" spans="1:55" x14ac:dyDescent="0.2">
      <c r="A24" s="1">
        <f t="shared" si="0"/>
        <v>22</v>
      </c>
      <c r="B24" s="1" t="str">
        <f>IF('Equipes e Pilotos'!C24&lt;&gt;"",'Equipes e Pilotos'!C24,"")</f>
        <v>Valtteri Bottas</v>
      </c>
      <c r="C24" s="1" t="str">
        <f>IF(B24&lt;&gt;"",VLOOKUP(B24,'Equipes e Pilotos'!$C$3:$F$30,3,FALSE),"")</f>
        <v>Finlândia</v>
      </c>
      <c r="D24" s="1" t="str">
        <f>IF(B24&lt;&gt;"",VLOOKUP(B24,'Equipes e Pilotos'!$C$3:$F$30,4,FALSE),"")</f>
        <v>Cadillac</v>
      </c>
      <c r="E24" s="1">
        <f>IF(B24&lt;&gt;"",SUMIF(Resultados!C:C,B24,Resultados!F:F),"")</f>
        <v>0</v>
      </c>
      <c r="F24" s="7">
        <f>IF(B24&lt;&gt;"",SUMPRODUCT((Resultados!$B$1:$B$602=1)*(Resultados!$C$1:$C$602=B24)*1),"")</f>
        <v>0</v>
      </c>
      <c r="G24" s="7">
        <f>IF(B24&lt;&gt;"",SUMPRODUCT((Resultados!$B$1:$B$602=2)*(Resultados!$C$1:$C$602=B24)*1),"")</f>
        <v>0</v>
      </c>
      <c r="H24" s="7">
        <f>IF(B24&lt;&gt;"",SUMPRODUCT((Resultados!$B$1:$B$602=3)*(Resultados!$C$1:$C$602=B24)*1),"")</f>
        <v>0</v>
      </c>
      <c r="I24" s="7">
        <f>IF(B24&lt;&gt;"",SUMPRODUCT((Resultados!$B$1:$B$602=4)*(Resultados!$C$1:$C$602=B24)*1),"")</f>
        <v>0</v>
      </c>
      <c r="J24" s="7">
        <f>IF(B24&lt;&gt;"",SUMPRODUCT((Resultados!$B$1:$B$602=5)*(Resultados!$C$1:$C$602=B24)*1),"")</f>
        <v>0</v>
      </c>
      <c r="K24" s="7">
        <f>IF(B24&lt;&gt;"",SUMPRODUCT((Resultados!$B$1:$B$602=6)*(Resultados!$C$1:$C$602=B24)*1),"")</f>
        <v>0</v>
      </c>
      <c r="L24" s="7">
        <f>IF(B24&lt;&gt;"",SUMPRODUCT((Resultados!$B$1:$B$602=7)*(Resultados!$C$1:$C$602=B24)*1),"")</f>
        <v>0</v>
      </c>
      <c r="M24" s="7">
        <f>IF(B24&lt;&gt;"",SUMPRODUCT((Resultados!$B$1:$B$602=8)*(Resultados!$C$1:$C$602=B24)*1),"")</f>
        <v>0</v>
      </c>
      <c r="N24" s="7">
        <f>IF(B24&lt;&gt;"",SUMPRODUCT((Resultados!$B$1:$B$602=9)*(Resultados!$C$1:$C$602=B24)*1),"")</f>
        <v>0</v>
      </c>
      <c r="O24" s="7">
        <f>IF(B24&lt;&gt;"",SUMPRODUCT((Resultados!$B$1:$B$602=10)*(Resultados!$C$1:$C$602=B24)*1),"")</f>
        <v>0</v>
      </c>
      <c r="P24" s="7">
        <f>IF(B24&lt;&gt;"",SUMPRODUCT((Resultados!$B$1:$B$602=11)*(Resultados!$C$1:$C$602=B24)*1),"")</f>
        <v>0</v>
      </c>
      <c r="Q24" s="7">
        <f>IF(B24&lt;&gt;"",SUMPRODUCT((Resultados!$B$1:$B$602=12)*(Resultados!$C$1:$C$602=B24)*1),"")</f>
        <v>0</v>
      </c>
      <c r="R24" s="7">
        <f>IF(B24&lt;&gt;"",SUMPRODUCT((Resultados!$B$1:$B$602=13)*(Resultados!$C$1:$C$602=B24)*1),"")</f>
        <v>1</v>
      </c>
      <c r="S24" s="7">
        <f>IF(B24&lt;&gt;"",SUMPRODUCT((Resultados!$B$1:$B$602=14)*(Resultados!$C$1:$C$602=B24)*1),"")</f>
        <v>0</v>
      </c>
      <c r="T24" s="7">
        <f>IF(B24&lt;&gt;"",SUMPRODUCT((Resultados!$B$1:$B$602=15)*(Resultados!$C$1:$C$602=B24)*1),"")</f>
        <v>0</v>
      </c>
      <c r="U24" s="7">
        <f>IF(B24&lt;&gt;"",SUMPRODUCT((Resultados!$B$1:$B$602=16)*(Resultados!$C$1:$C$602=B24)*1),"")</f>
        <v>3</v>
      </c>
      <c r="V24" s="7">
        <f>IF(B24&lt;&gt;"",SUMPRODUCT((Resultados!$B$1:$B$602=17)*(Resultados!$C$1:$C$602=B24)*1),"")</f>
        <v>1</v>
      </c>
      <c r="W24" s="7">
        <f>IF(B24&lt;&gt;"",SUMPRODUCT((Resultados!$B$1:$B$602=18)*(Resultados!$C$1:$C$602=B24)*1),"")</f>
        <v>4</v>
      </c>
      <c r="X24" s="7">
        <f>IF(B24&lt;&gt;"",SUMPRODUCT((Resultados!$B$1:$B$602=19)*(Resultados!$C$1:$C$602=B24)*1),"")</f>
        <v>6</v>
      </c>
      <c r="Y24" s="7">
        <f>IF(B24&lt;&gt;"",SUMPRODUCT((Resultados!$B$1:$B$602=20)*(Resultados!$C$1:$C$602=B24)*1),"")</f>
        <v>1</v>
      </c>
      <c r="Z24" s="7">
        <f>IF(B24&lt;&gt;"",SUMPRODUCT((Resultados!$B$1:$B$602=21)*(Resultados!$C$1:$C$602=B24)*1),"")</f>
        <v>3</v>
      </c>
      <c r="AA24" s="7">
        <f>IF(B24&lt;&gt;"",SUMPRODUCT((Resultados!$B$1:$B$602=22)*(Resultados!$C$1:$C$602=B24)*1),"")</f>
        <v>3</v>
      </c>
      <c r="AB24" s="7">
        <f>IF(B24&lt;&gt;"",SUMPRODUCT((Resultados!$B$1:$B$602=23)*(Resultados!$C$1:$C$602=B24)*1),"")</f>
        <v>0</v>
      </c>
      <c r="AC24" s="7">
        <f>IF(B24&lt;&gt;"",SUMPRODUCT((Resultados!$B$1:$B$602=24)*(Resultados!$C$1:$C$602=B24)*1),"")</f>
        <v>0</v>
      </c>
      <c r="AD24" s="6">
        <f t="shared" si="1"/>
        <v>0</v>
      </c>
      <c r="AE24" s="6">
        <f t="shared" si="2"/>
        <v>0</v>
      </c>
      <c r="AF24" s="6">
        <f t="shared" si="3"/>
        <v>0</v>
      </c>
      <c r="AG24" s="6">
        <f t="shared" si="4"/>
        <v>0</v>
      </c>
      <c r="AH24" s="6">
        <f t="shared" si="5"/>
        <v>0</v>
      </c>
      <c r="AI24" s="6">
        <f t="shared" si="6"/>
        <v>0</v>
      </c>
      <c r="AJ24" s="6">
        <f t="shared" si="7"/>
        <v>0</v>
      </c>
      <c r="AK24" s="6">
        <f t="shared" si="8"/>
        <v>0</v>
      </c>
      <c r="AL24" s="6">
        <f t="shared" si="9"/>
        <v>0</v>
      </c>
      <c r="AM24" s="6">
        <f t="shared" si="10"/>
        <v>0</v>
      </c>
      <c r="AN24" s="6">
        <f t="shared" si="11"/>
        <v>0</v>
      </c>
      <c r="AO24" s="6">
        <f t="shared" si="12"/>
        <v>1</v>
      </c>
      <c r="AP24" s="6">
        <f t="shared" si="13"/>
        <v>0</v>
      </c>
      <c r="AQ24" s="6">
        <f t="shared" si="14"/>
        <v>0</v>
      </c>
      <c r="AR24" s="6">
        <f t="shared" si="15"/>
        <v>0</v>
      </c>
      <c r="AS24" s="6">
        <f t="shared" si="16"/>
        <v>0</v>
      </c>
      <c r="AT24" s="6">
        <f t="shared" si="17"/>
        <v>0</v>
      </c>
      <c r="AU24" s="6">
        <f t="shared" si="18"/>
        <v>0</v>
      </c>
      <c r="AV24" s="6">
        <f t="shared" si="19"/>
        <v>0</v>
      </c>
      <c r="AW24" s="6">
        <f t="shared" si="20"/>
        <v>0</v>
      </c>
      <c r="AX24" s="6">
        <f t="shared" si="21"/>
        <v>0</v>
      </c>
      <c r="AY24" s="6">
        <f t="shared" si="22"/>
        <v>0</v>
      </c>
      <c r="AZ24" s="6">
        <f t="shared" si="23"/>
        <v>0</v>
      </c>
      <c r="BA24" s="6">
        <f t="shared" si="24"/>
        <v>0</v>
      </c>
      <c r="BB24" s="6">
        <f t="shared" si="25"/>
        <v>0</v>
      </c>
      <c r="BC24" s="6">
        <f>IF(B24&lt;&gt;"",'Equipes e Pilotos'!B24,"")</f>
        <v>22</v>
      </c>
    </row>
    <row r="25" spans="1:55" x14ac:dyDescent="0.2">
      <c r="A25" s="1">
        <f t="shared" si="0"/>
        <v>20</v>
      </c>
      <c r="B25" s="1" t="str">
        <f>IF('Equipes e Pilotos'!C25&lt;&gt;"",'Equipes e Pilotos'!C25,"")</f>
        <v>Yuki Tsunoda</v>
      </c>
      <c r="C25" s="1" t="str">
        <f>IF(B25&lt;&gt;"",VLOOKUP(B25,'Equipes e Pilotos'!$C$3:$F$30,3,FALSE),"")</f>
        <v>Japão</v>
      </c>
      <c r="D25" s="1" t="str">
        <f>IF(B25&lt;&gt;"",VLOOKUP(B25,'Equipes e Pilotos'!$C$3:$F$30,4,FALSE),"")</f>
        <v>Racing Bulls</v>
      </c>
      <c r="E25" s="1">
        <f>IF(B25&lt;&gt;"",SUMIF(Resultados!C:C,B25,Resultados!F:F),"")</f>
        <v>1</v>
      </c>
      <c r="F25" s="7">
        <f>IF(B25&lt;&gt;"",SUMPRODUCT((Resultados!$B$1:$B$602=1)*(Resultados!$C$1:$C$602=B25)*1),"")</f>
        <v>0</v>
      </c>
      <c r="G25" s="7">
        <f>IF(B25&lt;&gt;"",SUMPRODUCT((Resultados!$B$1:$B$602=2)*(Resultados!$C$1:$C$602=B25)*1),"")</f>
        <v>0</v>
      </c>
      <c r="H25" s="7">
        <f>IF(B25&lt;&gt;"",SUMPRODUCT((Resultados!$B$1:$B$602=3)*(Resultados!$C$1:$C$602=B25)*1),"")</f>
        <v>0</v>
      </c>
      <c r="I25" s="7">
        <f>IF(B25&lt;&gt;"",SUMPRODUCT((Resultados!$B$1:$B$602=4)*(Resultados!$C$1:$C$602=B25)*1),"")</f>
        <v>0</v>
      </c>
      <c r="J25" s="7">
        <f>IF(B25&lt;&gt;"",SUMPRODUCT((Resultados!$B$1:$B$602=5)*(Resultados!$C$1:$C$602=B25)*1),"")</f>
        <v>0</v>
      </c>
      <c r="K25" s="7">
        <f>IF(B25&lt;&gt;"",SUMPRODUCT((Resultados!$B$1:$B$602=6)*(Resultados!$C$1:$C$602=B25)*1),"")</f>
        <v>0</v>
      </c>
      <c r="L25" s="7">
        <f>IF(B25&lt;&gt;"",SUMPRODUCT((Resultados!$B$1:$B$602=7)*(Resultados!$C$1:$C$602=B25)*1),"")</f>
        <v>0</v>
      </c>
      <c r="M25" s="7">
        <f>IF(B25&lt;&gt;"",SUMPRODUCT((Resultados!$B$1:$B$602=8)*(Resultados!$C$1:$C$602=B25)*1),"")</f>
        <v>0</v>
      </c>
      <c r="N25" s="7">
        <f>IF(B25&lt;&gt;"",SUMPRODUCT((Resultados!$B$1:$B$602=9)*(Resultados!$C$1:$C$602=B25)*1),"")</f>
        <v>0</v>
      </c>
      <c r="O25" s="7">
        <f>IF(B25&lt;&gt;"",SUMPRODUCT((Resultados!$B$1:$B$602=10)*(Resultados!$C$1:$C$602=B25)*1),"")</f>
        <v>1</v>
      </c>
      <c r="P25" s="7">
        <f>IF(B25&lt;&gt;"",SUMPRODUCT((Resultados!$B$1:$B$602=11)*(Resultados!$C$1:$C$602=B25)*1),"")</f>
        <v>1</v>
      </c>
      <c r="Q25" s="7">
        <f>IF(B25&lt;&gt;"",SUMPRODUCT((Resultados!$B$1:$B$602=12)*(Resultados!$C$1:$C$602=B25)*1),"")</f>
        <v>0</v>
      </c>
      <c r="R25" s="7">
        <f>IF(B25&lt;&gt;"",SUMPRODUCT((Resultados!$B$1:$B$602=13)*(Resultados!$C$1:$C$602=B25)*1),"")</f>
        <v>1</v>
      </c>
      <c r="S25" s="7">
        <f>IF(B25&lt;&gt;"",SUMPRODUCT((Resultados!$B$1:$B$602=14)*(Resultados!$C$1:$C$602=B25)*1),"")</f>
        <v>1</v>
      </c>
      <c r="T25" s="7">
        <f>IF(B25&lt;&gt;"",SUMPRODUCT((Resultados!$B$1:$B$602=15)*(Resultados!$C$1:$C$602=B25)*1),"")</f>
        <v>0</v>
      </c>
      <c r="U25" s="7">
        <f>IF(B25&lt;&gt;"",SUMPRODUCT((Resultados!$B$1:$B$602=16)*(Resultados!$C$1:$C$602=B25)*1),"")</f>
        <v>0</v>
      </c>
      <c r="V25" s="7">
        <f>IF(B25&lt;&gt;"",SUMPRODUCT((Resultados!$B$1:$B$602=17)*(Resultados!$C$1:$C$602=B25)*1),"")</f>
        <v>0</v>
      </c>
      <c r="W25" s="7">
        <f>IF(B25&lt;&gt;"",SUMPRODUCT((Resultados!$B$1:$B$602=18)*(Resultados!$C$1:$C$602=B25)*1),"")</f>
        <v>0</v>
      </c>
      <c r="X25" s="7">
        <f>IF(B25&lt;&gt;"",SUMPRODUCT((Resultados!$B$1:$B$602=19)*(Resultados!$C$1:$C$602=B25)*1),"")</f>
        <v>0</v>
      </c>
      <c r="Y25" s="7">
        <f>IF(B25&lt;&gt;"",SUMPRODUCT((Resultados!$B$1:$B$602=20)*(Resultados!$C$1:$C$602=B25)*1),"")</f>
        <v>0</v>
      </c>
      <c r="Z25" s="7">
        <f>IF(B25&lt;&gt;"",SUMPRODUCT((Resultados!$B$1:$B$602=21)*(Resultados!$C$1:$C$602=B25)*1),"")</f>
        <v>0</v>
      </c>
      <c r="AA25" s="7">
        <f>IF(B25&lt;&gt;"",SUMPRODUCT((Resultados!$B$1:$B$602=22)*(Resultados!$C$1:$C$602=B25)*1),"")</f>
        <v>0</v>
      </c>
      <c r="AB25" s="7">
        <f>IF(B25&lt;&gt;"",SUMPRODUCT((Resultados!$B$1:$B$602=23)*(Resultados!$C$1:$C$602=B25)*1),"")</f>
        <v>0</v>
      </c>
      <c r="AC25" s="7">
        <f>IF(B25&lt;&gt;"",SUMPRODUCT((Resultados!$B$1:$B$602=24)*(Resultados!$C$1:$C$602=B25)*1),"")</f>
        <v>0</v>
      </c>
      <c r="AD25" s="6">
        <f t="shared" si="1"/>
        <v>0</v>
      </c>
      <c r="AE25" s="6">
        <f t="shared" si="2"/>
        <v>0</v>
      </c>
      <c r="AF25" s="6">
        <f t="shared" si="3"/>
        <v>0</v>
      </c>
      <c r="AG25" s="6">
        <f t="shared" si="4"/>
        <v>0</v>
      </c>
      <c r="AH25" s="6">
        <f t="shared" si="5"/>
        <v>0</v>
      </c>
      <c r="AI25" s="6">
        <f t="shared" si="6"/>
        <v>0</v>
      </c>
      <c r="AJ25" s="6">
        <f t="shared" si="7"/>
        <v>0</v>
      </c>
      <c r="AK25" s="6">
        <f t="shared" si="8"/>
        <v>0</v>
      </c>
      <c r="AL25" s="6">
        <f t="shared" si="9"/>
        <v>0</v>
      </c>
      <c r="AM25" s="6">
        <f t="shared" si="10"/>
        <v>0</v>
      </c>
      <c r="AN25" s="6">
        <f t="shared" si="11"/>
        <v>0</v>
      </c>
      <c r="AO25" s="6">
        <f t="shared" si="12"/>
        <v>0</v>
      </c>
      <c r="AP25" s="6">
        <f t="shared" si="13"/>
        <v>0</v>
      </c>
      <c r="AQ25" s="6">
        <f t="shared" si="14"/>
        <v>0</v>
      </c>
      <c r="AR25" s="6">
        <f t="shared" si="15"/>
        <v>0</v>
      </c>
      <c r="AS25" s="6">
        <f t="shared" si="16"/>
        <v>0</v>
      </c>
      <c r="AT25" s="6">
        <f t="shared" si="17"/>
        <v>0</v>
      </c>
      <c r="AU25" s="6">
        <f t="shared" si="18"/>
        <v>0</v>
      </c>
      <c r="AV25" s="6">
        <f t="shared" si="19"/>
        <v>0</v>
      </c>
      <c r="AW25" s="6">
        <f t="shared" si="20"/>
        <v>0</v>
      </c>
      <c r="AX25" s="6">
        <f t="shared" si="21"/>
        <v>0</v>
      </c>
      <c r="AY25" s="6">
        <f t="shared" si="22"/>
        <v>0</v>
      </c>
      <c r="AZ25" s="6">
        <f t="shared" si="23"/>
        <v>0</v>
      </c>
      <c r="BA25" s="6">
        <f t="shared" si="24"/>
        <v>0</v>
      </c>
      <c r="BB25" s="6">
        <f t="shared" si="25"/>
        <v>0</v>
      </c>
      <c r="BC25" s="6">
        <f>IF(B25&lt;&gt;"",'Equipes e Pilotos'!B25,"")</f>
        <v>23</v>
      </c>
    </row>
    <row r="26" spans="1:55" x14ac:dyDescent="0.2">
      <c r="A26" s="1" t="str">
        <f t="shared" si="0"/>
        <v/>
      </c>
      <c r="B26" s="1" t="str">
        <f>IF('Equipes e Pilotos'!C26&lt;&gt;"",'Equipes e Pilotos'!C26,"")</f>
        <v/>
      </c>
      <c r="C26" s="1" t="str">
        <f>IF(B26&lt;&gt;"",VLOOKUP(B26,'Equipes e Pilotos'!$C$3:$F$30,3,FALSE),"")</f>
        <v/>
      </c>
      <c r="D26" s="1" t="str">
        <f>IF(B26&lt;&gt;"",VLOOKUP(B26,'Equipes e Pilotos'!$C$3:$F$30,4,FALSE),"")</f>
        <v/>
      </c>
      <c r="E26" s="1" t="str">
        <f>IF(B26&lt;&gt;"",SUMIF(Resultados!C:C,B26,Resultados!F:F),"")</f>
        <v/>
      </c>
      <c r="F26" s="7" t="str">
        <f>IF(B26&lt;&gt;"",SUMPRODUCT((Resultados!$B$1:$B$602=1)*(Resultados!$C$1:$C$602=B26)*1),"")</f>
        <v/>
      </c>
      <c r="G26" s="7" t="str">
        <f>IF(B26&lt;&gt;"",SUMPRODUCT((Resultados!$B$1:$B$602=2)*(Resultados!$C$1:$C$602=B26)*1),"")</f>
        <v/>
      </c>
      <c r="H26" s="7" t="str">
        <f>IF(B26&lt;&gt;"",SUMPRODUCT((Resultados!$B$1:$B$602=3)*(Resultados!$C$1:$C$602=B26)*1),"")</f>
        <v/>
      </c>
      <c r="I26" s="7" t="str">
        <f>IF(B26&lt;&gt;"",SUMPRODUCT((Resultados!$B$1:$B$602=4)*(Resultados!$C$1:$C$602=B26)*1),"")</f>
        <v/>
      </c>
      <c r="J26" s="7" t="str">
        <f>IF(B26&lt;&gt;"",SUMPRODUCT((Resultados!$B$1:$B$602=5)*(Resultados!$C$1:$C$602=B26)*1),"")</f>
        <v/>
      </c>
      <c r="K26" s="7" t="str">
        <f>IF(B26&lt;&gt;"",SUMPRODUCT((Resultados!$B$1:$B$602=6)*(Resultados!$C$1:$C$602=B26)*1),"")</f>
        <v/>
      </c>
      <c r="L26" s="7" t="str">
        <f>IF(B26&lt;&gt;"",SUMPRODUCT((Resultados!$B$1:$B$602=7)*(Resultados!$C$1:$C$602=B26)*1),"")</f>
        <v/>
      </c>
      <c r="M26" s="7" t="str">
        <f>IF(B26&lt;&gt;"",SUMPRODUCT((Resultados!$B$1:$B$602=8)*(Resultados!$C$1:$C$602=B26)*1),"")</f>
        <v/>
      </c>
      <c r="N26" s="7" t="str">
        <f>IF(B26&lt;&gt;"",SUMPRODUCT((Resultados!$B$1:$B$602=9)*(Resultados!$C$1:$C$602=B26)*1),"")</f>
        <v/>
      </c>
      <c r="O26" s="7" t="str">
        <f>IF(B26&lt;&gt;"",SUMPRODUCT((Resultados!$B$1:$B$602=10)*(Resultados!$C$1:$C$602=B26)*1),"")</f>
        <v/>
      </c>
      <c r="P26" s="7" t="str">
        <f>IF(B26&lt;&gt;"",SUMPRODUCT((Resultados!$B$1:$B$602=11)*(Resultados!$C$1:$C$602=B26)*1),"")</f>
        <v/>
      </c>
      <c r="Q26" s="7" t="str">
        <f>IF(B26&lt;&gt;"",SUMPRODUCT((Resultados!$B$1:$B$602=12)*(Resultados!$C$1:$C$602=B26)*1),"")</f>
        <v/>
      </c>
      <c r="R26" s="7" t="str">
        <f>IF(B26&lt;&gt;"",SUMPRODUCT((Resultados!$B$1:$B$602=13)*(Resultados!$C$1:$C$602=B26)*1),"")</f>
        <v/>
      </c>
      <c r="S26" s="7" t="str">
        <f>IF(B26&lt;&gt;"",SUMPRODUCT((Resultados!$B$1:$B$602=14)*(Resultados!$C$1:$C$602=B26)*1),"")</f>
        <v/>
      </c>
      <c r="T26" s="7" t="str">
        <f>IF(B26&lt;&gt;"",SUMPRODUCT((Resultados!$B$1:$B$602=15)*(Resultados!$C$1:$C$602=B26)*1),"")</f>
        <v/>
      </c>
      <c r="U26" s="7" t="str">
        <f>IF(B26&lt;&gt;"",SUMPRODUCT((Resultados!$B$1:$B$602=16)*(Resultados!$C$1:$C$602=B26)*1),"")</f>
        <v/>
      </c>
      <c r="V26" s="7" t="str">
        <f>IF(B26&lt;&gt;"",SUMPRODUCT((Resultados!$B$1:$B$602=17)*(Resultados!$C$1:$C$602=B26)*1),"")</f>
        <v/>
      </c>
      <c r="W26" s="7" t="str">
        <f>IF(B26&lt;&gt;"",SUMPRODUCT((Resultados!$B$1:$B$602=18)*(Resultados!$C$1:$C$602=B26)*1),"")</f>
        <v/>
      </c>
      <c r="X26" s="7" t="str">
        <f>IF(B26&lt;&gt;"",SUMPRODUCT((Resultados!$B$1:$B$602=19)*(Resultados!$C$1:$C$602=B26)*1),"")</f>
        <v/>
      </c>
      <c r="Y26" s="7" t="str">
        <f>IF(B26&lt;&gt;"",SUMPRODUCT((Resultados!$B$1:$B$602=20)*(Resultados!$C$1:$C$602=B26)*1),"")</f>
        <v/>
      </c>
      <c r="Z26" s="7" t="str">
        <f>IF(B26&lt;&gt;"",SUMPRODUCT((Resultados!$B$1:$B$602=21)*(Resultados!$C$1:$C$602=B26)*1),"")</f>
        <v/>
      </c>
      <c r="AA26" s="7" t="str">
        <f>IF(B26&lt;&gt;"",SUMPRODUCT((Resultados!$B$1:$B$602=22)*(Resultados!$C$1:$C$602=B26)*1),"")</f>
        <v/>
      </c>
      <c r="AB26" s="7" t="str">
        <f>IF(B26&lt;&gt;"",SUMPRODUCT((Resultados!$B$1:$B$602=23)*(Resultados!$C$1:$C$602=B26)*1),"")</f>
        <v/>
      </c>
      <c r="AC26" s="7" t="str">
        <f>IF(B26&lt;&gt;"",SUMPRODUCT((Resultados!$B$1:$B$602=24)*(Resultados!$C$1:$C$602=B26)*1),"")</f>
        <v/>
      </c>
      <c r="AD26" s="6" t="str">
        <f t="shared" si="1"/>
        <v/>
      </c>
      <c r="AE26" s="6" t="str">
        <f t="shared" si="2"/>
        <v/>
      </c>
      <c r="AF26" s="6" t="str">
        <f t="shared" si="3"/>
        <v/>
      </c>
      <c r="AG26" s="6" t="str">
        <f t="shared" si="4"/>
        <v/>
      </c>
      <c r="AH26" s="6" t="str">
        <f t="shared" si="5"/>
        <v/>
      </c>
      <c r="AI26" s="6" t="str">
        <f t="shared" si="6"/>
        <v/>
      </c>
      <c r="AJ26" s="6" t="str">
        <f t="shared" si="7"/>
        <v/>
      </c>
      <c r="AK26" s="6" t="str">
        <f t="shared" si="8"/>
        <v/>
      </c>
      <c r="AL26" s="6" t="str">
        <f t="shared" si="9"/>
        <v/>
      </c>
      <c r="AM26" s="6" t="str">
        <f t="shared" si="10"/>
        <v/>
      </c>
      <c r="AN26" s="6" t="str">
        <f t="shared" si="11"/>
        <v/>
      </c>
      <c r="AO26" s="6" t="str">
        <f t="shared" si="12"/>
        <v/>
      </c>
      <c r="AP26" s="6" t="str">
        <f t="shared" si="13"/>
        <v/>
      </c>
      <c r="AQ26" s="6" t="str">
        <f t="shared" si="14"/>
        <v/>
      </c>
      <c r="AR26" s="6" t="str">
        <f t="shared" si="15"/>
        <v/>
      </c>
      <c r="AS26" s="6" t="str">
        <f t="shared" si="16"/>
        <v/>
      </c>
      <c r="AT26" s="6" t="str">
        <f t="shared" si="17"/>
        <v/>
      </c>
      <c r="AU26" s="6" t="str">
        <f t="shared" si="18"/>
        <v/>
      </c>
      <c r="AV26" s="6" t="str">
        <f t="shared" si="19"/>
        <v/>
      </c>
      <c r="AW26" s="6" t="str">
        <f t="shared" si="20"/>
        <v/>
      </c>
      <c r="AX26" s="6" t="str">
        <f t="shared" si="21"/>
        <v/>
      </c>
      <c r="AY26" s="6" t="str">
        <f t="shared" si="22"/>
        <v/>
      </c>
      <c r="AZ26" s="6" t="str">
        <f t="shared" si="23"/>
        <v/>
      </c>
      <c r="BA26" s="6" t="str">
        <f t="shared" si="24"/>
        <v/>
      </c>
      <c r="BB26" s="6" t="str">
        <f t="shared" si="25"/>
        <v/>
      </c>
      <c r="BC26" s="6" t="str">
        <f>IF(B26&lt;&gt;"",'Equipes e Pilotos'!B26,"")</f>
        <v/>
      </c>
    </row>
    <row r="27" spans="1:55" x14ac:dyDescent="0.2">
      <c r="A27" s="1" t="str">
        <f>IF(B27&lt;&gt;"",RANK(E27,E$3:E$30)+SUM(AD27:BB27),"")</f>
        <v/>
      </c>
      <c r="B27" s="1" t="str">
        <f>IF('Equipes e Pilotos'!C27&lt;&gt;"",'Equipes e Pilotos'!C27,"")</f>
        <v/>
      </c>
      <c r="C27" s="1" t="str">
        <f>IF(B27&lt;&gt;"",VLOOKUP(B27,'Equipes e Pilotos'!$C$3:$F$30,3,FALSE),"")</f>
        <v/>
      </c>
      <c r="D27" s="1" t="str">
        <f>IF(B27&lt;&gt;"",VLOOKUP(B27,'Equipes e Pilotos'!$C$3:$F$30,4,FALSE),"")</f>
        <v/>
      </c>
      <c r="E27" s="1" t="str">
        <f>IF(B27&lt;&gt;"",SUMIF(Resultados!C:C,B27,Resultados!F:F),"")</f>
        <v/>
      </c>
      <c r="F27" s="7" t="str">
        <f>IF(B27&lt;&gt;"",SUMPRODUCT((Resultados!$B$1:$B$602=1)*(Resultados!$C$1:$C$602=B27)*1),"")</f>
        <v/>
      </c>
      <c r="G27" s="7" t="str">
        <f>IF(B27&lt;&gt;"",SUMPRODUCT((Resultados!$B$1:$B$602=2)*(Resultados!$C$1:$C$602=B27)*1),"")</f>
        <v/>
      </c>
      <c r="H27" s="7" t="str">
        <f>IF(B27&lt;&gt;"",SUMPRODUCT((Resultados!$B$1:$B$602=3)*(Resultados!$C$1:$C$602=B27)*1),"")</f>
        <v/>
      </c>
      <c r="I27" s="7" t="str">
        <f>IF(B27&lt;&gt;"",SUMPRODUCT((Resultados!$B$1:$B$602=4)*(Resultados!$C$1:$C$602=B27)*1),"")</f>
        <v/>
      </c>
      <c r="J27" s="7" t="str">
        <f>IF(B27&lt;&gt;"",SUMPRODUCT((Resultados!$B$1:$B$602=5)*(Resultados!$C$1:$C$602=B27)*1),"")</f>
        <v/>
      </c>
      <c r="K27" s="7" t="str">
        <f>IF(B27&lt;&gt;"",SUMPRODUCT((Resultados!$B$1:$B$602=6)*(Resultados!$C$1:$C$602=B27)*1),"")</f>
        <v/>
      </c>
      <c r="L27" s="7" t="str">
        <f>IF(B27&lt;&gt;"",SUMPRODUCT((Resultados!$B$1:$B$602=7)*(Resultados!$C$1:$C$602=B27)*1),"")</f>
        <v/>
      </c>
      <c r="M27" s="7" t="str">
        <f>IF(B27&lt;&gt;"",SUMPRODUCT((Resultados!$B$1:$B$602=8)*(Resultados!$C$1:$C$602=B27)*1),"")</f>
        <v/>
      </c>
      <c r="N27" s="7" t="str">
        <f>IF(B27&lt;&gt;"",SUMPRODUCT((Resultados!$B$1:$B$602=9)*(Resultados!$C$1:$C$602=B27)*1),"")</f>
        <v/>
      </c>
      <c r="O27" s="7" t="str">
        <f>IF(B27&lt;&gt;"",SUMPRODUCT((Resultados!$B$1:$B$602=10)*(Resultados!$C$1:$C$602=B27)*1),"")</f>
        <v/>
      </c>
      <c r="P27" s="7" t="str">
        <f>IF(B27&lt;&gt;"",SUMPRODUCT((Resultados!$B$1:$B$602=11)*(Resultados!$C$1:$C$602=B27)*1),"")</f>
        <v/>
      </c>
      <c r="Q27" s="7" t="str">
        <f>IF(B27&lt;&gt;"",SUMPRODUCT((Resultados!$B$1:$B$602=12)*(Resultados!$C$1:$C$602=B27)*1),"")</f>
        <v/>
      </c>
      <c r="R27" s="7" t="str">
        <f>IF(B27&lt;&gt;"",SUMPRODUCT((Resultados!$B$1:$B$602=13)*(Resultados!$C$1:$C$602=B27)*1),"")</f>
        <v/>
      </c>
      <c r="S27" s="7" t="str">
        <f>IF(B27&lt;&gt;"",SUMPRODUCT((Resultados!$B$1:$B$602=14)*(Resultados!$C$1:$C$602=B27)*1),"")</f>
        <v/>
      </c>
      <c r="T27" s="7" t="str">
        <f>IF(B27&lt;&gt;"",SUMPRODUCT((Resultados!$B$1:$B$602=15)*(Resultados!$C$1:$C$602=B27)*1),"")</f>
        <v/>
      </c>
      <c r="U27" s="7" t="str">
        <f>IF(B27&lt;&gt;"",SUMPRODUCT((Resultados!$B$1:$B$602=16)*(Resultados!$C$1:$C$602=B27)*1),"")</f>
        <v/>
      </c>
      <c r="V27" s="7" t="str">
        <f>IF(B27&lt;&gt;"",SUMPRODUCT((Resultados!$B$1:$B$602=17)*(Resultados!$C$1:$C$602=B27)*1),"")</f>
        <v/>
      </c>
      <c r="W27" s="7" t="str">
        <f>IF(B27&lt;&gt;"",SUMPRODUCT((Resultados!$B$1:$B$602=18)*(Resultados!$C$1:$C$602=B27)*1),"")</f>
        <v/>
      </c>
      <c r="X27" s="7" t="str">
        <f>IF(B27&lt;&gt;"",SUMPRODUCT((Resultados!$B$1:$B$602=19)*(Resultados!$C$1:$C$602=B27)*1),"")</f>
        <v/>
      </c>
      <c r="Y27" s="7" t="str">
        <f>IF(B27&lt;&gt;"",SUMPRODUCT((Resultados!$B$1:$B$602=20)*(Resultados!$C$1:$C$602=B27)*1),"")</f>
        <v/>
      </c>
      <c r="Z27" s="7" t="str">
        <f>IF(B27&lt;&gt;"",SUMPRODUCT((Resultados!$B$1:$B$602=21)*(Resultados!$C$1:$C$602=B27)*1),"")</f>
        <v/>
      </c>
      <c r="AA27" s="7" t="str">
        <f>IF(B27&lt;&gt;"",SUMPRODUCT((Resultados!$B$1:$B$602=22)*(Resultados!$C$1:$C$602=B27)*1),"")</f>
        <v/>
      </c>
      <c r="AB27" s="7" t="str">
        <f>IF(B27&lt;&gt;"",SUMPRODUCT((Resultados!$B$1:$B$602=23)*(Resultados!$C$1:$C$602=B27)*1),"")</f>
        <v/>
      </c>
      <c r="AC27" s="7" t="str">
        <f>IF(B27&lt;&gt;"",SUMPRODUCT((Resultados!$B$1:$B$602=24)*(Resultados!$C$1:$C$602=B27)*1),"")</f>
        <v/>
      </c>
      <c r="AD27" s="6" t="str">
        <f>IF(B27&lt;&gt;"",SUMPRODUCT(($E$3:$E$30=E27)*($F$3:$F$30&gt;F27)),"")</f>
        <v/>
      </c>
      <c r="AE27" s="6" t="str">
        <f>IF(B27&lt;&gt;"",SUMPRODUCT(($E$3:$E$30=E27)*($F$3:$F$30=F27)*($G$3:$G$30&gt;G27)),"")</f>
        <v/>
      </c>
      <c r="AF27" s="6" t="str">
        <f>IF(B27&lt;&gt;"",SUMPRODUCT(($E$3:$E$30=E27)*($F$3:$F$30=F27)*($G$3:$G$30=G27)*($H$3:$H$30&gt;H27)),"")</f>
        <v/>
      </c>
      <c r="AG27" s="6" t="str">
        <f>IF(B27&lt;&gt;"",SUMPRODUCT(($E$3:$E$30=E27)*($F$3:$F$30=F27)*($G$3:$G$30=G27)*($H$3:$H$30=H27)*($I$3:$I$30&gt;I27)),"")</f>
        <v/>
      </c>
      <c r="AH27" s="6" t="str">
        <f>IF(B27&lt;&gt;"",SUMPRODUCT(($E$3:$E$30=E27)*($F$3:$F$30=F27)*($G$3:$G$30=G27)*($H$3:$H$30=H27)*($I$3:$I$30=I27)*($J$3:$J$30&gt;J27)),"")</f>
        <v/>
      </c>
      <c r="AI27" s="6" t="str">
        <f>IF(B27&lt;&gt;"",SUMPRODUCT(($E$3:$E$30=E27)*($F$3:$F$30=F27)*($G$3:$G$30=G27)*($H$3:$H$30=H27)*($I$3:$I$30=I27)*($J$3:$J$30=J27)*($K$3:$K$30&gt;K27)),"")</f>
        <v/>
      </c>
      <c r="AJ27" s="6" t="str">
        <f>IF(B27&lt;&gt;"",SUMPRODUCT(($E$3:$E$30=E27)*($F$3:$F$30=F27)*($G$3:$G$30=G27)*($H$3:$H$30=H27)*($I$3:$I$30=I27)*($J$3:$J$30=J27)*($K$3:$K$30=K27)*($L$3:$L$30&gt;L27)),"")</f>
        <v/>
      </c>
      <c r="AK27" s="6" t="str">
        <f>IF(B27&lt;&gt;"",SUMPRODUCT(($E$3:$E$30=E27)*($F$3:$F$30=F27)*($G$3:$G$30=G27)*($H$3:$H$30=H27)*($I$3:$I$30=I27)*($J$3:$J$30=J27)*($K$3:$K$30=K27)*($L$3:$L$30=L27)*($M$3:$M$30&gt;M27)),"")</f>
        <v/>
      </c>
      <c r="AL27" s="6" t="str">
        <f>IF(B27&lt;&gt;"",SUMPRODUCT(($E$3:$E$30=E27)*($F$3:$F$30=F27)*($G$3:$G$30=G27)*($H$3:$H$30=H27)*($I$3:$I$30=I27)*($J$3:$J$30=J27)*($K$3:$K$30=K27)*($L$3:$L$30=L27)*($M$3:$M$30=M27)*($N$3:$N$30&gt;N27)),"")</f>
        <v/>
      </c>
      <c r="AM27" s="6" t="str">
        <f>IF(B27&lt;&gt;"",SUMPRODUCT(($E$3:$E$30=E27)*($F$3:$F$30=F27)*($G$3:$G$30=G27)*($H$3:$H$30=H27)*($I$3:$I$30=I27)*($J$3:$J$30=J27)*($K$3:$K$30=K27)*($L$3:$L$30=L27)*($M$3:$M$30=M27)*($N$3:$N$30=N27)*($O$3:$O$30&gt;O27)),"")</f>
        <v/>
      </c>
      <c r="AN27" s="6" t="str">
        <f>IF(B27&lt;&gt;"",SUMPRODUCT(($E$3:$E$30=E27)*($F$3:$F$30=F27)*($G$3:$G$30=G27)*($H$3:$H$30=H27)*($I$3:$I$30=I27)*($J$3:$J$30=J27)*($K$3:$K$30=K27)*($L$3:$L$30=L27)*($M$3:$M$30=M27)*($N$3:$N$30=N27)*($O$3:$O$30=O27)*($P$3:$P$30&gt;P27)),"")</f>
        <v/>
      </c>
      <c r="AO27" s="6" t="str">
        <f>IF(B27&lt;&gt;"",SUMPRODUCT(($E$3:$E$30=E27)*($F$3:$F$30=F27)*($G$3:$G$30=G27)*($H$3:$H$30=H27)*($I$3:$I$30=I27)*($J$3:$J$30=J27)*($K$3:$K$30=K27)*($L$3:$L$30=L27)*($M$3:$M$30=M27)*($N$3:$N$30=N27)*($O$3:$O$30=O27)*($P$3:$P$30=P27)*($Q$3:$Q$30&gt;Q27)),"")</f>
        <v/>
      </c>
      <c r="AP27" s="6" t="str">
        <f>IF(B27&lt;&gt;"",SUMPRODUCT(($E$3:$E$30=E27)*($F$3:$F$30=F27)*($G$3:$G$30=G27)*($H$3:$H$30=H27)*($I$3:$I$30=I27)*($J$3:$J$30=J27)*($K$3:$K$30=K27)*($L$3:$L$30=L27)*($M$3:$M$30=M27)*($N$3:$N$30=N27)*($O$3:$O$30=O27)*($P$3:$P$30=P27)*($Q$3:$Q$30=Q27)*($R$3:$R$30&gt;R27)),"")</f>
        <v/>
      </c>
      <c r="AQ27" s="6" t="str">
        <f>IF(B27&lt;&gt;"",SUMPRODUCT(($E$3:$E$30=E27)*($F$3:$F$30=F27)*($G$3:$G$30=G27)*($H$3:$H$30=H27)*($I$3:$I$30=I27)*($J$3:$J$30=J27)*($K$3:$K$30=K27)*($L$3:$L$30=L27)*($M$3:$M$30=M27)*($N$3:$N$30=N27)*($O$3:$O$30=O27)*($P$3:$P$30=P27)*($Q$3:$Q$30=Q27)*($R$3:$R$30=R27)*($S$3:$S$30&gt;S27)),"")</f>
        <v/>
      </c>
      <c r="AR27" s="6" t="str">
        <f>IF(B27&lt;&gt;"",SUMPRODUCT(($E$3:$E$30=E27)*($F$3:$F$30=F27)*($G$3:$G$30=G27)*($H$3:$H$30=H27)*($I$3:$I$30=I27)*($J$3:$J$30=J27)*($K$3:$K$30=K27)*($L$3:$L$30=L27)*($M$3:$M$30=M27)*($N$3:$N$30=N27)*($O$3:$O$30=O27)*($P$3:$P$30=P27)*($Q$3:$Q$30=Q27)*($R$3:$R$30=R27)*($S$3:$S$30=S27)*($T$3:$T$30&gt;T27)),"")</f>
        <v/>
      </c>
      <c r="AS27" s="6" t="str">
        <f>IF(B27&lt;&gt;"",SUMPRODUCT(($E$3:$E$30=E27)*($F$3:$F$30=F27)*($G$3:$G$30=G27)*($H$3:$H$30=H27)*($I$3:$I$30=I27)*($J$3:$J$30=J27)*($K$3:$K$30=K27)*($L$3:$L$30=L27)*($M$3:$M$30=M27)*($N$3:$N$30=N27)*($O$3:$O$30=O27)*($P$3:$P$30=P27)*($Q$3:$Q$30=Q27)*($R$3:$R$30=R27)*($S$3:$S$30=S27)*($T$3:$T$30=T27)*($U$3:$U$30&gt;U27)),"")</f>
        <v/>
      </c>
      <c r="AT27" s="6" t="str">
        <f>IF(B27&lt;&gt;"",SUMPRODUCT(($E$3:$E$30=E27)*($F$3:$F$30=F27)*($G$3:$G$30=G27)*($H$3:$H$30=H27)*($I$3:$I$30=I27)*($J$3:$J$30=J27)*($K$3:$K$30=K27)*($L$3:$L$30=L27)*($M$3:$M$30=M27)*($N$3:$N$30=N27)*($O$3:$O$30=O27)*($P$3:$P$30=P27)*($Q$3:$Q$30=Q27)*($R$3:$R$30=R27)*($S$3:$S$30=S27)*($T$3:$T$30=T27)*($U$3:$U$30=U27)*($V$3:$V$30&gt;V27)),"")</f>
        <v/>
      </c>
      <c r="AU27" s="6" t="str">
        <f>IF(B27&lt;&gt;"",SUMPRODUCT(($E$3:$E$30=E27)*($F$3:$F$30=F27)*($G$3:$G$30=G27)*($H$3:$H$30=H27)*($I$3:$I$30=I27)*($J$3:$J$30=J27)*($K$3:$K$30=K27)*($L$3:$L$30=L27)*($M$3:$M$30=M27)*($N$3:$N$30=N27)*($O$3:$O$30=O27)*($P$3:$P$30=P27)*($Q$3:$Q$30=Q27)*($R$3:$R$30=R27)*($S$3:$S$30=S27)*($T$3:$T$30=T27)*($U$3:$U$30=U27)*($V$3:$V$30=V27)*($W$3:$W$30&gt;W27)),"")</f>
        <v/>
      </c>
      <c r="AV27" s="6" t="str">
        <f>IF(B27&lt;&gt;"",SUMPRODUCT(($E$3:$E$30=E27)*($F$3:$F$30=F27)*($G$3:$G$30=G27)*($H$3:$H$30=H27)*($I$3:$I$30=I27)*($J$3:$J$30=J27)*($K$3:$K$30=K27)*($L$3:$L$30=L27)*($M$3:$M$30=M27)*($N$3:$N$30=N27)*($O$3:$O$30=O27)*($P$3:$P$30=P27)*($Q$3:$Q$30=Q27)*($R$3:$R$30=R27)*($S$3:$S$30=S27)*($T$3:$T$30=T27)*($U$3:$U$30=U27)*($V$3:$V$30=V27)*($W$3:$W$30=W27)*($X$3:$X$30&gt;X27)),"")</f>
        <v/>
      </c>
      <c r="AW27" s="6" t="str">
        <f>IF(B27&lt;&gt;"",SUMPRODUCT(($E$3:$E$30=E27)*($F$3:$F$30=F27)*($G$3:$G$30=G27)*($H$3:$H$30=H27)*($I$3:$I$30=I27)*($J$3:$J$30=J27)*($K$3:$K$30=K27)*($L$3:$L$30=L27)*($M$3:$M$30=M27)*($N$3:$N$30=N27)*($O$3:$O$30=O27)*($P$3:$P$30=P27)*($Q$3:$Q$30=Q27)*($R$3:$R$30=R27)*($S$3:$S$30=S27)*($T$3:$T$30=T27)*($U$3:$U$30=U27)*($V$3:$V$30=V27)*($W$3:$W$30=W27)*($X$3:$X$30=X27)*($Y$3:$Y$30&gt;Y27)),"")</f>
        <v/>
      </c>
      <c r="AX27" s="6" t="str">
        <f>IF(B27&lt;&gt;"",SUMPRODUCT(($E$3:$E$30=E27)*($F$3:$F$30=F27)*($G$3:$G$30=G27)*($H$3:$H$30=H27)*($I$3:$I$30=I27)*($J$3:$J$30=J27)*($K$3:$K$30=K27)*($L$3:$L$30=L27)*($M$3:$M$30=M27)*($N$3:$N$30=N27)*($O$3:$O$30=O27)*($P$3:$P$30=P27)*($Q$3:$Q$30=Q27)*($R$3:$R$30=R27)*($S$3:$S$30=S27)*($T$3:$T$30=T27)*($U$3:$U$30=U27)*($V$3:$V$30=V27)*($W$3:$W$30=W27)*($X$3:$X$30=X27)*($Y$3:$Y$30=Y27)*($Z$3:$Z$30&gt;Z27)),"")</f>
        <v/>
      </c>
      <c r="AY27" s="6" t="str">
        <f>IF(B27&lt;&gt;"",SUMPRODUCT(($E$3:$E$30=E27)*($F$3:$F$30=F27)*($G$3:$G$30=G27)*($H$3:$H$30=H27)*($I$3:$I$30=I27)*($J$3:$J$30=J27)*($K$3:$K$30=K27)*($L$3:$L$30=L27)*($M$3:$M$30=M27)*($N$3:$N$30=N27)*($O$3:$O$30=O27)*($P$3:$P$30=P27)*($Q$3:$Q$30=Q27)*($R$3:$R$30=R27)*($S$3:$S$30=S27)*($T$3:$T$30=T27)*($U$3:$U$30=U27)*($V$3:$V$30=V27)*($W$3:$W$30=W27)*($X$3:$X$30=X27)*($Y$3:$Y$30=Y27)*($Z$3:$Z$30=Z27)*($AA$3:$AA$30&gt;AA27)),"")</f>
        <v/>
      </c>
      <c r="AZ27" s="6" t="str">
        <f>IF(B27&lt;&gt;"",SUMPRODUCT(($E$3:$E$30=E27)*($F$3:$F$30=F27)*($G$3:$G$30=G27)*($H$3:$H$30=H27)*($I$3:$I$30=I27)*($J$3:$J$30=J27)*($K$3:$K$30=K27)*($L$3:$L$30=L27)*($M$3:$M$30=M27)*($N$3:$N$30=N27)*($O$3:$O$30=O27)*($P$3:$P$30=P27)*($Q$3:$Q$30=Q27)*($R$3:$R$30=R27)*($S$3:$S$30=S27)*($T$3:$T$30=T27)*($U$3:$U$30=U27)*($V$3:$V$30=V27)*($W$3:$W$30=W27)*($X$3:$X$30=X27)*($Y$3:$Y$30=Y27)*($Z$3:$Z$30=Z27)*($AA$3:$AA$30=AA27)*($AB$3:$AB$30&gt;AB27)),"")</f>
        <v/>
      </c>
      <c r="BA27" s="6" t="str">
        <f>IF(B27&lt;&gt;"",SUMPRODUCT(($E$3:$E$30=E27)*($F$3:$F$30=F27)*($G$3:$G$30=G27)*($H$3:$H$30=H27)*($I$3:$I$30=I27)*($J$3:$J$30=J27)*($K$3:$K$30=K27)*($L$3:$L$30=L27)*($M$3:$M$30=M27)*($N$3:$N$30=N27)*($O$3:$O$30=O27)*($P$3:$P$30=P27)*($Q$3:$Q$30=Q27)*($R$3:$R$30=R27)*($S$3:$S$30=S27)*($T$3:$T$30=T27)*($U$3:$U$30=U27)*($V$3:$V$30=V27)*($W$3:$W$30=W27)*($X$3:$X$30=X27)*($Y$3:$Y$30=Y27)*($Z$3:$Z$30=Z27)*($AA$3:$AA$30=AA27)*($AB$3:$AB$30=AB27)*($AC$3:$AC$30&gt;AC27)),"")</f>
        <v/>
      </c>
      <c r="BB27" s="6" t="str">
        <f t="shared" si="25"/>
        <v/>
      </c>
      <c r="BC27" s="6" t="str">
        <f>IF(B27&lt;&gt;"",'Equipes e Pilotos'!B27,"")</f>
        <v/>
      </c>
    </row>
    <row r="28" spans="1:55" x14ac:dyDescent="0.2">
      <c r="A28" s="1" t="str">
        <f>IF(B28&lt;&gt;"",RANK(E28,E$3:E$30)+SUM(AD28:BB28),"")</f>
        <v/>
      </c>
      <c r="B28" s="1" t="str">
        <f>IF('Equipes e Pilotos'!C28&lt;&gt;"",'Equipes e Pilotos'!C28,"")</f>
        <v/>
      </c>
      <c r="C28" s="1" t="str">
        <f>IF(B28&lt;&gt;"",VLOOKUP(B28,'Equipes e Pilotos'!$C$3:$F$30,3,FALSE),"")</f>
        <v/>
      </c>
      <c r="D28" s="1" t="str">
        <f>IF(B28&lt;&gt;"",VLOOKUP(B28,'Equipes e Pilotos'!$C$3:$F$30,4,FALSE),"")</f>
        <v/>
      </c>
      <c r="E28" s="1" t="str">
        <f>IF(B28&lt;&gt;"",SUMIF(Resultados!C:C,B28,Resultados!F:F),"")</f>
        <v/>
      </c>
      <c r="F28" s="7" t="str">
        <f>IF(B28&lt;&gt;"",SUMPRODUCT((Resultados!$B$1:$B$602=1)*(Resultados!$C$1:$C$602=B28)*1),"")</f>
        <v/>
      </c>
      <c r="G28" s="7" t="str">
        <f>IF(B28&lt;&gt;"",SUMPRODUCT((Resultados!$B$1:$B$602=2)*(Resultados!$C$1:$C$602=B28)*1),"")</f>
        <v/>
      </c>
      <c r="H28" s="7" t="str">
        <f>IF(B28&lt;&gt;"",SUMPRODUCT((Resultados!$B$1:$B$602=3)*(Resultados!$C$1:$C$602=B28)*1),"")</f>
        <v/>
      </c>
      <c r="I28" s="7" t="str">
        <f>IF(B28&lt;&gt;"",SUMPRODUCT((Resultados!$B$1:$B$602=4)*(Resultados!$C$1:$C$602=B28)*1),"")</f>
        <v/>
      </c>
      <c r="J28" s="7" t="str">
        <f>IF(B28&lt;&gt;"",SUMPRODUCT((Resultados!$B$1:$B$602=5)*(Resultados!$C$1:$C$602=B28)*1),"")</f>
        <v/>
      </c>
      <c r="K28" s="7" t="str">
        <f>IF(B28&lt;&gt;"",SUMPRODUCT((Resultados!$B$1:$B$602=6)*(Resultados!$C$1:$C$602=B28)*1),"")</f>
        <v/>
      </c>
      <c r="L28" s="7" t="str">
        <f>IF(B28&lt;&gt;"",SUMPRODUCT((Resultados!$B$1:$B$602=7)*(Resultados!$C$1:$C$602=B28)*1),"")</f>
        <v/>
      </c>
      <c r="M28" s="7" t="str">
        <f>IF(B28&lt;&gt;"",SUMPRODUCT((Resultados!$B$1:$B$602=8)*(Resultados!$C$1:$C$602=B28)*1),"")</f>
        <v/>
      </c>
      <c r="N28" s="7" t="str">
        <f>IF(B28&lt;&gt;"",SUMPRODUCT((Resultados!$B$1:$B$602=9)*(Resultados!$C$1:$C$602=B28)*1),"")</f>
        <v/>
      </c>
      <c r="O28" s="7" t="str">
        <f>IF(B28&lt;&gt;"",SUMPRODUCT((Resultados!$B$1:$B$602=10)*(Resultados!$C$1:$C$602=B28)*1),"")</f>
        <v/>
      </c>
      <c r="P28" s="7" t="str">
        <f>IF(B28&lt;&gt;"",SUMPRODUCT((Resultados!$B$1:$B$602=11)*(Resultados!$C$1:$C$602=B28)*1),"")</f>
        <v/>
      </c>
      <c r="Q28" s="7" t="str">
        <f>IF(B28&lt;&gt;"",SUMPRODUCT((Resultados!$B$1:$B$602=12)*(Resultados!$C$1:$C$602=B28)*1),"")</f>
        <v/>
      </c>
      <c r="R28" s="7" t="str">
        <f>IF(B28&lt;&gt;"",SUMPRODUCT((Resultados!$B$1:$B$602=13)*(Resultados!$C$1:$C$602=B28)*1),"")</f>
        <v/>
      </c>
      <c r="S28" s="7" t="str">
        <f>IF(B28&lt;&gt;"",SUMPRODUCT((Resultados!$B$1:$B$602=14)*(Resultados!$C$1:$C$602=B28)*1),"")</f>
        <v/>
      </c>
      <c r="T28" s="7" t="str">
        <f>IF(B28&lt;&gt;"",SUMPRODUCT((Resultados!$B$1:$B$602=15)*(Resultados!$C$1:$C$602=B28)*1),"")</f>
        <v/>
      </c>
      <c r="U28" s="7" t="str">
        <f>IF(B28&lt;&gt;"",SUMPRODUCT((Resultados!$B$1:$B$602=16)*(Resultados!$C$1:$C$602=B28)*1),"")</f>
        <v/>
      </c>
      <c r="V28" s="7" t="str">
        <f>IF(B28&lt;&gt;"",SUMPRODUCT((Resultados!$B$1:$B$602=17)*(Resultados!$C$1:$C$602=B28)*1),"")</f>
        <v/>
      </c>
      <c r="W28" s="7" t="str">
        <f>IF(B28&lt;&gt;"",SUMPRODUCT((Resultados!$B$1:$B$602=18)*(Resultados!$C$1:$C$602=B28)*1),"")</f>
        <v/>
      </c>
      <c r="X28" s="7" t="str">
        <f>IF(B28&lt;&gt;"",SUMPRODUCT((Resultados!$B$1:$B$602=19)*(Resultados!$C$1:$C$602=B28)*1),"")</f>
        <v/>
      </c>
      <c r="Y28" s="7" t="str">
        <f>IF(B28&lt;&gt;"",SUMPRODUCT((Resultados!$B$1:$B$602=20)*(Resultados!$C$1:$C$602=B28)*1),"")</f>
        <v/>
      </c>
      <c r="Z28" s="7" t="str">
        <f>IF(B28&lt;&gt;"",SUMPRODUCT((Resultados!$B$1:$B$602=21)*(Resultados!$C$1:$C$602=B28)*1),"")</f>
        <v/>
      </c>
      <c r="AA28" s="7" t="str">
        <f>IF(B28&lt;&gt;"",SUMPRODUCT((Resultados!$B$1:$B$602=22)*(Resultados!$C$1:$C$602=B28)*1),"")</f>
        <v/>
      </c>
      <c r="AB28" s="7" t="str">
        <f>IF(B28&lt;&gt;"",SUMPRODUCT((Resultados!$B$1:$B$602=23)*(Resultados!$C$1:$C$602=B28)*1),"")</f>
        <v/>
      </c>
      <c r="AC28" s="7" t="str">
        <f>IF(B28&lt;&gt;"",SUMPRODUCT((Resultados!$B$1:$B$602=24)*(Resultados!$C$1:$C$602=B28)*1),"")</f>
        <v/>
      </c>
      <c r="AD28" s="6" t="str">
        <f>IF(B28&lt;&gt;"",SUMPRODUCT(($E$3:$E$30=E28)*($F$3:$F$30&gt;F28)),"")</f>
        <v/>
      </c>
      <c r="AE28" s="6" t="str">
        <f>IF(B28&lt;&gt;"",SUMPRODUCT(($E$3:$E$30=E28)*($F$3:$F$30=F28)*($G$3:$G$30&gt;G28)),"")</f>
        <v/>
      </c>
      <c r="AF28" s="6" t="str">
        <f>IF(B28&lt;&gt;"",SUMPRODUCT(($E$3:$E$30=E28)*($F$3:$F$30=F28)*($G$3:$G$30=G28)*($H$3:$H$30&gt;H28)),"")</f>
        <v/>
      </c>
      <c r="AG28" s="6" t="str">
        <f>IF(B28&lt;&gt;"",SUMPRODUCT(($E$3:$E$30=E28)*($F$3:$F$30=F28)*($G$3:$G$30=G28)*($H$3:$H$30=H28)*($I$3:$I$30&gt;I28)),"")</f>
        <v/>
      </c>
      <c r="AH28" s="6" t="str">
        <f>IF(B28&lt;&gt;"",SUMPRODUCT(($E$3:$E$30=E28)*($F$3:$F$30=F28)*($G$3:$G$30=G28)*($H$3:$H$30=H28)*($I$3:$I$30=I28)*($J$3:$J$30&gt;J28)),"")</f>
        <v/>
      </c>
      <c r="AI28" s="6" t="str">
        <f>IF(B28&lt;&gt;"",SUMPRODUCT(($E$3:$E$30=E28)*($F$3:$F$30=F28)*($G$3:$G$30=G28)*($H$3:$H$30=H28)*($I$3:$I$30=I28)*($J$3:$J$30=J28)*($K$3:$K$30&gt;K28)),"")</f>
        <v/>
      </c>
      <c r="AJ28" s="6" t="str">
        <f>IF(B28&lt;&gt;"",SUMPRODUCT(($E$3:$E$30=E28)*($F$3:$F$30=F28)*($G$3:$G$30=G28)*($H$3:$H$30=H28)*($I$3:$I$30=I28)*($J$3:$J$30=J28)*($K$3:$K$30=K28)*($L$3:$L$30&gt;L28)),"")</f>
        <v/>
      </c>
      <c r="AK28" s="6" t="str">
        <f>IF(B28&lt;&gt;"",SUMPRODUCT(($E$3:$E$30=E28)*($F$3:$F$30=F28)*($G$3:$G$30=G28)*($H$3:$H$30=H28)*($I$3:$I$30=I28)*($J$3:$J$30=J28)*($K$3:$K$30=K28)*($L$3:$L$30=L28)*($M$3:$M$30&gt;M28)),"")</f>
        <v/>
      </c>
      <c r="AL28" s="6" t="str">
        <f>IF(B28&lt;&gt;"",SUMPRODUCT(($E$3:$E$30=E28)*($F$3:$F$30=F28)*($G$3:$G$30=G28)*($H$3:$H$30=H28)*($I$3:$I$30=I28)*($J$3:$J$30=J28)*($K$3:$K$30=K28)*($L$3:$L$30=L28)*($M$3:$M$30=M28)*($N$3:$N$30&gt;N28)),"")</f>
        <v/>
      </c>
      <c r="AM28" s="6" t="str">
        <f>IF(B28&lt;&gt;"",SUMPRODUCT(($E$3:$E$30=E28)*($F$3:$F$30=F28)*($G$3:$G$30=G28)*($H$3:$H$30=H28)*($I$3:$I$30=I28)*($J$3:$J$30=J28)*($K$3:$K$30=K28)*($L$3:$L$30=L28)*($M$3:$M$30=M28)*($N$3:$N$30=N28)*($O$3:$O$30&gt;O28)),"")</f>
        <v/>
      </c>
      <c r="AN28" s="6" t="str">
        <f>IF(B28&lt;&gt;"",SUMPRODUCT(($E$3:$E$30=E28)*($F$3:$F$30=F28)*($G$3:$G$30=G28)*($H$3:$H$30=H28)*($I$3:$I$30=I28)*($J$3:$J$30=J28)*($K$3:$K$30=K28)*($L$3:$L$30=L28)*($M$3:$M$30=M28)*($N$3:$N$30=N28)*($O$3:$O$30=O28)*($P$3:$P$30&gt;P28)),"")</f>
        <v/>
      </c>
      <c r="AO28" s="6" t="str">
        <f>IF(B28&lt;&gt;"",SUMPRODUCT(($E$3:$E$30=E28)*($F$3:$F$30=F28)*($G$3:$G$30=G28)*($H$3:$H$30=H28)*($I$3:$I$30=I28)*($J$3:$J$30=J28)*($K$3:$K$30=K28)*($L$3:$L$30=L28)*($M$3:$M$30=M28)*($N$3:$N$30=N28)*($O$3:$O$30=O28)*($P$3:$P$30=P28)*($Q$3:$Q$30&gt;Q28)),"")</f>
        <v/>
      </c>
      <c r="AP28" s="6" t="str">
        <f>IF(B28&lt;&gt;"",SUMPRODUCT(($E$3:$E$30=E28)*($F$3:$F$30=F28)*($G$3:$G$30=G28)*($H$3:$H$30=H28)*($I$3:$I$30=I28)*($J$3:$J$30=J28)*($K$3:$K$30=K28)*($L$3:$L$30=L28)*($M$3:$M$30=M28)*($N$3:$N$30=N28)*($O$3:$O$30=O28)*($P$3:$P$30=P28)*($Q$3:$Q$30=Q28)*($R$3:$R$30&gt;R28)),"")</f>
        <v/>
      </c>
      <c r="AQ28" s="6" t="str">
        <f>IF(B28&lt;&gt;"",SUMPRODUCT(($E$3:$E$30=E28)*($F$3:$F$30=F28)*($G$3:$G$30=G28)*($H$3:$H$30=H28)*($I$3:$I$30=I28)*($J$3:$J$30=J28)*($K$3:$K$30=K28)*($L$3:$L$30=L28)*($M$3:$M$30=M28)*($N$3:$N$30=N28)*($O$3:$O$30=O28)*($P$3:$P$30=P28)*($Q$3:$Q$30=Q28)*($R$3:$R$30=R28)*($S$3:$S$30&gt;S28)),"")</f>
        <v/>
      </c>
      <c r="AR28" s="6" t="str">
        <f>IF(B28&lt;&gt;"",SUMPRODUCT(($E$3:$E$30=E28)*($F$3:$F$30=F28)*($G$3:$G$30=G28)*($H$3:$H$30=H28)*($I$3:$I$30=I28)*($J$3:$J$30=J28)*($K$3:$K$30=K28)*($L$3:$L$30=L28)*($M$3:$M$30=M28)*($N$3:$N$30=N28)*($O$3:$O$30=O28)*($P$3:$P$30=P28)*($Q$3:$Q$30=Q28)*($R$3:$R$30=R28)*($S$3:$S$30=S28)*($T$3:$T$30&gt;T28)),"")</f>
        <v/>
      </c>
      <c r="AS28" s="6" t="str">
        <f>IF(B28&lt;&gt;"",SUMPRODUCT(($E$3:$E$30=E28)*($F$3:$F$30=F28)*($G$3:$G$30=G28)*($H$3:$H$30=H28)*($I$3:$I$30=I28)*($J$3:$J$30=J28)*($K$3:$K$30=K28)*($L$3:$L$30=L28)*($M$3:$M$30=M28)*($N$3:$N$30=N28)*($O$3:$O$30=O28)*($P$3:$P$30=P28)*($Q$3:$Q$30=Q28)*($R$3:$R$30=R28)*($S$3:$S$30=S28)*($T$3:$T$30=T28)*($U$3:$U$30&gt;U28)),"")</f>
        <v/>
      </c>
      <c r="AT28" s="6" t="str">
        <f>IF(B28&lt;&gt;"",SUMPRODUCT(($E$3:$E$30=E28)*($F$3:$F$30=F28)*($G$3:$G$30=G28)*($H$3:$H$30=H28)*($I$3:$I$30=I28)*($J$3:$J$30=J28)*($K$3:$K$30=K28)*($L$3:$L$30=L28)*($M$3:$M$30=M28)*($N$3:$N$30=N28)*($O$3:$O$30=O28)*($P$3:$P$30=P28)*($Q$3:$Q$30=Q28)*($R$3:$R$30=R28)*($S$3:$S$30=S28)*($T$3:$T$30=T28)*($U$3:$U$30=U28)*($V$3:$V$30&gt;V28)),"")</f>
        <v/>
      </c>
      <c r="AU28" s="6" t="str">
        <f>IF(B28&lt;&gt;"",SUMPRODUCT(($E$3:$E$30=E28)*($F$3:$F$30=F28)*($G$3:$G$30=G28)*($H$3:$H$30=H28)*($I$3:$I$30=I28)*($J$3:$J$30=J28)*($K$3:$K$30=K28)*($L$3:$L$30=L28)*($M$3:$M$30=M28)*($N$3:$N$30=N28)*($O$3:$O$30=O28)*($P$3:$P$30=P28)*($Q$3:$Q$30=Q28)*($R$3:$R$30=R28)*($S$3:$S$30=S28)*($T$3:$T$30=T28)*($U$3:$U$30=U28)*($V$3:$V$30=V28)*($W$3:$W$30&gt;W28)),"")</f>
        <v/>
      </c>
      <c r="AV28" s="6" t="str">
        <f>IF(B28&lt;&gt;"",SUMPRODUCT(($E$3:$E$30=E28)*($F$3:$F$30=F28)*($G$3:$G$30=G28)*($H$3:$H$30=H28)*($I$3:$I$30=I28)*($J$3:$J$30=J28)*($K$3:$K$30=K28)*($L$3:$L$30=L28)*($M$3:$M$30=M28)*($N$3:$N$30=N28)*($O$3:$O$30=O28)*($P$3:$P$30=P28)*($Q$3:$Q$30=Q28)*($R$3:$R$30=R28)*($S$3:$S$30=S28)*($T$3:$T$30=T28)*($U$3:$U$30=U28)*($V$3:$V$30=V28)*($W$3:$W$30=W28)*($X$3:$X$30&gt;X28)),"")</f>
        <v/>
      </c>
      <c r="AW28" s="6" t="str">
        <f>IF(B28&lt;&gt;"",SUMPRODUCT(($E$3:$E$30=E28)*($F$3:$F$30=F28)*($G$3:$G$30=G28)*($H$3:$H$30=H28)*($I$3:$I$30=I28)*($J$3:$J$30=J28)*($K$3:$K$30=K28)*($L$3:$L$30=L28)*($M$3:$M$30=M28)*($N$3:$N$30=N28)*($O$3:$O$30=O28)*($P$3:$P$30=P28)*($Q$3:$Q$30=Q28)*($R$3:$R$30=R28)*($S$3:$S$30=S28)*($T$3:$T$30=T28)*($U$3:$U$30=U28)*($V$3:$V$30=V28)*($W$3:$W$30=W28)*($X$3:$X$30=X28)*($Y$3:$Y$30&gt;Y28)),"")</f>
        <v/>
      </c>
      <c r="AX28" s="6" t="str">
        <f>IF(B28&lt;&gt;"",SUMPRODUCT(($E$3:$E$30=E28)*($F$3:$F$30=F28)*($G$3:$G$30=G28)*($H$3:$H$30=H28)*($I$3:$I$30=I28)*($J$3:$J$30=J28)*($K$3:$K$30=K28)*($L$3:$L$30=L28)*($M$3:$M$30=M28)*($N$3:$N$30=N28)*($O$3:$O$30=O28)*($P$3:$P$30=P28)*($Q$3:$Q$30=Q28)*($R$3:$R$30=R28)*($S$3:$S$30=S28)*($T$3:$T$30=T28)*($U$3:$U$30=U28)*($V$3:$V$30=V28)*($W$3:$W$30=W28)*($X$3:$X$30=X28)*($Y$3:$Y$30=Y28)*($Z$3:$Z$30&gt;Z28)),"")</f>
        <v/>
      </c>
      <c r="AY28" s="6" t="str">
        <f>IF(B28&lt;&gt;"",SUMPRODUCT(($E$3:$E$30=E28)*($F$3:$F$30=F28)*($G$3:$G$30=G28)*($H$3:$H$30=H28)*($I$3:$I$30=I28)*($J$3:$J$30=J28)*($K$3:$K$30=K28)*($L$3:$L$30=L28)*($M$3:$M$30=M28)*($N$3:$N$30=N28)*($O$3:$O$30=O28)*($P$3:$P$30=P28)*($Q$3:$Q$30=Q28)*($R$3:$R$30=R28)*($S$3:$S$30=S28)*($T$3:$T$30=T28)*($U$3:$U$30=U28)*($V$3:$V$30=V28)*($W$3:$W$30=W28)*($X$3:$X$30=X28)*($Y$3:$Y$30=Y28)*($Z$3:$Z$30=Z28)*($AA$3:$AA$30&gt;AA28)),"")</f>
        <v/>
      </c>
      <c r="AZ28" s="6" t="str">
        <f>IF(B28&lt;&gt;"",SUMPRODUCT(($E$3:$E$30=E28)*($F$3:$F$30=F28)*($G$3:$G$30=G28)*($H$3:$H$30=H28)*($I$3:$I$30=I28)*($J$3:$J$30=J28)*($K$3:$K$30=K28)*($L$3:$L$30=L28)*($M$3:$M$30=M28)*($N$3:$N$30=N28)*($O$3:$O$30=O28)*($P$3:$P$30=P28)*($Q$3:$Q$30=Q28)*($R$3:$R$30=R28)*($S$3:$S$30=S28)*($T$3:$T$30=T28)*($U$3:$U$30=U28)*($V$3:$V$30=V28)*($W$3:$W$30=W28)*($X$3:$X$30=X28)*($Y$3:$Y$30=Y28)*($Z$3:$Z$30=Z28)*($AA$3:$AA$30=AA28)*($AB$3:$AB$30&gt;AB28)),"")</f>
        <v/>
      </c>
      <c r="BA28" s="6" t="str">
        <f>IF(B28&lt;&gt;"",SUMPRODUCT(($E$3:$E$30=E28)*($F$3:$F$30=F28)*($G$3:$G$30=G28)*($H$3:$H$30=H28)*($I$3:$I$30=I28)*($J$3:$J$30=J28)*($K$3:$K$30=K28)*($L$3:$L$30=L28)*($M$3:$M$30=M28)*($N$3:$N$30=N28)*($O$3:$O$30=O28)*($P$3:$P$30=P28)*($Q$3:$Q$30=Q28)*($R$3:$R$30=R28)*($S$3:$S$30=S28)*($T$3:$T$30=T28)*($U$3:$U$30=U28)*($V$3:$V$30=V28)*($W$3:$W$30=W28)*($X$3:$X$30=X28)*($Y$3:$Y$30=Y28)*($Z$3:$Z$30=Z28)*($AA$3:$AA$30=AA28)*($AB$3:$AB$30=AB28)*($AC$3:$AC$30&gt;AC28)),"")</f>
        <v/>
      </c>
      <c r="BB28" s="6" t="str">
        <f t="shared" si="25"/>
        <v/>
      </c>
      <c r="BC28" s="6" t="str">
        <f>IF(B28&lt;&gt;"",'Equipes e Pilotos'!B28,"")</f>
        <v/>
      </c>
    </row>
    <row r="29" spans="1:55" x14ac:dyDescent="0.2">
      <c r="A29" s="1" t="str">
        <f>IF(B29&lt;&gt;"",RANK(E29,E$3:E$30)+SUM(AD29:BB29),"")</f>
        <v/>
      </c>
      <c r="B29" s="1" t="str">
        <f>IF('Equipes e Pilotos'!C29&lt;&gt;"",'Equipes e Pilotos'!C29,"")</f>
        <v/>
      </c>
      <c r="C29" s="1" t="str">
        <f>IF(B29&lt;&gt;"",VLOOKUP(B29,'Equipes e Pilotos'!$C$3:$F$30,3,FALSE),"")</f>
        <v/>
      </c>
      <c r="D29" s="1" t="str">
        <f>IF(B29&lt;&gt;"",VLOOKUP(B29,'Equipes e Pilotos'!$C$3:$F$30,4,FALSE),"")</f>
        <v/>
      </c>
      <c r="E29" s="1" t="str">
        <f>IF(B29&lt;&gt;"",SUMIF(Resultados!C:C,B29,Resultados!F:F),"")</f>
        <v/>
      </c>
      <c r="F29" s="7" t="str">
        <f>IF(B29&lt;&gt;"",SUMPRODUCT((Resultados!$B$1:$B$602=1)*(Resultados!$C$1:$C$602=B29)*1),"")</f>
        <v/>
      </c>
      <c r="G29" s="7" t="str">
        <f>IF(B29&lt;&gt;"",SUMPRODUCT((Resultados!$B$1:$B$602=2)*(Resultados!$C$1:$C$602=B29)*1),"")</f>
        <v/>
      </c>
      <c r="H29" s="7" t="str">
        <f>IF(B29&lt;&gt;"",SUMPRODUCT((Resultados!$B$1:$B$602=3)*(Resultados!$C$1:$C$602=B29)*1),"")</f>
        <v/>
      </c>
      <c r="I29" s="7" t="str">
        <f>IF(B29&lt;&gt;"",SUMPRODUCT((Resultados!$B$1:$B$602=4)*(Resultados!$C$1:$C$602=B29)*1),"")</f>
        <v/>
      </c>
      <c r="J29" s="7" t="str">
        <f>IF(B29&lt;&gt;"",SUMPRODUCT((Resultados!$B$1:$B$602=5)*(Resultados!$C$1:$C$602=B29)*1),"")</f>
        <v/>
      </c>
      <c r="K29" s="7" t="str">
        <f>IF(B29&lt;&gt;"",SUMPRODUCT((Resultados!$B$1:$B$602=6)*(Resultados!$C$1:$C$602=B29)*1),"")</f>
        <v/>
      </c>
      <c r="L29" s="7" t="str">
        <f>IF(B29&lt;&gt;"",SUMPRODUCT((Resultados!$B$1:$B$602=7)*(Resultados!$C$1:$C$602=B29)*1),"")</f>
        <v/>
      </c>
      <c r="M29" s="7" t="str">
        <f>IF(B29&lt;&gt;"",SUMPRODUCT((Resultados!$B$1:$B$602=8)*(Resultados!$C$1:$C$602=B29)*1),"")</f>
        <v/>
      </c>
      <c r="N29" s="7" t="str">
        <f>IF(B29&lt;&gt;"",SUMPRODUCT((Resultados!$B$1:$B$602=9)*(Resultados!$C$1:$C$602=B29)*1),"")</f>
        <v/>
      </c>
      <c r="O29" s="7" t="str">
        <f>IF(B29&lt;&gt;"",SUMPRODUCT((Resultados!$B$1:$B$602=10)*(Resultados!$C$1:$C$602=B29)*1),"")</f>
        <v/>
      </c>
      <c r="P29" s="7" t="str">
        <f>IF(B29&lt;&gt;"",SUMPRODUCT((Resultados!$B$1:$B$602=11)*(Resultados!$C$1:$C$602=B29)*1),"")</f>
        <v/>
      </c>
      <c r="Q29" s="7" t="str">
        <f>IF(B29&lt;&gt;"",SUMPRODUCT((Resultados!$B$1:$B$602=12)*(Resultados!$C$1:$C$602=B29)*1),"")</f>
        <v/>
      </c>
      <c r="R29" s="7" t="str">
        <f>IF(B29&lt;&gt;"",SUMPRODUCT((Resultados!$B$1:$B$602=13)*(Resultados!$C$1:$C$602=B29)*1),"")</f>
        <v/>
      </c>
      <c r="S29" s="7" t="str">
        <f>IF(B29&lt;&gt;"",SUMPRODUCT((Resultados!$B$1:$B$602=14)*(Resultados!$C$1:$C$602=B29)*1),"")</f>
        <v/>
      </c>
      <c r="T29" s="7" t="str">
        <f>IF(B29&lt;&gt;"",SUMPRODUCT((Resultados!$B$1:$B$602=15)*(Resultados!$C$1:$C$602=B29)*1),"")</f>
        <v/>
      </c>
      <c r="U29" s="7" t="str">
        <f>IF(B29&lt;&gt;"",SUMPRODUCT((Resultados!$B$1:$B$602=16)*(Resultados!$C$1:$C$602=B29)*1),"")</f>
        <v/>
      </c>
      <c r="V29" s="7" t="str">
        <f>IF(B29&lt;&gt;"",SUMPRODUCT((Resultados!$B$1:$B$602=17)*(Resultados!$C$1:$C$602=B29)*1),"")</f>
        <v/>
      </c>
      <c r="W29" s="7" t="str">
        <f>IF(B29&lt;&gt;"",SUMPRODUCT((Resultados!$B$1:$B$602=18)*(Resultados!$C$1:$C$602=B29)*1),"")</f>
        <v/>
      </c>
      <c r="X29" s="7" t="str">
        <f>IF(B29&lt;&gt;"",SUMPRODUCT((Resultados!$B$1:$B$602=19)*(Resultados!$C$1:$C$602=B29)*1),"")</f>
        <v/>
      </c>
      <c r="Y29" s="7" t="str">
        <f>IF(B29&lt;&gt;"",SUMPRODUCT((Resultados!$B$1:$B$602=20)*(Resultados!$C$1:$C$602=B29)*1),"")</f>
        <v/>
      </c>
      <c r="Z29" s="7" t="str">
        <f>IF(B29&lt;&gt;"",SUMPRODUCT((Resultados!$B$1:$B$602=21)*(Resultados!$C$1:$C$602=B29)*1),"")</f>
        <v/>
      </c>
      <c r="AA29" s="7" t="str">
        <f>IF(B29&lt;&gt;"",SUMPRODUCT((Resultados!$B$1:$B$602=22)*(Resultados!$C$1:$C$602=B29)*1),"")</f>
        <v/>
      </c>
      <c r="AB29" s="7" t="str">
        <f>IF(B29&lt;&gt;"",SUMPRODUCT((Resultados!$B$1:$B$602=23)*(Resultados!$C$1:$C$602=B29)*1),"")</f>
        <v/>
      </c>
      <c r="AC29" s="7" t="str">
        <f>IF(B29&lt;&gt;"",SUMPRODUCT((Resultados!$B$1:$B$602=24)*(Resultados!$C$1:$C$602=B29)*1),"")</f>
        <v/>
      </c>
      <c r="AD29" s="6" t="str">
        <f>IF(B29&lt;&gt;"",SUMPRODUCT(($E$3:$E$30=E29)*($F$3:$F$30&gt;F29)),"")</f>
        <v/>
      </c>
      <c r="AE29" s="6" t="str">
        <f>IF(B29&lt;&gt;"",SUMPRODUCT(($E$3:$E$30=E29)*($F$3:$F$30=F29)*($G$3:$G$30&gt;G29)),"")</f>
        <v/>
      </c>
      <c r="AF29" s="6" t="str">
        <f>IF(B29&lt;&gt;"",SUMPRODUCT(($E$3:$E$30=E29)*($F$3:$F$30=F29)*($G$3:$G$30=G29)*($H$3:$H$30&gt;H29)),"")</f>
        <v/>
      </c>
      <c r="AG29" s="6" t="str">
        <f>IF(B29&lt;&gt;"",SUMPRODUCT(($E$3:$E$30=E29)*($F$3:$F$30=F29)*($G$3:$G$30=G29)*($H$3:$H$30=H29)*($I$3:$I$30&gt;I29)),"")</f>
        <v/>
      </c>
      <c r="AH29" s="6" t="str">
        <f>IF(B29&lt;&gt;"",SUMPRODUCT(($E$3:$E$30=E29)*($F$3:$F$30=F29)*($G$3:$G$30=G29)*($H$3:$H$30=H29)*($I$3:$I$30=I29)*($J$3:$J$30&gt;J29)),"")</f>
        <v/>
      </c>
      <c r="AI29" s="6" t="str">
        <f>IF(B29&lt;&gt;"",SUMPRODUCT(($E$3:$E$30=E29)*($F$3:$F$30=F29)*($G$3:$G$30=G29)*($H$3:$H$30=H29)*($I$3:$I$30=I29)*($J$3:$J$30=J29)*($K$3:$K$30&gt;K29)),"")</f>
        <v/>
      </c>
      <c r="AJ29" s="6" t="str">
        <f>IF(B29&lt;&gt;"",SUMPRODUCT(($E$3:$E$30=E29)*($F$3:$F$30=F29)*($G$3:$G$30=G29)*($H$3:$H$30=H29)*($I$3:$I$30=I29)*($J$3:$J$30=J29)*($K$3:$K$30=K29)*($L$3:$L$30&gt;L29)),"")</f>
        <v/>
      </c>
      <c r="AK29" s="6" t="str">
        <f>IF(B29&lt;&gt;"",SUMPRODUCT(($E$3:$E$30=E29)*($F$3:$F$30=F29)*($G$3:$G$30=G29)*($H$3:$H$30=H29)*($I$3:$I$30=I29)*($J$3:$J$30=J29)*($K$3:$K$30=K29)*($L$3:$L$30=L29)*($M$3:$M$30&gt;M29)),"")</f>
        <v/>
      </c>
      <c r="AL29" s="6" t="str">
        <f>IF(B29&lt;&gt;"",SUMPRODUCT(($E$3:$E$30=E29)*($F$3:$F$30=F29)*($G$3:$G$30=G29)*($H$3:$H$30=H29)*($I$3:$I$30=I29)*($J$3:$J$30=J29)*($K$3:$K$30=K29)*($L$3:$L$30=L29)*($M$3:$M$30=M29)*($N$3:$N$30&gt;N29)),"")</f>
        <v/>
      </c>
      <c r="AM29" s="6" t="str">
        <f>IF(B29&lt;&gt;"",SUMPRODUCT(($E$3:$E$30=E29)*($F$3:$F$30=F29)*($G$3:$G$30=G29)*($H$3:$H$30=H29)*($I$3:$I$30=I29)*($J$3:$J$30=J29)*($K$3:$K$30=K29)*($L$3:$L$30=L29)*($M$3:$M$30=M29)*($N$3:$N$30=N29)*($O$3:$O$30&gt;O29)),"")</f>
        <v/>
      </c>
      <c r="AN29" s="6" t="str">
        <f>IF(B29&lt;&gt;"",SUMPRODUCT(($E$3:$E$30=E29)*($F$3:$F$30=F29)*($G$3:$G$30=G29)*($H$3:$H$30=H29)*($I$3:$I$30=I29)*($J$3:$J$30=J29)*($K$3:$K$30=K29)*($L$3:$L$30=L29)*($M$3:$M$30=M29)*($N$3:$N$30=N29)*($O$3:$O$30=O29)*($P$3:$P$30&gt;P29)),"")</f>
        <v/>
      </c>
      <c r="AO29" s="6" t="str">
        <f>IF(B29&lt;&gt;"",SUMPRODUCT(($E$3:$E$30=E29)*($F$3:$F$30=F29)*($G$3:$G$30=G29)*($H$3:$H$30=H29)*($I$3:$I$30=I29)*($J$3:$J$30=J29)*($K$3:$K$30=K29)*($L$3:$L$30=L29)*($M$3:$M$30=M29)*($N$3:$N$30=N29)*($O$3:$O$30=O29)*($P$3:$P$30=P29)*($Q$3:$Q$30&gt;Q29)),"")</f>
        <v/>
      </c>
      <c r="AP29" s="6" t="str">
        <f>IF(B29&lt;&gt;"",SUMPRODUCT(($E$3:$E$30=E29)*($F$3:$F$30=F29)*($G$3:$G$30=G29)*($H$3:$H$30=H29)*($I$3:$I$30=I29)*($J$3:$J$30=J29)*($K$3:$K$30=K29)*($L$3:$L$30=L29)*($M$3:$M$30=M29)*($N$3:$N$30=N29)*($O$3:$O$30=O29)*($P$3:$P$30=P29)*($Q$3:$Q$30=Q29)*($R$3:$R$30&gt;R29)),"")</f>
        <v/>
      </c>
      <c r="AQ29" s="6" t="str">
        <f>IF(B29&lt;&gt;"",SUMPRODUCT(($E$3:$E$30=E29)*($F$3:$F$30=F29)*($G$3:$G$30=G29)*($H$3:$H$30=H29)*($I$3:$I$30=I29)*($J$3:$J$30=J29)*($K$3:$K$30=K29)*($L$3:$L$30=L29)*($M$3:$M$30=M29)*($N$3:$N$30=N29)*($O$3:$O$30=O29)*($P$3:$P$30=P29)*($Q$3:$Q$30=Q29)*($R$3:$R$30=R29)*($S$3:$S$30&gt;S29)),"")</f>
        <v/>
      </c>
      <c r="AR29" s="6" t="str">
        <f>IF(B29&lt;&gt;"",SUMPRODUCT(($E$3:$E$30=E29)*($F$3:$F$30=F29)*($G$3:$G$30=G29)*($H$3:$H$30=H29)*($I$3:$I$30=I29)*($J$3:$J$30=J29)*($K$3:$K$30=K29)*($L$3:$L$30=L29)*($M$3:$M$30=M29)*($N$3:$N$30=N29)*($O$3:$O$30=O29)*($P$3:$P$30=P29)*($Q$3:$Q$30=Q29)*($R$3:$R$30=R29)*($S$3:$S$30=S29)*($T$3:$T$30&gt;T29)),"")</f>
        <v/>
      </c>
      <c r="AS29" s="6" t="str">
        <f>IF(B29&lt;&gt;"",SUMPRODUCT(($E$3:$E$30=E29)*($F$3:$F$30=F29)*($G$3:$G$30=G29)*($H$3:$H$30=H29)*($I$3:$I$30=I29)*($J$3:$J$30=J29)*($K$3:$K$30=K29)*($L$3:$L$30=L29)*($M$3:$M$30=M29)*($N$3:$N$30=N29)*($O$3:$O$30=O29)*($P$3:$P$30=P29)*($Q$3:$Q$30=Q29)*($R$3:$R$30=R29)*($S$3:$S$30=S29)*($T$3:$T$30=T29)*($U$3:$U$30&gt;U29)),"")</f>
        <v/>
      </c>
      <c r="AT29" s="6" t="str">
        <f>IF(B29&lt;&gt;"",SUMPRODUCT(($E$3:$E$30=E29)*($F$3:$F$30=F29)*($G$3:$G$30=G29)*($H$3:$H$30=H29)*($I$3:$I$30=I29)*($J$3:$J$30=J29)*($K$3:$K$30=K29)*($L$3:$L$30=L29)*($M$3:$M$30=M29)*($N$3:$N$30=N29)*($O$3:$O$30=O29)*($P$3:$P$30=P29)*($Q$3:$Q$30=Q29)*($R$3:$R$30=R29)*($S$3:$S$30=S29)*($T$3:$T$30=T29)*($U$3:$U$30=U29)*($V$3:$V$30&gt;V29)),"")</f>
        <v/>
      </c>
      <c r="AU29" s="6" t="str">
        <f>IF(B29&lt;&gt;"",SUMPRODUCT(($E$3:$E$30=E29)*($F$3:$F$30=F29)*($G$3:$G$30=G29)*($H$3:$H$30=H29)*($I$3:$I$30=I29)*($J$3:$J$30=J29)*($K$3:$K$30=K29)*($L$3:$L$30=L29)*($M$3:$M$30=M29)*($N$3:$N$30=N29)*($O$3:$O$30=O29)*($P$3:$P$30=P29)*($Q$3:$Q$30=Q29)*($R$3:$R$30=R29)*($S$3:$S$30=S29)*($T$3:$T$30=T29)*($U$3:$U$30=U29)*($V$3:$V$30=V29)*($W$3:$W$30&gt;W29)),"")</f>
        <v/>
      </c>
      <c r="AV29" s="6" t="str">
        <f>IF(B29&lt;&gt;"",SUMPRODUCT(($E$3:$E$30=E29)*($F$3:$F$30=F29)*($G$3:$G$30=G29)*($H$3:$H$30=H29)*($I$3:$I$30=I29)*($J$3:$J$30=J29)*($K$3:$K$30=K29)*($L$3:$L$30=L29)*($M$3:$M$30=M29)*($N$3:$N$30=N29)*($O$3:$O$30=O29)*($P$3:$P$30=P29)*($Q$3:$Q$30=Q29)*($R$3:$R$30=R29)*($S$3:$S$30=S29)*($T$3:$T$30=T29)*($U$3:$U$30=U29)*($V$3:$V$30=V29)*($W$3:$W$30=W29)*($X$3:$X$30&gt;X29)),"")</f>
        <v/>
      </c>
      <c r="AW29" s="6" t="str">
        <f>IF(B29&lt;&gt;"",SUMPRODUCT(($E$3:$E$30=E29)*($F$3:$F$30=F29)*($G$3:$G$30=G29)*($H$3:$H$30=H29)*($I$3:$I$30=I29)*($J$3:$J$30=J29)*($K$3:$K$30=K29)*($L$3:$L$30=L29)*($M$3:$M$30=M29)*($N$3:$N$30=N29)*($O$3:$O$30=O29)*($P$3:$P$30=P29)*($Q$3:$Q$30=Q29)*($R$3:$R$30=R29)*($S$3:$S$30=S29)*($T$3:$T$30=T29)*($U$3:$U$30=U29)*($V$3:$V$30=V29)*($W$3:$W$30=W29)*($X$3:$X$30=X29)*($Y$3:$Y$30&gt;Y29)),"")</f>
        <v/>
      </c>
      <c r="AX29" s="6" t="str">
        <f>IF(B29&lt;&gt;"",SUMPRODUCT(($E$3:$E$30=E29)*($F$3:$F$30=F29)*($G$3:$G$30=G29)*($H$3:$H$30=H29)*($I$3:$I$30=I29)*($J$3:$J$30=J29)*($K$3:$K$30=K29)*($L$3:$L$30=L29)*($M$3:$M$30=M29)*($N$3:$N$30=N29)*($O$3:$O$30=O29)*($P$3:$P$30=P29)*($Q$3:$Q$30=Q29)*($R$3:$R$30=R29)*($S$3:$S$30=S29)*($T$3:$T$30=T29)*($U$3:$U$30=U29)*($V$3:$V$30=V29)*($W$3:$W$30=W29)*($X$3:$X$30=X29)*($Y$3:$Y$30=Y29)*($Z$3:$Z$30&gt;Z29)),"")</f>
        <v/>
      </c>
      <c r="AY29" s="6" t="str">
        <f>IF(B29&lt;&gt;"",SUMPRODUCT(($E$3:$E$30=E29)*($F$3:$F$30=F29)*($G$3:$G$30=G29)*($H$3:$H$30=H29)*($I$3:$I$30=I29)*($J$3:$J$30=J29)*($K$3:$K$30=K29)*($L$3:$L$30=L29)*($M$3:$M$30=M29)*($N$3:$N$30=N29)*($O$3:$O$30=O29)*($P$3:$P$30=P29)*($Q$3:$Q$30=Q29)*($R$3:$R$30=R29)*($S$3:$S$30=S29)*($T$3:$T$30=T29)*($U$3:$U$30=U29)*($V$3:$V$30=V29)*($W$3:$W$30=W29)*($X$3:$X$30=X29)*($Y$3:$Y$30=Y29)*($Z$3:$Z$30=Z29)*($AA$3:$AA$30&gt;AA29)),"")</f>
        <v/>
      </c>
      <c r="AZ29" s="6" t="str">
        <f>IF(B29&lt;&gt;"",SUMPRODUCT(($E$3:$E$30=E29)*($F$3:$F$30=F29)*($G$3:$G$30=G29)*($H$3:$H$30=H29)*($I$3:$I$30=I29)*($J$3:$J$30=J29)*($K$3:$K$30=K29)*($L$3:$L$30=L29)*($M$3:$M$30=M29)*($N$3:$N$30=N29)*($O$3:$O$30=O29)*($P$3:$P$30=P29)*($Q$3:$Q$30=Q29)*($R$3:$R$30=R29)*($S$3:$S$30=S29)*($T$3:$T$30=T29)*($U$3:$U$30=U29)*($V$3:$V$30=V29)*($W$3:$W$30=W29)*($X$3:$X$30=X29)*($Y$3:$Y$30=Y29)*($Z$3:$Z$30=Z29)*($AA$3:$AA$30=AA29)*($AB$3:$AB$30&gt;AB29)),"")</f>
        <v/>
      </c>
      <c r="BA29" s="6" t="str">
        <f>IF(B29&lt;&gt;"",SUMPRODUCT(($E$3:$E$30=E29)*($F$3:$F$30=F29)*($G$3:$G$30=G29)*($H$3:$H$30=H29)*($I$3:$I$30=I29)*($J$3:$J$30=J29)*($K$3:$K$30=K29)*($L$3:$L$30=L29)*($M$3:$M$30=M29)*($N$3:$N$30=N29)*($O$3:$O$30=O29)*($P$3:$P$30=P29)*($Q$3:$Q$30=Q29)*($R$3:$R$30=R29)*($S$3:$S$30=S29)*($T$3:$T$30=T29)*($U$3:$U$30=U29)*($V$3:$V$30=V29)*($W$3:$W$30=W29)*($X$3:$X$30=X29)*($Y$3:$Y$30=Y29)*($Z$3:$Z$30=Z29)*($AA$3:$AA$30=AA29)*($AB$3:$AB$30=AB29)*($AC$3:$AC$30&gt;AC29)),"")</f>
        <v/>
      </c>
      <c r="BB29" s="6" t="str">
        <f t="shared" si="25"/>
        <v/>
      </c>
      <c r="BC29" s="6" t="str">
        <f>IF(B29&lt;&gt;"",'Equipes e Pilotos'!B29,"")</f>
        <v/>
      </c>
    </row>
    <row r="30" spans="1:55" x14ac:dyDescent="0.2">
      <c r="A30" s="1" t="str">
        <f>IF(B30&lt;&gt;"",RANK(E30,E$3:E$30)+SUM(AD30:BB30),"")</f>
        <v/>
      </c>
      <c r="B30" s="1" t="str">
        <f>IF('Equipes e Pilotos'!C30&lt;&gt;"",'Equipes e Pilotos'!C30,"")</f>
        <v/>
      </c>
      <c r="C30" s="1" t="str">
        <f>IF(B30&lt;&gt;"",VLOOKUP(B30,'Equipes e Pilotos'!$C$3:$F$30,3,FALSE),"")</f>
        <v/>
      </c>
      <c r="D30" s="1" t="str">
        <f>IF(B30&lt;&gt;"",VLOOKUP(B30,'Equipes e Pilotos'!$C$3:$F$30,4,FALSE),"")</f>
        <v/>
      </c>
      <c r="E30" s="1" t="str">
        <f>IF(B30&lt;&gt;"",SUMIF(Resultados!C:C,B30,Resultados!F:F),"")</f>
        <v/>
      </c>
      <c r="F30" s="7" t="str">
        <f>IF(B30&lt;&gt;"",SUMPRODUCT((Resultados!$B$1:$B$602=1)*(Resultados!$C$1:$C$602=B30)*1),"")</f>
        <v/>
      </c>
      <c r="G30" s="7" t="str">
        <f>IF(B30&lt;&gt;"",SUMPRODUCT((Resultados!$B$1:$B$602=2)*(Resultados!$C$1:$C$602=B30)*1),"")</f>
        <v/>
      </c>
      <c r="H30" s="7" t="str">
        <f>IF(B30&lt;&gt;"",SUMPRODUCT((Resultados!$B$1:$B$602=3)*(Resultados!$C$1:$C$602=B30)*1),"")</f>
        <v/>
      </c>
      <c r="I30" s="7" t="str">
        <f>IF(B30&lt;&gt;"",SUMPRODUCT((Resultados!$B$1:$B$602=4)*(Resultados!$C$1:$C$602=B30)*1),"")</f>
        <v/>
      </c>
      <c r="J30" s="7" t="str">
        <f>IF(B30&lt;&gt;"",SUMPRODUCT((Resultados!$B$1:$B$602=5)*(Resultados!$C$1:$C$602=B30)*1),"")</f>
        <v/>
      </c>
      <c r="K30" s="7" t="str">
        <f>IF(B30&lt;&gt;"",SUMPRODUCT((Resultados!$B$1:$B$602=6)*(Resultados!$C$1:$C$602=B30)*1),"")</f>
        <v/>
      </c>
      <c r="L30" s="7" t="str">
        <f>IF(B30&lt;&gt;"",SUMPRODUCT((Resultados!$B$1:$B$602=7)*(Resultados!$C$1:$C$602=B30)*1),"")</f>
        <v/>
      </c>
      <c r="M30" s="7" t="str">
        <f>IF(B30&lt;&gt;"",SUMPRODUCT((Resultados!$B$1:$B$602=8)*(Resultados!$C$1:$C$602=B30)*1),"")</f>
        <v/>
      </c>
      <c r="N30" s="7" t="str">
        <f>IF(B30&lt;&gt;"",SUMPRODUCT((Resultados!$B$1:$B$602=9)*(Resultados!$C$1:$C$602=B30)*1),"")</f>
        <v/>
      </c>
      <c r="O30" s="7" t="str">
        <f>IF(B30&lt;&gt;"",SUMPRODUCT((Resultados!$B$1:$B$602=10)*(Resultados!$C$1:$C$602=B30)*1),"")</f>
        <v/>
      </c>
      <c r="P30" s="7" t="str">
        <f>IF(B30&lt;&gt;"",SUMPRODUCT((Resultados!$B$1:$B$602=11)*(Resultados!$C$1:$C$602=B30)*1),"")</f>
        <v/>
      </c>
      <c r="Q30" s="7" t="str">
        <f>IF(B30&lt;&gt;"",SUMPRODUCT((Resultados!$B$1:$B$602=12)*(Resultados!$C$1:$C$602=B30)*1),"")</f>
        <v/>
      </c>
      <c r="R30" s="7" t="str">
        <f>IF(B30&lt;&gt;"",SUMPRODUCT((Resultados!$B$1:$B$602=13)*(Resultados!$C$1:$C$602=B30)*1),"")</f>
        <v/>
      </c>
      <c r="S30" s="7" t="str">
        <f>IF(B30&lt;&gt;"",SUMPRODUCT((Resultados!$B$1:$B$602=14)*(Resultados!$C$1:$C$602=B30)*1),"")</f>
        <v/>
      </c>
      <c r="T30" s="7" t="str">
        <f>IF(B30&lt;&gt;"",SUMPRODUCT((Resultados!$B$1:$B$602=15)*(Resultados!$C$1:$C$602=B30)*1),"")</f>
        <v/>
      </c>
      <c r="U30" s="7" t="str">
        <f>IF(B30&lt;&gt;"",SUMPRODUCT((Resultados!$B$1:$B$602=16)*(Resultados!$C$1:$C$602=B30)*1),"")</f>
        <v/>
      </c>
      <c r="V30" s="7" t="str">
        <f>IF(B30&lt;&gt;"",SUMPRODUCT((Resultados!$B$1:$B$602=17)*(Resultados!$C$1:$C$602=B30)*1),"")</f>
        <v/>
      </c>
      <c r="W30" s="7" t="str">
        <f>IF(B30&lt;&gt;"",SUMPRODUCT((Resultados!$B$1:$B$602=18)*(Resultados!$C$1:$C$602=B30)*1),"")</f>
        <v/>
      </c>
      <c r="X30" s="7" t="str">
        <f>IF(B30&lt;&gt;"",SUMPRODUCT((Resultados!$B$1:$B$602=19)*(Resultados!$C$1:$C$602=B30)*1),"")</f>
        <v/>
      </c>
      <c r="Y30" s="7" t="str">
        <f>IF(B30&lt;&gt;"",SUMPRODUCT((Resultados!$B$1:$B$602=20)*(Resultados!$C$1:$C$602=B30)*1),"")</f>
        <v/>
      </c>
      <c r="Z30" s="7" t="str">
        <f>IF(B30&lt;&gt;"",SUMPRODUCT((Resultados!$B$1:$B$602=21)*(Resultados!$C$1:$C$602=B30)*1),"")</f>
        <v/>
      </c>
      <c r="AA30" s="7" t="str">
        <f>IF(B30&lt;&gt;"",SUMPRODUCT((Resultados!$B$1:$B$602=22)*(Resultados!$C$1:$C$602=B30)*1),"")</f>
        <v/>
      </c>
      <c r="AB30" s="7" t="str">
        <f>IF(B30&lt;&gt;"",SUMPRODUCT((Resultados!$B$1:$B$602=23)*(Resultados!$C$1:$C$602=B30)*1),"")</f>
        <v/>
      </c>
      <c r="AC30" s="7" t="str">
        <f>IF(B30&lt;&gt;"",SUMPRODUCT((Resultados!$B$1:$B$602=24)*(Resultados!$C$1:$C$602=B30)*1),"")</f>
        <v/>
      </c>
      <c r="AD30" s="6" t="str">
        <f>IF(B30&lt;&gt;"",SUMPRODUCT(($E$3:$E$30=E30)*($F$3:$F$30&gt;F30)),"")</f>
        <v/>
      </c>
      <c r="AE30" s="6" t="str">
        <f>IF(B30&lt;&gt;"",SUMPRODUCT(($E$3:$E$30=E30)*($F$3:$F$30=F30)*($G$3:$G$30&gt;G30)),"")</f>
        <v/>
      </c>
      <c r="AF30" s="6" t="str">
        <f>IF(B30&lt;&gt;"",SUMPRODUCT(($E$3:$E$30=E30)*($F$3:$F$30=F30)*($G$3:$G$30=G30)*($H$3:$H$30&gt;H30)),"")</f>
        <v/>
      </c>
      <c r="AG30" s="6" t="str">
        <f>IF(B30&lt;&gt;"",SUMPRODUCT(($E$3:$E$30=E30)*($F$3:$F$30=F30)*($G$3:$G$30=G30)*($H$3:$H$30=H30)*($I$3:$I$30&gt;I30)),"")</f>
        <v/>
      </c>
      <c r="AH30" s="6" t="str">
        <f>IF(B30&lt;&gt;"",SUMPRODUCT(($E$3:$E$30=E30)*($F$3:$F$30=F30)*($G$3:$G$30=G30)*($H$3:$H$30=H30)*($I$3:$I$30=I30)*($J$3:$J$30&gt;J30)),"")</f>
        <v/>
      </c>
      <c r="AI30" s="6" t="str">
        <f>IF(B30&lt;&gt;"",SUMPRODUCT(($E$3:$E$30=E30)*($F$3:$F$30=F30)*($G$3:$G$30=G30)*($H$3:$H$30=H30)*($I$3:$I$30=I30)*($J$3:$J$30=J30)*($K$3:$K$30&gt;K30)),"")</f>
        <v/>
      </c>
      <c r="AJ30" s="6" t="str">
        <f>IF(B30&lt;&gt;"",SUMPRODUCT(($E$3:$E$30=E30)*($F$3:$F$30=F30)*($G$3:$G$30=G30)*($H$3:$H$30=H30)*($I$3:$I$30=I30)*($J$3:$J$30=J30)*($K$3:$K$30=K30)*($L$3:$L$30&gt;L30)),"")</f>
        <v/>
      </c>
      <c r="AK30" s="6" t="str">
        <f>IF(B30&lt;&gt;"",SUMPRODUCT(($E$3:$E$30=E30)*($F$3:$F$30=F30)*($G$3:$G$30=G30)*($H$3:$H$30=H30)*($I$3:$I$30=I30)*($J$3:$J$30=J30)*($K$3:$K$30=K30)*($L$3:$L$30=L30)*($M$3:$M$30&gt;M30)),"")</f>
        <v/>
      </c>
      <c r="AL30" s="6" t="str">
        <f>IF(B30&lt;&gt;"",SUMPRODUCT(($E$3:$E$30=E30)*($F$3:$F$30=F30)*($G$3:$G$30=G30)*($H$3:$H$30=H30)*($I$3:$I$30=I30)*($J$3:$J$30=J30)*($K$3:$K$30=K30)*($L$3:$L$30=L30)*($M$3:$M$30=M30)*($N$3:$N$30&gt;N30)),"")</f>
        <v/>
      </c>
      <c r="AM30" s="6" t="str">
        <f>IF(B30&lt;&gt;"",SUMPRODUCT(($E$3:$E$30=E30)*($F$3:$F$30=F30)*($G$3:$G$30=G30)*($H$3:$H$30=H30)*($I$3:$I$30=I30)*($J$3:$J$30=J30)*($K$3:$K$30=K30)*($L$3:$L$30=L30)*($M$3:$M$30=M30)*($N$3:$N$30=N30)*($O$3:$O$30&gt;O30)),"")</f>
        <v/>
      </c>
      <c r="AN30" s="6" t="str">
        <f>IF(B30&lt;&gt;"",SUMPRODUCT(($E$3:$E$30=E30)*($F$3:$F$30=F30)*($G$3:$G$30=G30)*($H$3:$H$30=H30)*($I$3:$I$30=I30)*($J$3:$J$30=J30)*($K$3:$K$30=K30)*($L$3:$L$30=L30)*($M$3:$M$30=M30)*($N$3:$N$30=N30)*($O$3:$O$30=O30)*($P$3:$P$30&gt;P30)),"")</f>
        <v/>
      </c>
      <c r="AO30" s="6" t="str">
        <f>IF(B30&lt;&gt;"",SUMPRODUCT(($E$3:$E$30=E30)*($F$3:$F$30=F30)*($G$3:$G$30=G30)*($H$3:$H$30=H30)*($I$3:$I$30=I30)*($J$3:$J$30=J30)*($K$3:$K$30=K30)*($L$3:$L$30=L30)*($M$3:$M$30=M30)*($N$3:$N$30=N30)*($O$3:$O$30=O30)*($P$3:$P$30=P30)*($Q$3:$Q$30&gt;Q30)),"")</f>
        <v/>
      </c>
      <c r="AP30" s="6" t="str">
        <f>IF(B30&lt;&gt;"",SUMPRODUCT(($E$3:$E$30=E30)*($F$3:$F$30=F30)*($G$3:$G$30=G30)*($H$3:$H$30=H30)*($I$3:$I$30=I30)*($J$3:$J$30=J30)*($K$3:$K$30=K30)*($L$3:$L$30=L30)*($M$3:$M$30=M30)*($N$3:$N$30=N30)*($O$3:$O$30=O30)*($P$3:$P$30=P30)*($Q$3:$Q$30=Q30)*($R$3:$R$30&gt;R30)),"")</f>
        <v/>
      </c>
      <c r="AQ30" s="6" t="str">
        <f>IF(B30&lt;&gt;"",SUMPRODUCT(($E$3:$E$30=E30)*($F$3:$F$30=F30)*($G$3:$G$30=G30)*($H$3:$H$30=H30)*($I$3:$I$30=I30)*($J$3:$J$30=J30)*($K$3:$K$30=K30)*($L$3:$L$30=L30)*($M$3:$M$30=M30)*($N$3:$N$30=N30)*($O$3:$O$30=O30)*($P$3:$P$30=P30)*($Q$3:$Q$30=Q30)*($R$3:$R$30=R30)*($S$3:$S$30&gt;S30)),"")</f>
        <v/>
      </c>
      <c r="AR30" s="6" t="str">
        <f>IF(B30&lt;&gt;"",SUMPRODUCT(($E$3:$E$30=E30)*($F$3:$F$30=F30)*($G$3:$G$30=G30)*($H$3:$H$30=H30)*($I$3:$I$30=I30)*($J$3:$J$30=J30)*($K$3:$K$30=K30)*($L$3:$L$30=L30)*($M$3:$M$30=M30)*($N$3:$N$30=N30)*($O$3:$O$30=O30)*($P$3:$P$30=P30)*($Q$3:$Q$30=Q30)*($R$3:$R$30=R30)*($S$3:$S$30=S30)*($T$3:$T$30&gt;T30)),"")</f>
        <v/>
      </c>
      <c r="AS30" s="6" t="str">
        <f>IF(B30&lt;&gt;"",SUMPRODUCT(($E$3:$E$30=E30)*($F$3:$F$30=F30)*($G$3:$G$30=G30)*($H$3:$H$30=H30)*($I$3:$I$30=I30)*($J$3:$J$30=J30)*($K$3:$K$30=K30)*($L$3:$L$30=L30)*($M$3:$M$30=M30)*($N$3:$N$30=N30)*($O$3:$O$30=O30)*($P$3:$P$30=P30)*($Q$3:$Q$30=Q30)*($R$3:$R$30=R30)*($S$3:$S$30=S30)*($T$3:$T$30=T30)*($U$3:$U$30&gt;U30)),"")</f>
        <v/>
      </c>
      <c r="AT30" s="6" t="str">
        <f>IF(B30&lt;&gt;"",SUMPRODUCT(($E$3:$E$30=E30)*($F$3:$F$30=F30)*($G$3:$G$30=G30)*($H$3:$H$30=H30)*($I$3:$I$30=I30)*($J$3:$J$30=J30)*($K$3:$K$30=K30)*($L$3:$L$30=L30)*($M$3:$M$30=M30)*($N$3:$N$30=N30)*($O$3:$O$30=O30)*($P$3:$P$30=P30)*($Q$3:$Q$30=Q30)*($R$3:$R$30=R30)*($S$3:$S$30=S30)*($T$3:$T$30=T30)*($U$3:$U$30=U30)*($V$3:$V$30&gt;V30)),"")</f>
        <v/>
      </c>
      <c r="AU30" s="6" t="str">
        <f>IF(B30&lt;&gt;"",SUMPRODUCT(($E$3:$E$30=E30)*($F$3:$F$30=F30)*($G$3:$G$30=G30)*($H$3:$H$30=H30)*($I$3:$I$30=I30)*($J$3:$J$30=J30)*($K$3:$K$30=K30)*($L$3:$L$30=L30)*($M$3:$M$30=M30)*($N$3:$N$30=N30)*($O$3:$O$30=O30)*($P$3:$P$30=P30)*($Q$3:$Q$30=Q30)*($R$3:$R$30=R30)*($S$3:$S$30=S30)*($T$3:$T$30=T30)*($U$3:$U$30=U30)*($V$3:$V$30=V30)*($W$3:$W$30&gt;W30)),"")</f>
        <v/>
      </c>
      <c r="AV30" s="6" t="str">
        <f>IF(B30&lt;&gt;"",SUMPRODUCT(($E$3:$E$30=E30)*($F$3:$F$30=F30)*($G$3:$G$30=G30)*($H$3:$H$30=H30)*($I$3:$I$30=I30)*($J$3:$J$30=J30)*($K$3:$K$30=K30)*($L$3:$L$30=L30)*($M$3:$M$30=M30)*($N$3:$N$30=N30)*($O$3:$O$30=O30)*($P$3:$P$30=P30)*($Q$3:$Q$30=Q30)*($R$3:$R$30=R30)*($S$3:$S$30=S30)*($T$3:$T$30=T30)*($U$3:$U$30=U30)*($V$3:$V$30=V30)*($W$3:$W$30=W30)*($X$3:$X$30&gt;X30)),"")</f>
        <v/>
      </c>
      <c r="AW30" s="6" t="str">
        <f>IF(B30&lt;&gt;"",SUMPRODUCT(($E$3:$E$30=E30)*($F$3:$F$30=F30)*($G$3:$G$30=G30)*($H$3:$H$30=H30)*($I$3:$I$30=I30)*($J$3:$J$30=J30)*($K$3:$K$30=K30)*($L$3:$L$30=L30)*($M$3:$M$30=M30)*($N$3:$N$30=N30)*($O$3:$O$30=O30)*($P$3:$P$30=P30)*($Q$3:$Q$30=Q30)*($R$3:$R$30=R30)*($S$3:$S$30=S30)*($T$3:$T$30=T30)*($U$3:$U$30=U30)*($V$3:$V$30=V30)*($W$3:$W$30=W30)*($X$3:$X$30=X30)*($Y$3:$Y$30&gt;Y30)),"")</f>
        <v/>
      </c>
      <c r="AX30" s="6" t="str">
        <f>IF(B30&lt;&gt;"",SUMPRODUCT(($E$3:$E$30=E30)*($F$3:$F$30=F30)*($G$3:$G$30=G30)*($H$3:$H$30=H30)*($I$3:$I$30=I30)*($J$3:$J$30=J30)*($K$3:$K$30=K30)*($L$3:$L$30=L30)*($M$3:$M$30=M30)*($N$3:$N$30=N30)*($O$3:$O$30=O30)*($P$3:$P$30=P30)*($Q$3:$Q$30=Q30)*($R$3:$R$30=R30)*($S$3:$S$30=S30)*($T$3:$T$30=T30)*($U$3:$U$30=U30)*($V$3:$V$30=V30)*($W$3:$W$30=W30)*($X$3:$X$30=X30)*($Y$3:$Y$30=Y30)*($Z$3:$Z$30&gt;Z30)),"")</f>
        <v/>
      </c>
      <c r="AY30" s="6" t="str">
        <f>IF(B30&lt;&gt;"",SUMPRODUCT(($E$3:$E$30=E30)*($F$3:$F$30=F30)*($G$3:$G$30=G30)*($H$3:$H$30=H30)*($I$3:$I$30=I30)*($J$3:$J$30=J30)*($K$3:$K$30=K30)*($L$3:$L$30=L30)*($M$3:$M$30=M30)*($N$3:$N$30=N30)*($O$3:$O$30=O30)*($P$3:$P$30=P30)*($Q$3:$Q$30=Q30)*($R$3:$R$30=R30)*($S$3:$S$30=S30)*($T$3:$T$30=T30)*($U$3:$U$30=U30)*($V$3:$V$30=V30)*($W$3:$W$30=W30)*($X$3:$X$30=X30)*($Y$3:$Y$30=Y30)*($Z$3:$Z$30=Z30)*($AA$3:$AA$30&gt;AA30)),"")</f>
        <v/>
      </c>
      <c r="AZ30" s="6" t="str">
        <f>IF(B30&lt;&gt;"",SUMPRODUCT(($E$3:$E$30=E30)*($F$3:$F$30=F30)*($G$3:$G$30=G30)*($H$3:$H$30=H30)*($I$3:$I$30=I30)*($J$3:$J$30=J30)*($K$3:$K$30=K30)*($L$3:$L$30=L30)*($M$3:$M$30=M30)*($N$3:$N$30=N30)*($O$3:$O$30=O30)*($P$3:$P$30=P30)*($Q$3:$Q$30=Q30)*($R$3:$R$30=R30)*($S$3:$S$30=S30)*($T$3:$T$30=T30)*($U$3:$U$30=U30)*($V$3:$V$30=V30)*($W$3:$W$30=W30)*($X$3:$X$30=X30)*($Y$3:$Y$30=Y30)*($Z$3:$Z$30=Z30)*($AA$3:$AA$30=AA30)*($AB$3:$AB$30&gt;AB30)),"")</f>
        <v/>
      </c>
      <c r="BA30" s="6" t="str">
        <f>IF(B30&lt;&gt;"",SUMPRODUCT(($E$3:$E$30=E30)*($F$3:$F$30=F30)*($G$3:$G$30=G30)*($H$3:$H$30=H30)*($I$3:$I$30=I30)*($J$3:$J$30=J30)*($K$3:$K$30=K30)*($L$3:$L$30=L30)*($M$3:$M$30=M30)*($N$3:$N$30=N30)*($O$3:$O$30=O30)*($P$3:$P$30=P30)*($Q$3:$Q$30=Q30)*($R$3:$R$30=R30)*($S$3:$S$30=S30)*($T$3:$T$30=T30)*($U$3:$U$30=U30)*($V$3:$V$30=V30)*($W$3:$W$30=W30)*($X$3:$X$30=X30)*($Y$3:$Y$30=Y30)*($Z$3:$Z$30=Z30)*($AA$3:$AA$30=AA30)*($AB$3:$AB$30=AB30)*($AC$3:$AC$30&gt;AC30)),"")</f>
        <v/>
      </c>
      <c r="BB30" s="6" t="str">
        <f t="shared" si="25"/>
        <v/>
      </c>
      <c r="BC30" s="6" t="str">
        <f>IF(B30&lt;&gt;"",'Equipes e Pilotos'!B30,"")</f>
        <v/>
      </c>
    </row>
    <row r="34" spans="1:55" x14ac:dyDescent="0.2">
      <c r="A34" s="1" t="s">
        <v>264</v>
      </c>
      <c r="B34" s="1" t="s">
        <v>6</v>
      </c>
      <c r="C34" s="1" t="s">
        <v>8</v>
      </c>
      <c r="D34" s="1" t="s">
        <v>236</v>
      </c>
      <c r="E34" s="1" t="s">
        <v>7</v>
      </c>
      <c r="F34" s="8">
        <v>1</v>
      </c>
      <c r="G34" s="8">
        <v>2</v>
      </c>
      <c r="H34" s="8">
        <v>3</v>
      </c>
      <c r="I34" s="8">
        <v>4</v>
      </c>
      <c r="J34" s="8">
        <v>5</v>
      </c>
      <c r="K34" s="8">
        <v>6</v>
      </c>
      <c r="L34" s="8">
        <v>7</v>
      </c>
      <c r="M34" s="8">
        <v>8</v>
      </c>
      <c r="N34" s="8">
        <v>9</v>
      </c>
      <c r="O34" s="8">
        <v>10</v>
      </c>
      <c r="P34" s="8">
        <v>11</v>
      </c>
      <c r="Q34" s="8">
        <v>12</v>
      </c>
      <c r="R34" s="8">
        <v>13</v>
      </c>
      <c r="S34" s="8">
        <v>14</v>
      </c>
      <c r="T34" s="8">
        <v>15</v>
      </c>
      <c r="U34" s="8">
        <v>16</v>
      </c>
      <c r="V34" s="8">
        <v>17</v>
      </c>
      <c r="W34" s="8">
        <v>18</v>
      </c>
      <c r="X34" s="8">
        <v>19</v>
      </c>
      <c r="Y34" s="8">
        <v>20</v>
      </c>
      <c r="Z34" s="8">
        <v>21</v>
      </c>
      <c r="AA34" s="8">
        <v>22</v>
      </c>
      <c r="AB34" s="8">
        <v>23</v>
      </c>
      <c r="AC34" s="8">
        <v>24</v>
      </c>
      <c r="AD34" s="11" t="s">
        <v>265</v>
      </c>
      <c r="AE34" s="11" t="s">
        <v>266</v>
      </c>
      <c r="AF34" s="11" t="s">
        <v>267</v>
      </c>
      <c r="AG34" s="11" t="s">
        <v>268</v>
      </c>
      <c r="AH34" s="11" t="s">
        <v>269</v>
      </c>
      <c r="AI34" s="11" t="s">
        <v>270</v>
      </c>
      <c r="AJ34" s="11" t="s">
        <v>271</v>
      </c>
      <c r="AK34" s="11" t="s">
        <v>272</v>
      </c>
      <c r="AL34" s="10" t="s">
        <v>275</v>
      </c>
      <c r="AM34" s="10" t="s">
        <v>276</v>
      </c>
      <c r="AN34" s="10" t="s">
        <v>277</v>
      </c>
      <c r="AO34" s="10" t="s">
        <v>278</v>
      </c>
      <c r="AP34" s="10" t="s">
        <v>279</v>
      </c>
      <c r="AQ34" s="10" t="s">
        <v>280</v>
      </c>
      <c r="AR34" s="10" t="s">
        <v>281</v>
      </c>
      <c r="AS34" s="10" t="s">
        <v>282</v>
      </c>
      <c r="AT34" s="10" t="s">
        <v>283</v>
      </c>
      <c r="AU34" s="10" t="s">
        <v>284</v>
      </c>
      <c r="AV34" s="10" t="s">
        <v>285</v>
      </c>
      <c r="AW34" s="10" t="s">
        <v>286</v>
      </c>
      <c r="AX34" s="10" t="s">
        <v>287</v>
      </c>
      <c r="AY34" s="10" t="s">
        <v>288</v>
      </c>
      <c r="AZ34" s="10" t="s">
        <v>289</v>
      </c>
      <c r="BA34" s="10" t="s">
        <v>290</v>
      </c>
      <c r="BB34" s="6" t="s">
        <v>9</v>
      </c>
      <c r="BC34" s="6" t="s">
        <v>9</v>
      </c>
    </row>
    <row r="35" spans="1:55" x14ac:dyDescent="0.2">
      <c r="A35" s="1">
        <f t="shared" ref="A35:A47" si="26">IF(B35&lt;&gt;"",RANK(E35,E$35:E$47)+SUM(AD35:BB35),"")</f>
        <v>3</v>
      </c>
      <c r="B35" s="1" t="str">
        <f>IF('Equipes e Pilotos'!I3&lt;&gt;"",'Equipes e Pilotos'!I3,"")</f>
        <v>McLaren</v>
      </c>
      <c r="C35" s="1" t="str">
        <f>IF(B35&lt;&gt;"",VLOOKUP(B35,'Equipes e Pilotos'!$I$3:$K$15,2,FALSE),"")</f>
        <v>Inglaterra</v>
      </c>
      <c r="D35" s="1" t="str">
        <f>IF(B35&lt;&gt;"",VLOOKUP(B35,'Equipes e Pilotos'!$I$3:$K$15,3,FALSE),"")</f>
        <v>Mercedes</v>
      </c>
      <c r="E35" s="1">
        <f>IF(B35&lt;&gt;"",SUMIF(Resultados!E:E,B35,Resultados!F:F),"")</f>
        <v>339</v>
      </c>
      <c r="F35" s="7">
        <f>IF(B35&lt;&gt;"",SUMPRODUCT((Resultados!$B$1:$B$602=1)*(Resultados!$E$1:$E$602=B35)*1),"")</f>
        <v>3</v>
      </c>
      <c r="G35" s="7">
        <f>IF(B35&lt;&gt;"",SUMPRODUCT((Resultados!$B$1:$B$602=2)*(Resultados!$E$1:$E$602=B35)*1),"")</f>
        <v>4</v>
      </c>
      <c r="H35" s="7">
        <f>IF(B35&lt;&gt;"",SUMPRODUCT((Resultados!$B$1:$B$602=3)*(Resultados!$E$1:$E$602=B35)*1),"")</f>
        <v>5</v>
      </c>
      <c r="I35" s="7">
        <f>IF(B35&lt;&gt;"",SUMPRODUCT((Resultados!$B$1:$B$602=4)*(Resultados!$E$1:$E$602=B35)*1),"")</f>
        <v>6</v>
      </c>
      <c r="J35" s="7">
        <f>IF(B35&lt;&gt;"",SUMPRODUCT((Resultados!$B$1:$B$602=5)*(Resultados!$E$1:$E$602=B35)*1),"")</f>
        <v>6</v>
      </c>
      <c r="K35" s="7">
        <f>IF(B35&lt;&gt;"",SUMPRODUCT((Resultados!$B$1:$B$602=6)*(Resultados!$E$1:$E$602=B35)*1),"")</f>
        <v>3</v>
      </c>
      <c r="L35" s="7">
        <f>IF(B35&lt;&gt;"",SUMPRODUCT((Resultados!$B$1:$B$602=7)*(Resultados!$E$1:$E$602=B35)*1),"")</f>
        <v>3</v>
      </c>
      <c r="M35" s="7">
        <f>IF(B35&lt;&gt;"",SUMPRODUCT((Resultados!$B$1:$B$602=8)*(Resultados!$E$1:$E$602=B35)*1),"")</f>
        <v>1</v>
      </c>
      <c r="N35" s="7">
        <f>IF(B35&lt;&gt;"",SUMPRODUCT((Resultados!$B$1:$B$602=9)*(Resultados!$E$1:$E$602=B35)*1),"")</f>
        <v>1</v>
      </c>
      <c r="O35" s="7">
        <f>IF(B35&lt;&gt;"",SUMPRODUCT((Resultados!$B$1:$B$602=10)*(Resultados!$E$1:$E$602=B35)*1),"")</f>
        <v>0</v>
      </c>
      <c r="P35" s="7">
        <f>IF(B35&lt;&gt;"",SUMPRODUCT((Resultados!$B$1:$B$602=11)*(Resultados!$E$1:$E$602=B35)*1),"")</f>
        <v>2</v>
      </c>
      <c r="Q35" s="7">
        <f>IF(B35&lt;&gt;"",SUMPRODUCT((Resultados!$B$1:$B$602=12)*(Resultados!$E$1:$E$602=B35)*1),"")</f>
        <v>0</v>
      </c>
      <c r="R35" s="7">
        <f>IF(B35&lt;&gt;"",SUMPRODUCT((Resultados!$B$1:$B$602=13)*(Resultados!$E$1:$ED$602=B35)*1),"")</f>
        <v>3</v>
      </c>
      <c r="S35" s="7">
        <f>IF(B35&lt;&gt;"",SUMPRODUCT((Resultados!$B$1:$B$602=14)*(Resultados!$E$1:$E$602=B35)*1),"")</f>
        <v>0</v>
      </c>
      <c r="T35" s="7">
        <f>IF(B35&lt;&gt;"",SUMPRODUCT((Resultados!$B$1:$B$602=15)*(Resultados!$E$1:$E$602=B35)*1),"")</f>
        <v>0</v>
      </c>
      <c r="U35" s="7">
        <f>IF(B35&lt;&gt;"",SUMPRODUCT((Resultados!$B$1:$B$602=16)*(Resultados!$E$1:$E$602=B35)*1),"")</f>
        <v>0</v>
      </c>
      <c r="V35" s="7">
        <f>IF(B35&lt;&gt;"",SUMPRODUCT((Resultados!$B$1:$B$602=17)*(Resultados!$E$1:$E$602=B35)*1),"")</f>
        <v>0</v>
      </c>
      <c r="W35" s="7">
        <f>IF(B35&lt;&gt;"",SUMPRODUCT((Resultados!$B$1:$B$602=18)*(Resultados!$E$1:$E$602=B35)*1),"")</f>
        <v>1</v>
      </c>
      <c r="X35" s="7">
        <f>IF(B35&lt;&gt;"",SUMPRODUCT((Resultados!$B$1:$B$602=19)*(Resultados!$E$1:$E$602=B35)*1),"")</f>
        <v>3</v>
      </c>
      <c r="Y35" s="7">
        <f>IF(B35&lt;&gt;"",SUMPRODUCT((Resultados!$B$1:$B$602=20)*(Resultados!$E$1:$E$602=B35)*1),"")</f>
        <v>2</v>
      </c>
      <c r="Z35" s="7">
        <f>IF(B35&lt;&gt;"",SUMPRODUCT((Resultados!$B$1:$B$602=21)*(Resultados!$E$1:$E$602=B35)*1),"")</f>
        <v>1</v>
      </c>
      <c r="AA35" s="7">
        <f>IF(B35&lt;&gt;"",SUMPRODUCT((Resultados!$B$1:$B$602=22)*(Resultados!$E$1:$E$602=B35)*1),"")</f>
        <v>0</v>
      </c>
      <c r="AB35" s="7">
        <f>IF(B35&lt;&gt;"",SUMPRODUCT((Resultados!$B$1:$B$602=23)*(Resultados!$E$1:$E$602=B35)*1),"")</f>
        <v>0</v>
      </c>
      <c r="AC35" s="7">
        <f>IF(B35&lt;&gt;"",SUMPRODUCT((Resultados!$B$1:$B$602=24)*(Resultados!$E$1:$E$602=B35)*1),"")</f>
        <v>0</v>
      </c>
      <c r="AD35" s="6">
        <f>IF(B35&lt;&gt;"",SUMPRODUCT(($E$35:$E$47=E35)*($F$35:$F$47&gt;F35)),"")</f>
        <v>0</v>
      </c>
      <c r="AE35" s="6">
        <f>IF(B35&lt;&gt;"",SUMPRODUCT(($E$35:$E$47=E35)*($F$35:$F$47=F35)*($G$35:$G$47&gt;G35)),"")</f>
        <v>0</v>
      </c>
      <c r="AF35" s="6">
        <f>IF(B35&lt;&gt;"",SUMPRODUCT(($E$35:$E$47=E35)*($F$35:$F$47=F35)*($G$35:$G$47=G35)*($H$35:$H$47&gt;H35)),"")</f>
        <v>0</v>
      </c>
      <c r="AG35" s="6">
        <f>IF(B35&lt;&gt;"",SUMPRODUCT(($E$35:$E$47=E35)*($F$35:$F$47=F35)*($G$35:$G$47=G35)*($H$35:$H$47=H35)*($I$35:$I$47&gt;I35)),"")</f>
        <v>0</v>
      </c>
      <c r="AH35" s="6">
        <f>IF(B35&lt;&gt;"",SUMPRODUCT(($E$35:$E$47=E35)*($F$35:$F$47=F35)*($G$35:$G$47=G35)*($H$35:$H$47=H35)*($I$35:$I$47=I35)*($J$35:$J$47&gt;J35)),"")</f>
        <v>0</v>
      </c>
      <c r="AI35" s="6">
        <f>IF(B35&lt;&gt;"",SUMPRODUCT(($E$35:$E$47=E35)*($F$35:$F$47=F35)*($G$35:$G$47=G35)*($H$35:$H$47=H35)*($I$35:$I$47=I35)*($J$35:$J$47=J35)*($K$35:$K$47&gt;K35)),"")</f>
        <v>0</v>
      </c>
      <c r="AJ35" s="6">
        <f>IF(B35&lt;&gt;"",SUMPRODUCT(($E$35:$E$47=E35)*($F$35:$F$47=F35)*($G$35:$G$47=G35)*($H$35:$H$47=H35)*($I$35:$I$47=I35)*($J$35:$J$47=J35)*($K$35:$K$47=K35)*($L$35:$L$47&gt;L35)),"")</f>
        <v>0</v>
      </c>
      <c r="AK35" s="6">
        <f>IF(B35&lt;&gt;"",SUMPRODUCT(($E$35:$E$47=E35)*($F$35:$F$47=F35)*($G$35:$G$47=G35)*($H$35:$H$47=H35)*($I$35:$I$47=I35)*($J$35:$J$47=J35)*($K$35:$K$47=K35)*($L$35:$L$47=L35)*($M$35:$M$47&gt;M35)),"")</f>
        <v>0</v>
      </c>
      <c r="AL35" s="6">
        <f>IF(B35&lt;&gt;"",SUMPRODUCT(($E$35:$E$47=E35)*($F$35:$F$47=F35)*($G$35:$G$47=G35)*($H$35:$H$47=H35)*($I$35:$I$47=I35)*($J$35:$J$47=J35)*($K$35:$K$47=K35)*($L$35:$L$47=L35)*($M$35:$M$47=M35)*($N$35:$N$47&gt;N35)),"")</f>
        <v>0</v>
      </c>
      <c r="AM35" s="6">
        <f>IF(B35&lt;&gt;"",SUMPRODUCT(($E$35:$E$47=E35)*($F$35:$F$47=F35)*($G$35:$G$47=G35)*($H$35:$H$47=H35)*($I$35:$I$47=I35)*($J$35:$J$47=J35)*($K$35:$K$47=K35)*($L$35:$L$47=L35)*($M$35:$M$47=M35)*($N$35:$N$47=N35)*($O$35:$O$47&gt;O35)),"")</f>
        <v>0</v>
      </c>
      <c r="AN35" s="6">
        <f>IF(B35&lt;&gt;"",SUMPRODUCT(($E$35:$E$47=E35)*($F$35:$F$47=F35)*($G$35:$G$47=G35)*($H$35:$H$47=H35)*($I$35:$I$47=I35)*($J$35:$J$47=J35)*($K$35:$K$47=K35)*($L$35:$L$47=L35)*($M$35:$M$47=M35)*($N$35:$N$47=N35)*($O$35:$O$47=O35)*($P$35:$P$47&gt;P35)),"")</f>
        <v>0</v>
      </c>
      <c r="AO35" s="6">
        <f>IF(B35&lt;&gt;"",SUMPRODUCT(($E$35:$E$47=E35)*($F$35:$F$47=F35)*($G$35:$G$47=G35)*($H$35:$H$47=H35)*($I$35:$I$47=I35)*($J$35:$J$47=J35)*($K$35:$K$47=K35)*($L$35:$L$47=L35)*($M$35:$M$47=M35)*($N$35:$N$47=N35)*($O$35:$O$47=O35)*($P$35:$P$47=P35)*($Q$35:$Q$47&gt;Q35)),"")</f>
        <v>0</v>
      </c>
      <c r="AP35" s="6">
        <f>IF(B35&lt;&gt;"",SUMPRODUCT(($E$35:$E$47=E35)*($F$35:$F$47=F35)*($G$35:$G$47=G35)*($H$35:$H$47=H35)*($I$35:$I$47=I35)*($J$35:$J$47=J35)*($K$35:$K$47=K35)*($L$35:$L$47=L35)*($M$35:$M$47=M35)*($N$35:$N$47=N35)*($O$35:$O$47=O35)*($P$35:$P$47=P35)*($Q$35:$Q$47=Q35)*($R$35:$R$47&gt;R35)),"")</f>
        <v>0</v>
      </c>
      <c r="AQ35" s="6">
        <f>IF(B35&lt;&gt;"",SUMPRODUCT(($E$35:$E$47=E35)*($F$35:$F$47=F35)*($G$35:$G$47=G35)*($H$35:$H$47=H35)*($I$35:$I$47=I35)*($J$35:$J$47=J35)*($K$35:$K$47=K35)*($L$35:$L$47=L35)*($M$35:$M$47=M35)*($N$35:$N$47=N35)*($O$35:$O$47=O35)*($P$35:$P$47=P35)*($Q$35:$Q$47=Q35)*($R$35:$R$47=R35)*($S$35:$S$47&gt;S35)),"")</f>
        <v>0</v>
      </c>
      <c r="AR35" s="6">
        <f>IF(B35&lt;&gt;"",SUMPRODUCT(($E$35:$E$47=E35)*($F$35:$F$47=F35)*($G$35:$G$47=G35)*($H$35:$H$47=H35)*($I$35:$I$47=I35)*($J$35:$J$47=J35)*($K$35:$K$47=K35)*($L$35:$L$47=L35)*($M$35:$M$47=M35)*($N$35:$N$47=N35)*($O$35:$O$47=O35)*($P$35:$P$47=P35)*($Q$35:$Q$47=Q35)*($R$35:$R$47=R35)*($S$35:$S$47=S35)*($T$35:$T$47&gt;T35)),"")</f>
        <v>0</v>
      </c>
      <c r="AS35" s="6">
        <f>IF(B35&lt;&gt;"",SUMPRODUCT(($E$35:$E$47=E35)*($F$35:$F$47=F35)*($G$35:$G$47=G35)*($H$35:$H$47=H35)*($I$35:$I$47=I35)*($J$35:$J$47=J35)*($K$35:$K$47=K35)*($L$35:$L$47=L35)*($M$35:$M$47=M35)*($N$35:$N$47=N35)*($O$35:$O$47=O35)*($P$35:$P$47=P35)*($Q$35:$Q$47=Q35)*($R$35:$R$47=R35)*($S$35:$S$47=S35)*($T$35:$T$47=T35)*($U$35:$U$47&gt;U35)),"")</f>
        <v>0</v>
      </c>
      <c r="AT35" s="6">
        <f>IF(B35&lt;&gt;"",SUMPRODUCT(($E$35:$E$47=E35)*($F$35:$F$47=F35)*($G$35:$G$47=G35)*($H$35:$H$47=H35)*($I$35:$I$47=I35)*($J$35:$J$47=J35)*($K$35:$K$47=K35)*($L$35:$L$47=L35)*($M$35:$M$47=M35)*($N$35:$N$47=N35)*($O$35:$O$47=O35)*($P$35:$P$47=P35)*($Q$35:$Q$47=Q35)*($R$35:$R$47=R35)*($S$35:$S$47=S35)*($T$35:$T$47=T35)*($U$35:$U$47=U35)*($V$35:$V$47&gt;V35)),"")</f>
        <v>0</v>
      </c>
      <c r="AU35" s="6">
        <f>IF(B35&lt;&gt;"",SUMPRODUCT(($E$35:$E$47=E35)*($F$35:$F$47=F35)*($G$35:$G$47=G35)*($H$35:$H$47=H35)*($I$35:$I$47=I35)*($J$35:$J$47=J35)*($K$35:$K$47=K35)*($L$35:$L$47=L35)*($M$35:$M$47=M35)*($N$35:$N$47=N35)*($O$35:$O$47=O35)*($P$35:$P$47=P35)*($Q$35:$Q$47=Q35)*($R$35:$R$47=R35)*($S$35:$S$47=S35)*($T$35:$T$47=T35)*($U$35:$U$47=U35)*($V$35:$V$47=V35)*($W$35:$W$47&gt;W35)),"")</f>
        <v>0</v>
      </c>
      <c r="AV35" s="6">
        <f>IF(B35&lt;&gt;"",SUMPRODUCT(($E$35:$E$47=E35)*($F$35:$F$47=F35)*($G$35:$G$47=G35)*($H$35:$H$47=H35)*($I$35:$I$47=I35)*($J$35:$J$47=J35)*($K$35:$K$47=K35)*($L$35:$L$47=L35)*($M$35:$M$47=M35)*($N$35:$N$47=N35)*($O$35:$O$47=O35)*($P$35:$P$47=P35)*($Q$35:$Q$47=Q35)*($R$35:$R$47=R35)*($S$35:$S$47=S35)*($T$35:$T$47=T35)*($U$35:$U$47=U35)*($V$35:$V$47=V35)*($W$35:$W$47=W35)*($X$35:$X$47&gt;X35)),"")</f>
        <v>0</v>
      </c>
      <c r="AW35" s="6">
        <f>IF(B35&lt;&gt;"",SUMPRODUCT(($E$35:$E$47=E35)*($F$35:$F$47=F35)*($G$35:$G$47=G35)*($H$35:$H$47=H35)*($I$35:$I$47=I35)*($J$35:$J$47=J35)*($K$35:$K$47=K35)*($L$35:$L$47=L35)*($M$35:$M$47=M35)*($N$35:$N$47=N35)*($O$35:$O$47=O35)*($P$35:$P$47=P35)*($Q$35:$Q$47=Q35)*($R$35:$R$47=R35)*($S$35:$S$47=S35)*($T$35:$T$47=T35)*($U$35:$U$47=U35)*($V$35:$V$47=V35)*($W$35:$W$47=W35)*($X$35:$X$47=X35)*($Y$35:$Y$47&gt;Y35)),"")</f>
        <v>0</v>
      </c>
      <c r="AX35" s="6">
        <f>IF(B35&lt;&gt;"",SUMPRODUCT(($E$35:$E$47=E35)*($F$35:$F$47=F35)*($G$35:$G$47=G35)*($H$35:$H$47=H35)*($I$35:$I$47=I35)*($J$35:$J$47=J35)*($K$35:$K$47=K35)*($L$35:$L$47=L35)*($M$35:$M$47=M35)*($N$35:$N$47=N35)*($O$35:$O$47=O35)*($P$35:$P$47=P35)*($Q$35:$Q$47=Q35)*($R$35:$R$47=R35)*($S$35:$S$47=S35)*($T$35:$T$47=T35)*($U$35:$U$47=U35)*($V$35:$V$47=V35)*($W$35:$W$47=W35)*($X$35:$X$47=X35)*($Y$35:$Y$47=Y35)*($Z$35:$Z$47&gt;Z35)),"")</f>
        <v>0</v>
      </c>
      <c r="AY35" s="6">
        <f>IF(B35&lt;&gt;"",SUMPRODUCT(($E$35:$E$47=E35)*($F$35:$F$47=F35)*($G$35:$G$47=G35)*($H$35:$H$47=H35)*($I$35:$I$47=I35)*($J$35:$J$47=J35)*($K$35:$K$47=K35)*($L$35:$L$47=L35)*($M$35:$M$47=M35)*($N$35:$N$47=N35)*($O$35:$O$47=O35)*($P$35:$P$47=P35)*($Q$35:$Q$47=Q35)*($R$35:$R$47=R35)*($S$35:$S$47=S35)*($T$35:$T$47=T35)*($U$35:$U$47=U35)*($V$35:$V$47=V35)*($W$35:$W$47=W35)*($X$35:$X$47=X35)*($Y$35:$Y$47=Y35)*($Z$35:$Z$47=Z35)*($AA$35:$AA$47&gt;AA35)),"")</f>
        <v>0</v>
      </c>
      <c r="AZ35" s="6">
        <f>IF(B35&lt;&gt;"",SUMPRODUCT(($E$35:$E$47=E35)*($F$35:$F$47=F35)*($G$35:$G$47=G35)*($H$35:$H$47=H35)*($I$35:$I$47=I35)*($J$35:$J$47=J35)*($K$35:$K$47=K35)*($L$35:$L$47=L35)*($M$35:$M$47=M35)*($N$35:$N$47=N35)*($O$35:$O$47=O35)*($P$35:$P$47=P35)*($Q$35:$Q$47=Q35)*($R$35:$R$47=R35)*($S$35:$S$47=S35)*($T$35:$T$47=T35)*($U$35:$U$47=U35)*($V$35:$V$47=V35)*($W$35:$W$47=W35)*($X$35:$X$47=X35)*($Y$35:$Y$47=Y35)*($Z$35:$Z$47=Z35)*($AA$35:$AA$47=AA35)*($AB$35:$AB$47&gt;AB35)),"")</f>
        <v>0</v>
      </c>
      <c r="BA35" s="6">
        <f>IF(B35&lt;&gt;"",SUMPRODUCT(($E$35:$E$47=E35)*($F$35:$F$47=F35)*($G$35:$G$47=G35)*($H$35:$H$47=H35)*($I$35:$I$47=I35)*($J$35:$J$47=J35)*($K$35:$K$47=K35)*($L$35:$L$47=L35)*($M$35:$M$47=M35)*($N$35:$N$47=N35)*($O$35:$O$47=O35)*($P$35:$P$47=P35)*($Q$35:$Q$47=Q35)*($R$35:$R$47=R35)*($S$35:$S$47=S35)*($T$35:$T$47=T35)*($U$35:$U$47=U35)*($V$35:$V$47=V35)*($W$35:$W$47=W35)*($X$35:$X$47=X35)*($Y$35:$Y$47=Y35)*($Z$35:$Z$47=Z35)*($AA$35:$AA$47=AA35)*($AB$35:$AB$47=AB35)*($AC$35:$AC$47&gt;AC35)),"")</f>
        <v>0</v>
      </c>
      <c r="BB35" s="6">
        <f>IF(B35&lt;&gt;"",SUMPRODUCT(($E$35:$E$47=E35)*($F$35:$F$47=F35)*($G$35:$G$47=G35)*($H$35:$H$47=H35)*($I$35:$I$47=I35)*($J$35:$J$47=J35)*($K$35:$K$47=K35)*($L$35:$L$47=L35)*($M$35:$M$47=M35)*($N$35:$N$47=N35)*($O$35:$O$47=O35)*($P$35:$P$47=P35)*($Q$35:$Q$47=Q35)*($R$35:$R$47=R35)*($S$35:$S$47=S35)*($T$35:$T$47=T35)*($U$35:$U$47=U35)*($V$35:$V$47=V35)*($W$35:$W$47=W35)*($X$35:$X$47=X35)*($Y$35:$Y$47=Y35)*($Z$35:$Z$47=Z35)*($AA$35:$AA$47=AA35)*($AB$35:$AB$47=AB35)*($AC$35:$AC$47=AC35)*($BC$35:$BC$47&lt;BC35)),"")</f>
        <v>0</v>
      </c>
      <c r="BC35" s="6">
        <f>IF(B35&lt;&gt;"",'Equipes e Pilotos'!H3,"")</f>
        <v>1</v>
      </c>
    </row>
    <row r="36" spans="1:55" x14ac:dyDescent="0.2">
      <c r="A36" s="1">
        <f t="shared" si="26"/>
        <v>1</v>
      </c>
      <c r="B36" s="1" t="str">
        <f>IF('Equipes e Pilotos'!I4&lt;&gt;"",'Equipes e Pilotos'!I4,"")</f>
        <v>Mercedes</v>
      </c>
      <c r="C36" s="1" t="str">
        <f>IF(B36&lt;&gt;"",VLOOKUP(B36,'Equipes e Pilotos'!$I$3:$K$15,2,FALSE),"")</f>
        <v>Alemanha</v>
      </c>
      <c r="D36" s="1" t="str">
        <f>IF(B36&lt;&gt;"",VLOOKUP(B36,'Equipes e Pilotos'!$I$3:$K$15,3,FALSE),"")</f>
        <v>Mercedes</v>
      </c>
      <c r="E36" s="1">
        <f>IF(B36&lt;&gt;"",SUMIF(Resultados!E:E,B36,Resultados!F:F),"")</f>
        <v>578</v>
      </c>
      <c r="F36" s="7">
        <f>IF(B36&lt;&gt;"",SUMPRODUCT((Resultados!$B$1:$B$602=1)*(Resultados!$E$1:$E$602=B36)*1),"")</f>
        <v>15</v>
      </c>
      <c r="G36" s="7">
        <f>IF(B36&lt;&gt;"",SUMPRODUCT((Resultados!$B$1:$B$602=2)*(Resultados!$E$1:$E$602=B36)*1),"")</f>
        <v>7</v>
      </c>
      <c r="H36" s="7">
        <f>IF(B36&lt;&gt;"",SUMPRODUCT((Resultados!$B$1:$B$602=3)*(Resultados!$E$1:$E$602=B36)*1),"")</f>
        <v>4</v>
      </c>
      <c r="I36" s="7">
        <f>IF(B36&lt;&gt;"",SUMPRODUCT((Resultados!$B$1:$B$602=4)*(Resultados!$E$1:$E$602=B36)*1),"")</f>
        <v>5</v>
      </c>
      <c r="J36" s="7">
        <f>IF(B36&lt;&gt;"",SUMPRODUCT((Resultados!$B$1:$B$602=5)*(Resultados!$E$1:$E$602=B36)*1),"")</f>
        <v>3</v>
      </c>
      <c r="K36" s="7">
        <f>IF(B36&lt;&gt;"",SUMPRODUCT((Resultados!$B$1:$B$602=6)*(Resultados!$E$1:$E$602=B36)*1),"")</f>
        <v>1</v>
      </c>
      <c r="L36" s="7">
        <f>IF(B36&lt;&gt;"",SUMPRODUCT((Resultados!$B$1:$B$602=7)*(Resultados!$E$1:$E$602=B36)*1),"")</f>
        <v>1</v>
      </c>
      <c r="M36" s="7">
        <f>IF(B36&lt;&gt;"",SUMPRODUCT((Resultados!$B$1:$B$602=8)*(Resultados!$E$1:$E$602=B36)*1),"")</f>
        <v>0</v>
      </c>
      <c r="N36" s="7">
        <f>IF(B36&lt;&gt;"",SUMPRODUCT((Resultados!$B$1:$B$602=9)*(Resultados!$E$1:$E$602=B36)*1),"")</f>
        <v>0</v>
      </c>
      <c r="O36" s="7">
        <f>IF(B36&lt;&gt;"",SUMPRODUCT((Resultados!$B$1:$B$602=10)*(Resultados!$E$1:$E$602=B36)*1),"")</f>
        <v>0</v>
      </c>
      <c r="P36" s="7">
        <f>IF(B36&lt;&gt;"",SUMPRODUCT((Resultados!$B$1:$B$602=11)*(Resultados!$E$1:$E$602=B36)*1),"")</f>
        <v>0</v>
      </c>
      <c r="Q36" s="7">
        <f>IF(B36&lt;&gt;"",SUMPRODUCT((Resultados!$B$1:$B$602=12)*(Resultados!$E$1:$E$602=B36)*1),"")</f>
        <v>1</v>
      </c>
      <c r="R36" s="7">
        <f>IF(B36&lt;&gt;"",SUMPRODUCT((Resultados!$B$1:$B$602=13)*(Resultados!$E$1:$ED$602=B36)*1),"")</f>
        <v>1</v>
      </c>
      <c r="S36" s="7">
        <f>IF(B36&lt;&gt;"",SUMPRODUCT((Resultados!$B$1:$B$602=14)*(Resultados!$E$1:$E$602=B36)*1),"")</f>
        <v>0</v>
      </c>
      <c r="T36" s="7">
        <f>IF(B36&lt;&gt;"",SUMPRODUCT((Resultados!$B$1:$B$602=15)*(Resultados!$E$1:$E$602=B36)*1),"")</f>
        <v>1</v>
      </c>
      <c r="U36" s="7">
        <f>IF(B36&lt;&gt;"",SUMPRODUCT((Resultados!$B$1:$B$602=16)*(Resultados!$E$1:$E$602=B36)*1),"")</f>
        <v>1</v>
      </c>
      <c r="V36" s="7">
        <f>IF(B36&lt;&gt;"",SUMPRODUCT((Resultados!$B$1:$B$602=17)*(Resultados!$E$1:$E$602=B36)*1),"")</f>
        <v>0</v>
      </c>
      <c r="W36" s="7">
        <f>IF(B36&lt;&gt;"",SUMPRODUCT((Resultados!$B$1:$B$602=18)*(Resultados!$E$1:$E$602=B36)*1),"")</f>
        <v>0</v>
      </c>
      <c r="X36" s="7">
        <f>IF(B36&lt;&gt;"",SUMPRODUCT((Resultados!$B$1:$B$602=19)*(Resultados!$E$1:$E$602=B36)*1),"")</f>
        <v>1</v>
      </c>
      <c r="Y36" s="7">
        <f>IF(B36&lt;&gt;"",SUMPRODUCT((Resultados!$B$1:$B$602=20)*(Resultados!$E$1:$E$602=B36)*1),"")</f>
        <v>1</v>
      </c>
      <c r="Z36" s="7">
        <f>IF(B36&lt;&gt;"",SUMPRODUCT((Resultados!$B$1:$B$602=21)*(Resultados!$E$1:$E$602=B36)*1),"")</f>
        <v>0</v>
      </c>
      <c r="AA36" s="7">
        <f>IF(B36&lt;&gt;"",SUMPRODUCT((Resultados!$B$1:$B$602=22)*(Resultados!$E$1:$E$602=B36)*1),"")</f>
        <v>1</v>
      </c>
      <c r="AB36" s="7">
        <f>IF(B36&lt;&gt;"",SUMPRODUCT((Resultados!$B$1:$B$602=23)*(Resultados!$E$1:$E$602=B36)*1),"")</f>
        <v>0</v>
      </c>
      <c r="AC36" s="7">
        <f>IF(B36&lt;&gt;"",SUMPRODUCT((Resultados!$B$1:$B$602=24)*(Resultados!$E$1:$E$602=B36)*1),"")</f>
        <v>0</v>
      </c>
      <c r="AD36" s="6">
        <f t="shared" ref="AD36:AD47" si="27">IF(B36&lt;&gt;"",SUMPRODUCT(($E$35:$E$47=E36)*($F$35:$F$47&gt;F36)),"")</f>
        <v>0</v>
      </c>
      <c r="AE36" s="6">
        <f t="shared" ref="AE36:AE47" si="28">IF(B36&lt;&gt;"",SUMPRODUCT(($E$35:$E$47=E36)*($F$35:$F$47=F36)*($G$35:$G$47&gt;G36)),"")</f>
        <v>0</v>
      </c>
      <c r="AF36" s="6">
        <f t="shared" ref="AF36:AF47" si="29">IF(B36&lt;&gt;"",SUMPRODUCT(($E$35:$E$47=E36)*($F$35:$F$47=F36)*($G$35:$G$47=G36)*($H$35:$H$47&gt;H36)),"")</f>
        <v>0</v>
      </c>
      <c r="AG36" s="6">
        <f t="shared" ref="AG36:AG47" si="30">IF(B36&lt;&gt;"",SUMPRODUCT(($E$35:$E$47=E36)*($F$35:$F$47=F36)*($G$35:$G$47=G36)*($H$35:$H$47=H36)*($I$35:$I$47&gt;I36)),"")</f>
        <v>0</v>
      </c>
      <c r="AH36" s="6">
        <f t="shared" ref="AH36:AH47" si="31">IF(B36&lt;&gt;"",SUMPRODUCT(($E$35:$E$47=E36)*($F$35:$F$47=F36)*($G$35:$G$47=G36)*($H$35:$H$47=H36)*($I$35:$I$47=I36)*($J$35:$J$47&gt;J36)),"")</f>
        <v>0</v>
      </c>
      <c r="AI36" s="6">
        <f t="shared" ref="AI36:AI47" si="32">IF(B36&lt;&gt;"",SUMPRODUCT(($E$35:$E$47=E36)*($F$35:$F$47=F36)*($G$35:$G$47=G36)*($H$35:$H$47=H36)*($I$35:$I$47=I36)*($J$35:$J$47=J36)*($K$35:$K$47&gt;K36)),"")</f>
        <v>0</v>
      </c>
      <c r="AJ36" s="6">
        <f t="shared" ref="AJ36:AJ47" si="33">IF(B36&lt;&gt;"",SUMPRODUCT(($E$35:$E$47=E36)*($F$35:$F$47=F36)*($G$35:$G$47=G36)*($H$35:$H$47=H36)*($I$35:$I$47=I36)*($J$35:$J$47=J36)*($K$35:$K$47=K36)*($L$35:$L$47&gt;L36)),"")</f>
        <v>0</v>
      </c>
      <c r="AK36" s="6">
        <f t="shared" ref="AK36:AK47" si="34">IF(B36&lt;&gt;"",SUMPRODUCT(($E$35:$E$47=E36)*($F$35:$F$47=F36)*($G$35:$G$47=G36)*($H$35:$H$47=H36)*($I$35:$I$47=I36)*($J$35:$J$47=J36)*($K$35:$K$47=K36)*($L$35:$L$47=L36)*($M$35:$M$47&gt;M36)),"")</f>
        <v>0</v>
      </c>
      <c r="AL36" s="6">
        <f t="shared" ref="AL36:AL47" si="35">IF(B36&lt;&gt;"",SUMPRODUCT(($E$35:$E$47=E36)*($F$35:$F$47=F36)*($G$35:$G$47=G36)*($H$35:$H$47=H36)*($I$35:$I$47=I36)*($J$35:$J$47=J36)*($K$35:$K$47=K36)*($L$35:$L$47=L36)*($M$35:$M$47=M36)*($N$35:$N$47&gt;N36)),"")</f>
        <v>0</v>
      </c>
      <c r="AM36" s="6">
        <f t="shared" ref="AM36:AM47" si="36">IF(B36&lt;&gt;"",SUMPRODUCT(($E$35:$E$47=E36)*($F$35:$F$47=F36)*($G$35:$G$47=G36)*($H$35:$H$47=H36)*($I$35:$I$47=I36)*($J$35:$J$47=J36)*($K$35:$K$47=K36)*($L$35:$L$47=L36)*($M$35:$M$47=M36)*($N$35:$N$47=N36)*($O$35:$O$47&gt;O36)),"")</f>
        <v>0</v>
      </c>
      <c r="AN36" s="6">
        <f t="shared" ref="AN36:AN47" si="37">IF(B36&lt;&gt;"",SUMPRODUCT(($E$35:$E$47=E36)*($F$35:$F$47=F36)*($G$35:$G$47=G36)*($H$35:$H$47=H36)*($I$35:$I$47=I36)*($J$35:$J$47=J36)*($K$35:$K$47=K36)*($L$35:$L$47=L36)*($M$35:$M$47=M36)*($N$35:$N$47=N36)*($O$35:$O$47=O36)*($P$35:$P$47&gt;P36)),"")</f>
        <v>0</v>
      </c>
      <c r="AO36" s="6">
        <f t="shared" ref="AO36:AO47" si="38">IF(B36&lt;&gt;"",SUMPRODUCT(($E$35:$E$47=E36)*($F$35:$F$47=F36)*($G$35:$G$47=G36)*($H$35:$H$47=H36)*($I$35:$I$47=I36)*($J$35:$J$47=J36)*($K$35:$K$47=K36)*($L$35:$L$47=L36)*($M$35:$M$47=M36)*($N$35:$N$47=N36)*($O$35:$O$47=O36)*($P$35:$P$47=P36)*($Q$35:$Q$47&gt;Q36)),"")</f>
        <v>0</v>
      </c>
      <c r="AP36" s="6">
        <f t="shared" ref="AP36:AP47" si="39">IF(B36&lt;&gt;"",SUMPRODUCT(($E$35:$E$47=E36)*($F$35:$F$47=F36)*($G$35:$G$47=G36)*($H$35:$H$47=H36)*($I$35:$I$47=I36)*($J$35:$J$47=J36)*($K$35:$K$47=K36)*($L$35:$L$47=L36)*($M$35:$M$47=M36)*($N$35:$N$47=N36)*($O$35:$O$47=O36)*($P$35:$P$47=P36)*($Q$35:$Q$47=Q36)*($R$35:$R$47&gt;R36)),"")</f>
        <v>0</v>
      </c>
      <c r="AQ36" s="6">
        <f t="shared" ref="AQ36:AQ47" si="40">IF(B36&lt;&gt;"",SUMPRODUCT(($E$35:$E$47=E36)*($F$35:$F$47=F36)*($G$35:$G$47=G36)*($H$35:$H$47=H36)*($I$35:$I$47=I36)*($J$35:$J$47=J36)*($K$35:$K$47=K36)*($L$35:$L$47=L36)*($M$35:$M$47=M36)*($N$35:$N$47=N36)*($O$35:$O$47=O36)*($P$35:$P$47=P36)*($Q$35:$Q$47=Q36)*($R$35:$R$47=R36)*($S$35:$S$47&gt;S36)),"")</f>
        <v>0</v>
      </c>
      <c r="AR36" s="6">
        <f t="shared" ref="AR36:AR47" si="41">IF(B36&lt;&gt;"",SUMPRODUCT(($E$35:$E$47=E36)*($F$35:$F$47=F36)*($G$35:$G$47=G36)*($H$35:$H$47=H36)*($I$35:$I$47=I36)*($J$35:$J$47=J36)*($K$35:$K$47=K36)*($L$35:$L$47=L36)*($M$35:$M$47=M36)*($N$35:$N$47=N36)*($O$35:$O$47=O36)*($P$35:$P$47=P36)*($Q$35:$Q$47=Q36)*($R$35:$R$47=R36)*($S$35:$S$47=S36)*($T$35:$T$47&gt;T36)),"")</f>
        <v>0</v>
      </c>
      <c r="AS36" s="6">
        <f t="shared" ref="AS36:AS47" si="42">IF(B36&lt;&gt;"",SUMPRODUCT(($E$35:$E$47=E36)*($F$35:$F$47=F36)*($G$35:$G$47=G36)*($H$35:$H$47=H36)*($I$35:$I$47=I36)*($J$35:$J$47=J36)*($K$35:$K$47=K36)*($L$35:$L$47=L36)*($M$35:$M$47=M36)*($N$35:$N$47=N36)*($O$35:$O$47=O36)*($P$35:$P$47=P36)*($Q$35:$Q$47=Q36)*($R$35:$R$47=R36)*($S$35:$S$47=S36)*($T$35:$T$47=T36)*($U$35:$U$47&gt;U36)),"")</f>
        <v>0</v>
      </c>
      <c r="AT36" s="6">
        <f t="shared" ref="AT36:AT47" si="43">IF(B36&lt;&gt;"",SUMPRODUCT(($E$35:$E$47=E36)*($F$35:$F$47=F36)*($G$35:$G$47=G36)*($H$35:$H$47=H36)*($I$35:$I$47=I36)*($J$35:$J$47=J36)*($K$35:$K$47=K36)*($L$35:$L$47=L36)*($M$35:$M$47=M36)*($N$35:$N$47=N36)*($O$35:$O$47=O36)*($P$35:$P$47=P36)*($Q$35:$Q$47=Q36)*($R$35:$R$47=R36)*($S$35:$S$47=S36)*($T$35:$T$47=T36)*($U$35:$U$47=U36)*($V$35:$V$47&gt;V36)),"")</f>
        <v>0</v>
      </c>
      <c r="AU36" s="6">
        <f t="shared" ref="AU36:AU47" si="44">IF(B36&lt;&gt;"",SUMPRODUCT(($E$35:$E$47=E36)*($F$35:$F$47=F36)*($G$35:$G$47=G36)*($H$35:$H$47=H36)*($I$35:$I$47=I36)*($J$35:$J$47=J36)*($K$35:$K$47=K36)*($L$35:$L$47=L36)*($M$35:$M$47=M36)*($N$35:$N$47=N36)*($O$35:$O$47=O36)*($P$35:$P$47=P36)*($Q$35:$Q$47=Q36)*($R$35:$R$47=R36)*($S$35:$S$47=S36)*($T$35:$T$47=T36)*($U$35:$U$47=U36)*($V$35:$V$47=V36)*($W$35:$W$47&gt;W36)),"")</f>
        <v>0</v>
      </c>
      <c r="AV36" s="6">
        <f t="shared" ref="AV36:AV47" si="45">IF(B36&lt;&gt;"",SUMPRODUCT(($E$35:$E$47=E36)*($F$35:$F$47=F36)*($G$35:$G$47=G36)*($H$35:$H$47=H36)*($I$35:$I$47=I36)*($J$35:$J$47=J36)*($K$35:$K$47=K36)*($L$35:$L$47=L36)*($M$35:$M$47=M36)*($N$35:$N$47=N36)*($O$35:$O$47=O36)*($P$35:$P$47=P36)*($Q$35:$Q$47=Q36)*($R$35:$R$47=R36)*($S$35:$S$47=S36)*($T$35:$T$47=T36)*($U$35:$U$47=U36)*($V$35:$V$47=V36)*($W$35:$W$47=W36)*($X$35:$X$47&gt;X36)),"")</f>
        <v>0</v>
      </c>
      <c r="AW36" s="6">
        <f t="shared" ref="AW36:AW47" si="46">IF(B36&lt;&gt;"",SUMPRODUCT(($E$35:$E$47=E36)*($F$35:$F$47=F36)*($G$35:$G$47=G36)*($H$35:$H$47=H36)*($I$35:$I$47=I36)*($J$35:$J$47=J36)*($K$35:$K$47=K36)*($L$35:$L$47=L36)*($M$35:$M$47=M36)*($N$35:$N$47=N36)*($O$35:$O$47=O36)*($P$35:$P$47=P36)*($Q$35:$Q$47=Q36)*($R$35:$R$47=R36)*($S$35:$S$47=S36)*($T$35:$T$47=T36)*($U$35:$U$47=U36)*($V$35:$V$47=V36)*($W$35:$W$47=W36)*($X$35:$X$47=X36)*($Y$35:$Y$47&gt;Y36)),"")</f>
        <v>0</v>
      </c>
      <c r="AX36" s="6">
        <f t="shared" ref="AX36:AX47" si="47">IF(B36&lt;&gt;"",SUMPRODUCT(($E$35:$E$47=E36)*($F$35:$F$47=F36)*($G$35:$G$47=G36)*($H$35:$H$47=H36)*($I$35:$I$47=I36)*($J$35:$J$47=J36)*($K$35:$K$47=K36)*($L$35:$L$47=L36)*($M$35:$M$47=M36)*($N$35:$N$47=N36)*($O$35:$O$47=O36)*($P$35:$P$47=P36)*($Q$35:$Q$47=Q36)*($R$35:$R$47=R36)*($S$35:$S$47=S36)*($T$35:$T$47=T36)*($U$35:$U$47=U36)*($V$35:$V$47=V36)*($W$35:$W$47=W36)*($X$35:$X$47=X36)*($Y$35:$Y$47=Y36)*($Z$35:$Z$47&gt;Z36)),"")</f>
        <v>0</v>
      </c>
      <c r="AY36" s="6">
        <f t="shared" ref="AY36:AY47" si="48">IF(B36&lt;&gt;"",SUMPRODUCT(($E$35:$E$47=E36)*($F$35:$F$47=F36)*($G$35:$G$47=G36)*($H$35:$H$47=H36)*($I$35:$I$47=I36)*($J$35:$J$47=J36)*($K$35:$K$47=K36)*($L$35:$L$47=L36)*($M$35:$M$47=M36)*($N$35:$N$47=N36)*($O$35:$O$47=O36)*($P$35:$P$47=P36)*($Q$35:$Q$47=Q36)*($R$35:$R$47=R36)*($S$35:$S$47=S36)*($T$35:$T$47=T36)*($U$35:$U$47=U36)*($V$35:$V$47=V36)*($W$35:$W$47=W36)*($X$35:$X$47=X36)*($Y$35:$Y$47=Y36)*($Z$35:$Z$47=Z36)*($AA$35:$AA$47&gt;AA36)),"")</f>
        <v>0</v>
      </c>
      <c r="AZ36" s="6">
        <f t="shared" ref="AZ36:AZ47" si="49">IF(B36&lt;&gt;"",SUMPRODUCT(($E$35:$E$47=E36)*($F$35:$F$47=F36)*($G$35:$G$47=G36)*($H$35:$H$47=H36)*($I$35:$I$47=I36)*($J$35:$J$47=J36)*($K$35:$K$47=K36)*($L$35:$L$47=L36)*($M$35:$M$47=M36)*($N$35:$N$47=N36)*($O$35:$O$47=O36)*($P$35:$P$47=P36)*($Q$35:$Q$47=Q36)*($R$35:$R$47=R36)*($S$35:$S$47=S36)*($T$35:$T$47=T36)*($U$35:$U$47=U36)*($V$35:$V$47=V36)*($W$35:$W$47=W36)*($X$35:$X$47=X36)*($Y$35:$Y$47=Y36)*($Z$35:$Z$47=Z36)*($AA$35:$AA$47=AA36)*($AB$35:$AB$47&gt;AB36)),"")</f>
        <v>0</v>
      </c>
      <c r="BA36" s="6">
        <f t="shared" ref="BA36:BA47" si="50">IF(B36&lt;&gt;"",SUMPRODUCT(($E$35:$E$47=E36)*($F$35:$F$47=F36)*($G$35:$G$47=G36)*($H$35:$H$47=H36)*($I$35:$I$47=I36)*($J$35:$J$47=J36)*($K$35:$K$47=K36)*($L$35:$L$47=L36)*($M$35:$M$47=M36)*($N$35:$N$47=N36)*($O$35:$O$47=O36)*($P$35:$P$47=P36)*($Q$35:$Q$47=Q36)*($R$35:$R$47=R36)*($S$35:$S$47=S36)*($T$35:$T$47=T36)*($U$35:$U$47=U36)*($V$35:$V$47=V36)*($W$35:$W$47=W36)*($X$35:$X$47=X36)*($Y$35:$Y$47=Y36)*($Z$35:$Z$47=Z36)*($AA$35:$AA$47=AA36)*($AB$35:$AB$47=AB36)*($AC$35:$AC$47&gt;AC36)),"")</f>
        <v>0</v>
      </c>
      <c r="BB36" s="6">
        <f t="shared" ref="BB36:BB47" si="51">IF(B36&lt;&gt;"",SUMPRODUCT(($E$35:$E$47=E36)*($F$35:$F$47=F36)*($G$35:$G$47=G36)*($H$35:$H$47=H36)*($I$35:$I$47=I36)*($J$35:$J$47=J36)*($K$35:$K$47=K36)*($L$35:$L$47=L36)*($M$35:$M$47=M36)*($N$35:$N$47=N36)*($O$35:$O$47=O36)*($P$35:$P$47=P36)*($Q$35:$Q$47=Q36)*($R$35:$R$47=R36)*($S$35:$S$47=S36)*($T$35:$T$47=T36)*($U$35:$U$47=U36)*($V$35:$V$47=V36)*($W$35:$W$47=W36)*($X$35:$X$47=X36)*($Y$35:$Y$47=Y36)*($Z$35:$Z$47=Z36)*($AA$35:$AA$47=AA36)*($AB$35:$AB$47=AB36)*($AC$35:$AC$47=AC36)*($BC$35:$BC$47&lt;BC36)),"")</f>
        <v>0</v>
      </c>
      <c r="BC36" s="6">
        <f>IF(B36&lt;&gt;"",'Equipes e Pilotos'!H4,"")</f>
        <v>2</v>
      </c>
    </row>
    <row r="37" spans="1:55" x14ac:dyDescent="0.2">
      <c r="A37" s="1">
        <f t="shared" si="26"/>
        <v>4</v>
      </c>
      <c r="B37" s="1" t="str">
        <f>IF('Equipes e Pilotos'!I5&lt;&gt;"",'Equipes e Pilotos'!I5,"")</f>
        <v>Red Bull</v>
      </c>
      <c r="C37" s="1" t="str">
        <f>IF(B37&lt;&gt;"",VLOOKUP(B37,'Equipes e Pilotos'!$I$3:$K$15,2,FALSE),"")</f>
        <v>Áustria</v>
      </c>
      <c r="D37" s="1" t="str">
        <f>IF(B37&lt;&gt;"",VLOOKUP(B37,'Equipes e Pilotos'!$I$3:$K$15,3,FALSE),"")</f>
        <v>RB Ford</v>
      </c>
      <c r="E37" s="1">
        <f>IF(B37&lt;&gt;"",SUMIF(Resultados!E:E,B37,Resultados!F:F),"")+6</f>
        <v>324</v>
      </c>
      <c r="F37" s="7">
        <f>IF(B37&lt;&gt;"",SUMPRODUCT((Resultados!$B$1:$B$602=1)*(Resultados!$E$1:$E$602=B37)*1),"")</f>
        <v>1</v>
      </c>
      <c r="G37" s="7">
        <f>IF(B37&lt;&gt;"",SUMPRODUCT((Resultados!$B$1:$B$602=2)*(Resultados!$E$1:$E$602=B37)*1),"")</f>
        <v>4</v>
      </c>
      <c r="H37" s="7">
        <f>IF(B37&lt;&gt;"",SUMPRODUCT((Resultados!$B$1:$B$602=3)*(Resultados!$E$1:$E$602=B37)*1),"")</f>
        <v>5</v>
      </c>
      <c r="I37" s="7">
        <f>IF(B37&lt;&gt;"",SUMPRODUCT((Resultados!$B$1:$B$602=4)*(Resultados!$E$1:$E$602=B37)*1),"")</f>
        <v>1</v>
      </c>
      <c r="J37" s="7">
        <f>IF(B37&lt;&gt;"",SUMPRODUCT((Resultados!$B$1:$B$602=5)*(Resultados!$E$1:$E$602=B37)*1),"")</f>
        <v>5</v>
      </c>
      <c r="K37" s="7">
        <f>IF(B37&lt;&gt;"",SUMPRODUCT((Resultados!$B$1:$B$602=6)*(Resultados!$E$1:$E$602=B37)*1),"")</f>
        <v>7</v>
      </c>
      <c r="L37" s="7">
        <f>IF(B37&lt;&gt;"",SUMPRODUCT((Resultados!$B$1:$B$602=7)*(Resultados!$E$1:$E$602=B37)*1),"")</f>
        <v>1</v>
      </c>
      <c r="M37" s="7">
        <f>IF(B37&lt;&gt;"",SUMPRODUCT((Resultados!$B$1:$B$602=8)*(Resultados!$E$1:$E$602=B37)*1),"")</f>
        <v>2</v>
      </c>
      <c r="N37" s="7">
        <f>IF(B37&lt;&gt;"",SUMPRODUCT((Resultados!$B$1:$B$602=9)*(Resultados!$E$1:$E$602=B37)*1),"")</f>
        <v>3</v>
      </c>
      <c r="O37" s="7">
        <f>IF(B37&lt;&gt;"",SUMPRODUCT((Resultados!$B$1:$B$602=10)*(Resultados!$E$1:$E$602=B37)*1),"")</f>
        <v>0</v>
      </c>
      <c r="P37" s="7">
        <f>IF(B37&lt;&gt;"",SUMPRODUCT((Resultados!$B$1:$B$602=11)*(Resultados!$E$1:$E$602=B37)*1),"")</f>
        <v>0</v>
      </c>
      <c r="Q37" s="7">
        <f>IF(B37&lt;&gt;"",SUMPRODUCT((Resultados!$B$1:$B$602=12)*(Resultados!$E$1:$E$602=B37)*1),"")</f>
        <v>1</v>
      </c>
      <c r="R37" s="7">
        <f>IF(B37&lt;&gt;"",SUMPRODUCT((Resultados!$B$1:$B$602=13)*(Resultados!$E$1:$ED$602=B37)*1),"")</f>
        <v>0</v>
      </c>
      <c r="S37" s="7">
        <f>IF(B37&lt;&gt;"",SUMPRODUCT((Resultados!$B$1:$B$602=14)*(Resultados!$E$1:$E$602=B37)*1),"")</f>
        <v>0</v>
      </c>
      <c r="T37" s="7">
        <f>IF(B37&lt;&gt;"",SUMPRODUCT((Resultados!$B$1:$B$602=15)*(Resultados!$E$1:$E$602=B37)*1),"")</f>
        <v>1</v>
      </c>
      <c r="U37" s="7">
        <f>IF(B37&lt;&gt;"",SUMPRODUCT((Resultados!$B$1:$B$602=16)*(Resultados!$E$1:$E$602=B37)*1),"")</f>
        <v>1</v>
      </c>
      <c r="V37" s="7">
        <f>IF(B37&lt;&gt;"",SUMPRODUCT((Resultados!$B$1:$B$602=17)*(Resultados!$E$1:$E$602=B37)*1),"")</f>
        <v>0</v>
      </c>
      <c r="W37" s="7">
        <f>IF(B37&lt;&gt;"",SUMPRODUCT((Resultados!$B$1:$B$602=18)*(Resultados!$E$1:$E$602=B37)*1),"")</f>
        <v>0</v>
      </c>
      <c r="X37" s="7">
        <f>IF(B37&lt;&gt;"",SUMPRODUCT((Resultados!$B$1:$B$602=19)*(Resultados!$E$1:$E$602=B37)*1),"")</f>
        <v>0</v>
      </c>
      <c r="Y37" s="7">
        <f>IF(B37&lt;&gt;"",SUMPRODUCT((Resultados!$B$1:$B$602=20)*(Resultados!$E$1:$E$602=B37)*1),"")</f>
        <v>2</v>
      </c>
      <c r="Z37" s="7">
        <f>IF(B37&lt;&gt;"",SUMPRODUCT((Resultados!$B$1:$B$602=21)*(Resultados!$E$1:$E$602=B37)*1),"")</f>
        <v>1</v>
      </c>
      <c r="AA37" s="7">
        <f>IF(B37&lt;&gt;"",SUMPRODUCT((Resultados!$B$1:$B$602=22)*(Resultados!$E$1:$E$602=B37)*1),"")</f>
        <v>3</v>
      </c>
      <c r="AB37" s="7">
        <f>IF(B37&lt;&gt;"",SUMPRODUCT((Resultados!$B$1:$B$602=23)*(Resultados!$E$1:$E$602=B37)*1),"")</f>
        <v>0</v>
      </c>
      <c r="AC37" s="7">
        <f>IF(B37&lt;&gt;"",SUMPRODUCT((Resultados!$B$1:$B$602=24)*(Resultados!$E$1:$E$602=B37)*1),"")</f>
        <v>0</v>
      </c>
      <c r="AD37" s="6">
        <f t="shared" si="27"/>
        <v>0</v>
      </c>
      <c r="AE37" s="6">
        <f t="shared" si="28"/>
        <v>0</v>
      </c>
      <c r="AF37" s="6">
        <f t="shared" si="29"/>
        <v>0</v>
      </c>
      <c r="AG37" s="6">
        <f t="shared" si="30"/>
        <v>0</v>
      </c>
      <c r="AH37" s="6">
        <f t="shared" si="31"/>
        <v>0</v>
      </c>
      <c r="AI37" s="6">
        <f t="shared" si="32"/>
        <v>0</v>
      </c>
      <c r="AJ37" s="6">
        <f t="shared" si="33"/>
        <v>0</v>
      </c>
      <c r="AK37" s="6">
        <f t="shared" si="34"/>
        <v>0</v>
      </c>
      <c r="AL37" s="6">
        <f t="shared" si="35"/>
        <v>0</v>
      </c>
      <c r="AM37" s="6">
        <f t="shared" si="36"/>
        <v>0</v>
      </c>
      <c r="AN37" s="6">
        <f t="shared" si="37"/>
        <v>0</v>
      </c>
      <c r="AO37" s="6">
        <f t="shared" si="38"/>
        <v>0</v>
      </c>
      <c r="AP37" s="6">
        <f t="shared" si="39"/>
        <v>0</v>
      </c>
      <c r="AQ37" s="6">
        <f t="shared" si="40"/>
        <v>0</v>
      </c>
      <c r="AR37" s="6">
        <f t="shared" si="41"/>
        <v>0</v>
      </c>
      <c r="AS37" s="6">
        <f t="shared" si="42"/>
        <v>0</v>
      </c>
      <c r="AT37" s="6">
        <f t="shared" si="43"/>
        <v>0</v>
      </c>
      <c r="AU37" s="6">
        <f t="shared" si="44"/>
        <v>0</v>
      </c>
      <c r="AV37" s="6">
        <f t="shared" si="45"/>
        <v>0</v>
      </c>
      <c r="AW37" s="6">
        <f t="shared" si="46"/>
        <v>0</v>
      </c>
      <c r="AX37" s="6">
        <f t="shared" si="47"/>
        <v>0</v>
      </c>
      <c r="AY37" s="6">
        <f t="shared" si="48"/>
        <v>0</v>
      </c>
      <c r="AZ37" s="6">
        <f t="shared" si="49"/>
        <v>0</v>
      </c>
      <c r="BA37" s="6">
        <f t="shared" si="50"/>
        <v>0</v>
      </c>
      <c r="BB37" s="6">
        <f t="shared" si="51"/>
        <v>0</v>
      </c>
      <c r="BC37" s="6">
        <f>IF(B37&lt;&gt;"",'Equipes e Pilotos'!H5,"")</f>
        <v>3</v>
      </c>
    </row>
    <row r="38" spans="1:55" x14ac:dyDescent="0.2">
      <c r="A38" s="1">
        <f t="shared" si="26"/>
        <v>2</v>
      </c>
      <c r="B38" s="1" t="str">
        <f>IF('Equipes e Pilotos'!I6&lt;&gt;"",'Equipes e Pilotos'!I6,"")</f>
        <v>Ferrari</v>
      </c>
      <c r="C38" s="1" t="str">
        <f>IF(B38&lt;&gt;"",VLOOKUP(B38,'Equipes e Pilotos'!$I$3:$K$15,2,FALSE),"")</f>
        <v>Itália</v>
      </c>
      <c r="D38" s="1" t="str">
        <f>IF(B38&lt;&gt;"",VLOOKUP(B38,'Equipes e Pilotos'!$I$3:$K$15,3,FALSE),"")</f>
        <v>Ferrari</v>
      </c>
      <c r="E38" s="1">
        <f>IF(B38&lt;&gt;"",SUMIF(Resultados!E:E,B38,Resultados!F:F),"")</f>
        <v>444</v>
      </c>
      <c r="F38" s="7">
        <f>IF(B38&lt;&gt;"",SUMPRODUCT((Resultados!$B$1:$B$602=1)*(Resultados!$E$1:$E$602=B38)*1),"")</f>
        <v>2</v>
      </c>
      <c r="G38" s="7">
        <f>IF(B38&lt;&gt;"",SUMPRODUCT((Resultados!$B$1:$B$602=2)*(Resultados!$E$1:$E$602=B38)*1),"")</f>
        <v>6</v>
      </c>
      <c r="H38" s="7">
        <f>IF(B38&lt;&gt;"",SUMPRODUCT((Resultados!$B$1:$B$602=3)*(Resultados!$E$1:$E$602=B38)*1),"")</f>
        <v>7</v>
      </c>
      <c r="I38" s="7">
        <f>IF(B38&lt;&gt;"",SUMPRODUCT((Resultados!$B$1:$B$602=4)*(Resultados!$E$1:$E$602=B38)*1),"")</f>
        <v>9</v>
      </c>
      <c r="J38" s="7">
        <f>IF(B38&lt;&gt;"",SUMPRODUCT((Resultados!$B$1:$B$602=5)*(Resultados!$E$1:$E$602=B38)*1),"")</f>
        <v>5</v>
      </c>
      <c r="K38" s="7">
        <f>IF(B38&lt;&gt;"",SUMPRODUCT((Resultados!$B$1:$B$602=6)*(Resultados!$E$1:$E$602=B38)*1),"")</f>
        <v>5</v>
      </c>
      <c r="L38" s="7">
        <f>IF(B38&lt;&gt;"",SUMPRODUCT((Resultados!$B$1:$B$602=7)*(Resultados!$E$1:$E$602=B38)*1),"")</f>
        <v>2</v>
      </c>
      <c r="M38" s="7">
        <f>IF(B38&lt;&gt;"",SUMPRODUCT((Resultados!$B$1:$B$602=8)*(Resultados!$E$1:$E$602=B38)*1),"")</f>
        <v>2</v>
      </c>
      <c r="N38" s="7">
        <f>IF(B38&lt;&gt;"",SUMPRODUCT((Resultados!$B$1:$B$602=9)*(Resultados!$E$1:$E$602=B38)*1),"")</f>
        <v>0</v>
      </c>
      <c r="O38" s="7">
        <f>IF(B38&lt;&gt;"",SUMPRODUCT((Resultados!$B$1:$B$602=10)*(Resultados!$E$1:$E$602=B38)*1),"")</f>
        <v>0</v>
      </c>
      <c r="P38" s="7">
        <f>IF(B38&lt;&gt;"",SUMPRODUCT((Resultados!$B$1:$B$602=11)*(Resultados!$E$1:$E$602=B38)*1),"")</f>
        <v>0</v>
      </c>
      <c r="Q38" s="7">
        <f>IF(B38&lt;&gt;"",SUMPRODUCT((Resultados!$B$1:$B$602=12)*(Resultados!$E$1:$E$602=B38)*1),"")</f>
        <v>0</v>
      </c>
      <c r="R38" s="7">
        <f>IF(B38&lt;&gt;"",SUMPRODUCT((Resultados!$B$1:$B$602=13)*(Resultados!$E$1:$ED$602=B38)*1),"")</f>
        <v>1</v>
      </c>
      <c r="S38" s="7">
        <f>IF(B38&lt;&gt;"",SUMPRODUCT((Resultados!$B$1:$B$602=14)*(Resultados!$E$1:$E$602=B38)*1),"")</f>
        <v>0</v>
      </c>
      <c r="T38" s="7">
        <f>IF(B38&lt;&gt;"",SUMPRODUCT((Resultados!$B$1:$B$602=15)*(Resultados!$E$1:$E$602=B38)*1),"")</f>
        <v>1</v>
      </c>
      <c r="U38" s="7">
        <f>IF(B38&lt;&gt;"",SUMPRODUCT((Resultados!$B$1:$B$602=16)*(Resultados!$E$1:$E$602=B38)*1),"")</f>
        <v>0</v>
      </c>
      <c r="V38" s="7">
        <f>IF(B38&lt;&gt;"",SUMPRODUCT((Resultados!$B$1:$B$602=17)*(Resultados!$E$1:$E$602=B38)*1),"")</f>
        <v>1</v>
      </c>
      <c r="W38" s="7">
        <f>IF(B38&lt;&gt;"",SUMPRODUCT((Resultados!$B$1:$B$602=18)*(Resultados!$E$1:$E$602=B38)*1),"")</f>
        <v>0</v>
      </c>
      <c r="X38" s="7">
        <f>IF(B38&lt;&gt;"",SUMPRODUCT((Resultados!$B$1:$B$602=19)*(Resultados!$E$1:$E$602=B38)*1),"")</f>
        <v>0</v>
      </c>
      <c r="Y38" s="7">
        <f>IF(B38&lt;&gt;"",SUMPRODUCT((Resultados!$B$1:$B$602=20)*(Resultados!$E$1:$E$602=B38)*1),"")</f>
        <v>0</v>
      </c>
      <c r="Z38" s="7">
        <f>IF(B38&lt;&gt;"",SUMPRODUCT((Resultados!$B$1:$B$602=21)*(Resultados!$E$1:$E$602=B38)*1),"")</f>
        <v>0</v>
      </c>
      <c r="AA38" s="7">
        <f>IF(B38&lt;&gt;"",SUMPRODUCT((Resultados!$B$1:$B$602=22)*(Resultados!$E$1:$E$602=B38)*1),"")</f>
        <v>2</v>
      </c>
      <c r="AB38" s="7">
        <f>IF(B38&lt;&gt;"",SUMPRODUCT((Resultados!$B$1:$B$602=23)*(Resultados!$E$1:$E$602=B38)*1),"")</f>
        <v>0</v>
      </c>
      <c r="AC38" s="7">
        <f>IF(B38&lt;&gt;"",SUMPRODUCT((Resultados!$B$1:$B$602=24)*(Resultados!$E$1:$E$602=B38)*1),"")</f>
        <v>0</v>
      </c>
      <c r="AD38" s="6">
        <f t="shared" si="27"/>
        <v>0</v>
      </c>
      <c r="AE38" s="6">
        <f t="shared" si="28"/>
        <v>0</v>
      </c>
      <c r="AF38" s="6">
        <f t="shared" si="29"/>
        <v>0</v>
      </c>
      <c r="AG38" s="6">
        <f t="shared" si="30"/>
        <v>0</v>
      </c>
      <c r="AH38" s="6">
        <f t="shared" si="31"/>
        <v>0</v>
      </c>
      <c r="AI38" s="6">
        <f t="shared" si="32"/>
        <v>0</v>
      </c>
      <c r="AJ38" s="6">
        <f t="shared" si="33"/>
        <v>0</v>
      </c>
      <c r="AK38" s="6">
        <f t="shared" si="34"/>
        <v>0</v>
      </c>
      <c r="AL38" s="6">
        <f t="shared" si="35"/>
        <v>0</v>
      </c>
      <c r="AM38" s="6">
        <f t="shared" si="36"/>
        <v>0</v>
      </c>
      <c r="AN38" s="6">
        <f t="shared" si="37"/>
        <v>0</v>
      </c>
      <c r="AO38" s="6">
        <f t="shared" si="38"/>
        <v>0</v>
      </c>
      <c r="AP38" s="6">
        <f t="shared" si="39"/>
        <v>0</v>
      </c>
      <c r="AQ38" s="6">
        <f t="shared" si="40"/>
        <v>0</v>
      </c>
      <c r="AR38" s="6">
        <f t="shared" si="41"/>
        <v>0</v>
      </c>
      <c r="AS38" s="6">
        <f t="shared" si="42"/>
        <v>0</v>
      </c>
      <c r="AT38" s="6">
        <f t="shared" si="43"/>
        <v>0</v>
      </c>
      <c r="AU38" s="6">
        <f t="shared" si="44"/>
        <v>0</v>
      </c>
      <c r="AV38" s="6">
        <f t="shared" si="45"/>
        <v>0</v>
      </c>
      <c r="AW38" s="6">
        <f t="shared" si="46"/>
        <v>0</v>
      </c>
      <c r="AX38" s="6">
        <f t="shared" si="47"/>
        <v>0</v>
      </c>
      <c r="AY38" s="6">
        <f t="shared" si="48"/>
        <v>0</v>
      </c>
      <c r="AZ38" s="6">
        <f t="shared" si="49"/>
        <v>0</v>
      </c>
      <c r="BA38" s="6">
        <f t="shared" si="50"/>
        <v>0</v>
      </c>
      <c r="BB38" s="6">
        <f t="shared" si="51"/>
        <v>0</v>
      </c>
      <c r="BC38" s="6">
        <f>IF(B38&lt;&gt;"",'Equipes e Pilotos'!H6,"")</f>
        <v>4</v>
      </c>
    </row>
    <row r="39" spans="1:55" x14ac:dyDescent="0.2">
      <c r="A39" s="1">
        <f t="shared" si="26"/>
        <v>9</v>
      </c>
      <c r="B39" s="1" t="str">
        <f>IF('Equipes e Pilotos'!I7&lt;&gt;"",'Equipes e Pilotos'!I7,"")</f>
        <v>Williams</v>
      </c>
      <c r="C39" s="1" t="str">
        <f>IF(B39&lt;&gt;"",VLOOKUP(B39,'Equipes e Pilotos'!$I$3:$K$15,2,FALSE),"")</f>
        <v>Inglaterra</v>
      </c>
      <c r="D39" s="1" t="str">
        <f>IF(B39&lt;&gt;"",VLOOKUP(B39,'Equipes e Pilotos'!$I$3:$K$15,3,FALSE),"")</f>
        <v>Mercedes</v>
      </c>
      <c r="E39" s="1">
        <f>IF(B39&lt;&gt;"",SUMIF(Resultados!E:E,B39,Resultados!F:F),"")</f>
        <v>12</v>
      </c>
      <c r="F39" s="7">
        <f>IF(B39&lt;&gt;"",SUMPRODUCT((Resultados!$B$1:$B$602=1)*(Resultados!$E$1:$E$602=B39)*1),"")</f>
        <v>0</v>
      </c>
      <c r="G39" s="7">
        <f>IF(B39&lt;&gt;"",SUMPRODUCT((Resultados!$B$1:$B$602=2)*(Resultados!$E$1:$E$602=B39)*1),"")</f>
        <v>0</v>
      </c>
      <c r="H39" s="7">
        <f>IF(B39&lt;&gt;"",SUMPRODUCT((Resultados!$B$1:$B$602=3)*(Resultados!$E$1:$E$602=B39)*1),"")</f>
        <v>0</v>
      </c>
      <c r="I39" s="7">
        <f>IF(B39&lt;&gt;"",SUMPRODUCT((Resultados!$B$1:$B$602=4)*(Resultados!$E$1:$E$602=B39)*1),"")</f>
        <v>0</v>
      </c>
      <c r="J39" s="7">
        <f>IF(B39&lt;&gt;"",SUMPRODUCT((Resultados!$B$1:$B$602=5)*(Resultados!$E$1:$E$602=B39)*1),"")</f>
        <v>0</v>
      </c>
      <c r="K39" s="7">
        <f>IF(B39&lt;&gt;"",SUMPRODUCT((Resultados!$B$1:$B$602=6)*(Resultados!$E$1:$E$602=B39)*1),"")</f>
        <v>0</v>
      </c>
      <c r="L39" s="7">
        <f>IF(B39&lt;&gt;"",SUMPRODUCT((Resultados!$B$1:$B$602=7)*(Resultados!$E$1:$E$602=B39)*1),"")</f>
        <v>0</v>
      </c>
      <c r="M39" s="7">
        <f>IF(B39&lt;&gt;"",SUMPRODUCT((Resultados!$B$1:$B$602=8)*(Resultados!$E$1:$E$602=B39)*1),"")</f>
        <v>1</v>
      </c>
      <c r="N39" s="7">
        <f>IF(B39&lt;&gt;"",SUMPRODUCT((Resultados!$B$1:$B$602=9)*(Resultados!$E$1:$E$602=B39)*1),"")</f>
        <v>3</v>
      </c>
      <c r="O39" s="7">
        <f>IF(B39&lt;&gt;"",SUMPRODUCT((Resultados!$B$1:$B$602=10)*(Resultados!$E$1:$E$602=B39)*1),"")</f>
        <v>3</v>
      </c>
      <c r="P39" s="7">
        <f>IF(B39&lt;&gt;"",SUMPRODUCT((Resultados!$B$1:$B$602=11)*(Resultados!$E$1:$E$602=B39)*1),"")</f>
        <v>0</v>
      </c>
      <c r="Q39" s="7">
        <f>IF(B39&lt;&gt;"",SUMPRODUCT((Resultados!$B$1:$B$602=12)*(Resultados!$E$1:$E$602=B39)*1),"")</f>
        <v>3</v>
      </c>
      <c r="R39" s="7">
        <f>IF(B39&lt;&gt;"",SUMPRODUCT((Resultados!$B$1:$B$602=13)*(Resultados!$E$1:$ED$602=B39)*1),"")</f>
        <v>2</v>
      </c>
      <c r="S39" s="7">
        <f>IF(B39&lt;&gt;"",SUMPRODUCT((Resultados!$B$1:$B$602=14)*(Resultados!$E$1:$E$602=B39)*1),"")</f>
        <v>0</v>
      </c>
      <c r="T39" s="7">
        <f>IF(B39&lt;&gt;"",SUMPRODUCT((Resultados!$B$1:$B$602=15)*(Resultados!$E$1:$E$602=B39)*1),"")</f>
        <v>4</v>
      </c>
      <c r="U39" s="7">
        <f>IF(B39&lt;&gt;"",SUMPRODUCT((Resultados!$B$1:$B$602=16)*(Resultados!$E$1:$E$602=B39)*1),"")</f>
        <v>5</v>
      </c>
      <c r="V39" s="7">
        <f>IF(B39&lt;&gt;"",SUMPRODUCT((Resultados!$B$1:$B$602=17)*(Resultados!$E$1:$E$602=B39)*1),"")</f>
        <v>7</v>
      </c>
      <c r="W39" s="7">
        <f>IF(B39&lt;&gt;"",SUMPRODUCT((Resultados!$B$1:$B$602=18)*(Resultados!$E$1:$E$602=B39)*1),"")</f>
        <v>4</v>
      </c>
      <c r="X39" s="7">
        <f>IF(B39&lt;&gt;"",SUMPRODUCT((Resultados!$B$1:$B$602=19)*(Resultados!$E$1:$E$602=B39)*1),"")</f>
        <v>2</v>
      </c>
      <c r="Y39" s="7">
        <f>IF(B39&lt;&gt;"",SUMPRODUCT((Resultados!$B$1:$B$602=20)*(Resultados!$E$1:$E$602=B39)*1),"")</f>
        <v>4</v>
      </c>
      <c r="Z39" s="7">
        <f>IF(B39&lt;&gt;"",SUMPRODUCT((Resultados!$B$1:$B$602=21)*(Resultados!$E$1:$E$602=B39)*1),"")</f>
        <v>3</v>
      </c>
      <c r="AA39" s="7">
        <f>IF(B39&lt;&gt;"",SUMPRODUCT((Resultados!$B$1:$B$602=22)*(Resultados!$E$1:$E$602=B39)*1),"")</f>
        <v>1</v>
      </c>
      <c r="AB39" s="7">
        <f>IF(B39&lt;&gt;"",SUMPRODUCT((Resultados!$B$1:$B$602=23)*(Resultados!$E$1:$E$602=B39)*1),"")</f>
        <v>0</v>
      </c>
      <c r="AC39" s="7">
        <f>IF(B39&lt;&gt;"",SUMPRODUCT((Resultados!$B$1:$B$602=24)*(Resultados!$E$1:$E$602=B39)*1),"")</f>
        <v>0</v>
      </c>
      <c r="AD39" s="6">
        <f t="shared" si="27"/>
        <v>0</v>
      </c>
      <c r="AE39" s="6">
        <f t="shared" si="28"/>
        <v>0</v>
      </c>
      <c r="AF39" s="6">
        <f t="shared" si="29"/>
        <v>0</v>
      </c>
      <c r="AG39" s="6">
        <f t="shared" si="30"/>
        <v>0</v>
      </c>
      <c r="AH39" s="6">
        <f t="shared" si="31"/>
        <v>0</v>
      </c>
      <c r="AI39" s="6">
        <f t="shared" si="32"/>
        <v>0</v>
      </c>
      <c r="AJ39" s="6">
        <f t="shared" si="33"/>
        <v>0</v>
      </c>
      <c r="AK39" s="6">
        <f t="shared" si="34"/>
        <v>0</v>
      </c>
      <c r="AL39" s="6">
        <f t="shared" si="35"/>
        <v>0</v>
      </c>
      <c r="AM39" s="6">
        <f t="shared" si="36"/>
        <v>0</v>
      </c>
      <c r="AN39" s="6">
        <f t="shared" si="37"/>
        <v>0</v>
      </c>
      <c r="AO39" s="6">
        <f t="shared" si="38"/>
        <v>0</v>
      </c>
      <c r="AP39" s="6">
        <f t="shared" si="39"/>
        <v>0</v>
      </c>
      <c r="AQ39" s="6">
        <f t="shared" si="40"/>
        <v>0</v>
      </c>
      <c r="AR39" s="6">
        <f t="shared" si="41"/>
        <v>0</v>
      </c>
      <c r="AS39" s="6">
        <f t="shared" si="42"/>
        <v>0</v>
      </c>
      <c r="AT39" s="6">
        <f t="shared" si="43"/>
        <v>0</v>
      </c>
      <c r="AU39" s="6">
        <f t="shared" si="44"/>
        <v>0</v>
      </c>
      <c r="AV39" s="6">
        <f t="shared" si="45"/>
        <v>0</v>
      </c>
      <c r="AW39" s="6">
        <f t="shared" si="46"/>
        <v>0</v>
      </c>
      <c r="AX39" s="6">
        <f t="shared" si="47"/>
        <v>0</v>
      </c>
      <c r="AY39" s="6">
        <f t="shared" si="48"/>
        <v>0</v>
      </c>
      <c r="AZ39" s="6">
        <f t="shared" si="49"/>
        <v>0</v>
      </c>
      <c r="BA39" s="6">
        <f t="shared" si="50"/>
        <v>0</v>
      </c>
      <c r="BB39" s="6">
        <f t="shared" si="51"/>
        <v>0</v>
      </c>
      <c r="BC39" s="6">
        <f>IF(B39&lt;&gt;"",'Equipes e Pilotos'!H7,"")</f>
        <v>5</v>
      </c>
    </row>
    <row r="40" spans="1:55" x14ac:dyDescent="0.2">
      <c r="A40" s="1">
        <f t="shared" si="26"/>
        <v>5</v>
      </c>
      <c r="B40" s="1" t="str">
        <f>IF('Equipes e Pilotos'!I8&lt;&gt;"",'Equipes e Pilotos'!I8,"")</f>
        <v>Racing Bulls</v>
      </c>
      <c r="C40" s="1" t="str">
        <f>IF(B40&lt;&gt;"",VLOOKUP(B40,'Equipes e Pilotos'!$I$3:$K$15,2,FALSE),"")</f>
        <v>Itália</v>
      </c>
      <c r="D40" s="1" t="str">
        <f>IF(B40&lt;&gt;"",VLOOKUP(B40,'Equipes e Pilotos'!$I$3:$K$15,3,FALSE),"")</f>
        <v>RB Ford</v>
      </c>
      <c r="E40" s="1">
        <f>IF(B40&lt;&gt;"",SUMIF(Resultados!E:E,B40,Resultados!F:F),"")-6</f>
        <v>108</v>
      </c>
      <c r="F40" s="7">
        <f>IF(B40&lt;&gt;"",SUMPRODUCT((Resultados!$B$1:$B$602=1)*(Resultados!$E$1:$E$602=B40)*1),"")</f>
        <v>0</v>
      </c>
      <c r="G40" s="7">
        <f>IF(B40&lt;&gt;"",SUMPRODUCT((Resultados!$B$1:$B$602=2)*(Resultados!$E$1:$E$602=B40)*1),"")</f>
        <v>0</v>
      </c>
      <c r="H40" s="7">
        <f>IF(B40&lt;&gt;"",SUMPRODUCT((Resultados!$B$1:$B$602=3)*(Resultados!$E$1:$E$602=B40)*1),"")</f>
        <v>0</v>
      </c>
      <c r="I40" s="7">
        <f>IF(B40&lt;&gt;"",SUMPRODUCT((Resultados!$B$1:$B$602=4)*(Resultados!$E$1:$E$602=B40)*1),"")</f>
        <v>0</v>
      </c>
      <c r="J40" s="7">
        <f>IF(B40&lt;&gt;"",SUMPRODUCT((Resultados!$B$1:$B$602=5)*(Resultados!$E$1:$E$602=B40)*1),"")</f>
        <v>1</v>
      </c>
      <c r="K40" s="7">
        <f>IF(B40&lt;&gt;"",SUMPRODUCT((Resultados!$B$1:$B$602=6)*(Resultados!$E$1:$E$602=B40)*1),"")</f>
        <v>3</v>
      </c>
      <c r="L40" s="7">
        <f>IF(B40&lt;&gt;"",SUMPRODUCT((Resultados!$B$1:$B$602=7)*(Resultados!$E$1:$E$602=B40)*1),"")</f>
        <v>7</v>
      </c>
      <c r="M40" s="7">
        <f>IF(B40&lt;&gt;"",SUMPRODUCT((Resultados!$B$1:$B$602=8)*(Resultados!$E$1:$E$602=B40)*1),"")</f>
        <v>6</v>
      </c>
      <c r="N40" s="7">
        <f>IF(B40&lt;&gt;"",SUMPRODUCT((Resultados!$B$1:$B$602=9)*(Resultados!$E$1:$E$602=B40)*1),"")</f>
        <v>5</v>
      </c>
      <c r="O40" s="7">
        <f>IF(B40&lt;&gt;"",SUMPRODUCT((Resultados!$B$1:$B$602=10)*(Resultados!$E$1:$E$602=B40)*1),"")</f>
        <v>6</v>
      </c>
      <c r="P40" s="7">
        <f>IF(B40&lt;&gt;"",SUMPRODUCT((Resultados!$B$1:$B$602=11)*(Resultados!$E$1:$E$602=B40)*1),"")</f>
        <v>3</v>
      </c>
      <c r="Q40" s="7">
        <f>IF(B40&lt;&gt;"",SUMPRODUCT((Resultados!$B$1:$B$602=12)*(Resultados!$E$1:$E$602=B40)*1),"")</f>
        <v>4</v>
      </c>
      <c r="R40" s="7">
        <f>IF(B40&lt;&gt;"",SUMPRODUCT((Resultados!$B$1:$B$602=13)*(Resultados!$E$1:$ED$602=B40)*1),"")</f>
        <v>2</v>
      </c>
      <c r="S40" s="7">
        <f>IF(B40&lt;&gt;"",SUMPRODUCT((Resultados!$B$1:$B$602=14)*(Resultados!$E$1:$E$602=B40)*1),"")</f>
        <v>5</v>
      </c>
      <c r="T40" s="7">
        <f>IF(B40&lt;&gt;"",SUMPRODUCT((Resultados!$B$1:$B$602=15)*(Resultados!$E$1:$E$602=B40)*1),"")</f>
        <v>0</v>
      </c>
      <c r="U40" s="7">
        <f>IF(B40&lt;&gt;"",SUMPRODUCT((Resultados!$B$1:$B$602=16)*(Resultados!$E$1:$E$602=B40)*1),"")</f>
        <v>0</v>
      </c>
      <c r="V40" s="7">
        <f>IF(B40&lt;&gt;"",SUMPRODUCT((Resultados!$B$1:$B$602=17)*(Resultados!$E$1:$E$602=B40)*1),"")</f>
        <v>0</v>
      </c>
      <c r="W40" s="7">
        <f>IF(B40&lt;&gt;"",SUMPRODUCT((Resultados!$B$1:$B$602=18)*(Resultados!$E$1:$E$602=B40)*1),"")</f>
        <v>0</v>
      </c>
      <c r="X40" s="7">
        <f>IF(B40&lt;&gt;"",SUMPRODUCT((Resultados!$B$1:$B$602=19)*(Resultados!$E$1:$E$602=B40)*1),"")</f>
        <v>0</v>
      </c>
      <c r="Y40" s="7">
        <f>IF(B40&lt;&gt;"",SUMPRODUCT((Resultados!$B$1:$B$602=20)*(Resultados!$E$1:$E$602=B40)*1),"")</f>
        <v>1</v>
      </c>
      <c r="Z40" s="7">
        <f>IF(B40&lt;&gt;"",SUMPRODUCT((Resultados!$B$1:$B$602=21)*(Resultados!$E$1:$E$602=B40)*1),"")</f>
        <v>1</v>
      </c>
      <c r="AA40" s="7">
        <f>IF(B40&lt;&gt;"",SUMPRODUCT((Resultados!$B$1:$B$602=22)*(Resultados!$E$1:$E$602=B40)*1),"")</f>
        <v>2</v>
      </c>
      <c r="AB40" s="7">
        <f>IF(B40&lt;&gt;"",SUMPRODUCT((Resultados!$B$1:$B$602=23)*(Resultados!$E$1:$E$602=B40)*1),"")</f>
        <v>0</v>
      </c>
      <c r="AC40" s="7">
        <f>IF(B40&lt;&gt;"",SUMPRODUCT((Resultados!$B$1:$B$602=24)*(Resultados!$E$1:$E$602=B40)*1),"")</f>
        <v>0</v>
      </c>
      <c r="AD40" s="6">
        <f t="shared" si="27"/>
        <v>0</v>
      </c>
      <c r="AE40" s="6">
        <f t="shared" si="28"/>
        <v>0</v>
      </c>
      <c r="AF40" s="6">
        <f t="shared" si="29"/>
        <v>0</v>
      </c>
      <c r="AG40" s="6">
        <f t="shared" si="30"/>
        <v>0</v>
      </c>
      <c r="AH40" s="6">
        <f t="shared" si="31"/>
        <v>0</v>
      </c>
      <c r="AI40" s="6">
        <f t="shared" si="32"/>
        <v>0</v>
      </c>
      <c r="AJ40" s="6">
        <f t="shared" si="33"/>
        <v>0</v>
      </c>
      <c r="AK40" s="6">
        <f t="shared" si="34"/>
        <v>0</v>
      </c>
      <c r="AL40" s="6">
        <f t="shared" si="35"/>
        <v>0</v>
      </c>
      <c r="AM40" s="6">
        <f t="shared" si="36"/>
        <v>0</v>
      </c>
      <c r="AN40" s="6">
        <f t="shared" si="37"/>
        <v>0</v>
      </c>
      <c r="AO40" s="6">
        <f t="shared" si="38"/>
        <v>0</v>
      </c>
      <c r="AP40" s="6">
        <f t="shared" si="39"/>
        <v>0</v>
      </c>
      <c r="AQ40" s="6">
        <f t="shared" si="40"/>
        <v>0</v>
      </c>
      <c r="AR40" s="6">
        <f t="shared" si="41"/>
        <v>0</v>
      </c>
      <c r="AS40" s="6">
        <f t="shared" si="42"/>
        <v>0</v>
      </c>
      <c r="AT40" s="6">
        <f t="shared" si="43"/>
        <v>0</v>
      </c>
      <c r="AU40" s="6">
        <f t="shared" si="44"/>
        <v>0</v>
      </c>
      <c r="AV40" s="6">
        <f t="shared" si="45"/>
        <v>0</v>
      </c>
      <c r="AW40" s="6">
        <f t="shared" si="46"/>
        <v>0</v>
      </c>
      <c r="AX40" s="6">
        <f t="shared" si="47"/>
        <v>0</v>
      </c>
      <c r="AY40" s="6">
        <f t="shared" si="48"/>
        <v>0</v>
      </c>
      <c r="AZ40" s="6">
        <f t="shared" si="49"/>
        <v>0</v>
      </c>
      <c r="BA40" s="6">
        <f t="shared" si="50"/>
        <v>0</v>
      </c>
      <c r="BB40" s="6">
        <f t="shared" si="51"/>
        <v>0</v>
      </c>
      <c r="BC40" s="6">
        <f>IF(B40&lt;&gt;"",'Equipes e Pilotos'!H8,"")</f>
        <v>6</v>
      </c>
    </row>
    <row r="41" spans="1:55" x14ac:dyDescent="0.2">
      <c r="A41" s="1">
        <f t="shared" si="26"/>
        <v>7</v>
      </c>
      <c r="B41" s="1" t="str">
        <f>IF('Equipes e Pilotos'!I9&lt;&gt;"",'Equipes e Pilotos'!I9,"")</f>
        <v>Haas</v>
      </c>
      <c r="C41" s="1" t="str">
        <f>IF(B41&lt;&gt;"",VLOOKUP(B41,'Equipes e Pilotos'!$I$3:$K$15,2,FALSE),"")</f>
        <v>USA</v>
      </c>
      <c r="D41" s="1" t="str">
        <f>IF(B41&lt;&gt;"",VLOOKUP(B41,'Equipes e Pilotos'!$I$3:$K$15,3,FALSE),"")</f>
        <v>Ferrari</v>
      </c>
      <c r="E41" s="1">
        <f>IF(B41&lt;&gt;"",SUMIF(Resultados!E:E,B41,Resultados!F:F),"")</f>
        <v>30</v>
      </c>
      <c r="F41" s="7">
        <f>IF(B41&lt;&gt;"",SUMPRODUCT((Resultados!$B$1:$B$602=1)*(Resultados!$E$1:$E$602=B41)*1),"")</f>
        <v>0</v>
      </c>
      <c r="G41" s="7">
        <f>IF(B41&lt;&gt;"",SUMPRODUCT((Resultados!$B$1:$B$602=2)*(Resultados!$E$1:$E$602=B41)*1),"")</f>
        <v>0</v>
      </c>
      <c r="H41" s="7">
        <f>IF(B41&lt;&gt;"",SUMPRODUCT((Resultados!$B$1:$B$602=3)*(Resultados!$E$1:$E$602=B41)*1),"")</f>
        <v>0</v>
      </c>
      <c r="I41" s="7">
        <f>IF(B41&lt;&gt;"",SUMPRODUCT((Resultados!$B$1:$B$602=4)*(Resultados!$E$1:$E$602=B41)*1),"")</f>
        <v>0</v>
      </c>
      <c r="J41" s="7">
        <f>IF(B41&lt;&gt;"",SUMPRODUCT((Resultados!$B$1:$B$602=5)*(Resultados!$E$1:$E$602=B41)*1),"")</f>
        <v>1</v>
      </c>
      <c r="K41" s="7">
        <f>IF(B41&lt;&gt;"",SUMPRODUCT((Resultados!$B$1:$B$602=6)*(Resultados!$E$1:$E$602=B41)*1),"")</f>
        <v>0</v>
      </c>
      <c r="L41" s="7">
        <f>IF(B41&lt;&gt;"",SUMPRODUCT((Resultados!$B$1:$B$602=7)*(Resultados!$E$1:$E$602=B41)*1),"")</f>
        <v>1</v>
      </c>
      <c r="M41" s="7">
        <f>IF(B41&lt;&gt;"",SUMPRODUCT((Resultados!$B$1:$B$602=8)*(Resultados!$E$1:$E$602=B41)*1),"")</f>
        <v>2</v>
      </c>
      <c r="N41" s="7">
        <f>IF(B41&lt;&gt;"",SUMPRODUCT((Resultados!$B$1:$B$602=9)*(Resultados!$E$1:$E$602=B41)*1),"")</f>
        <v>2</v>
      </c>
      <c r="O41" s="7">
        <f>IF(B41&lt;&gt;"",SUMPRODUCT((Resultados!$B$1:$B$602=10)*(Resultados!$E$1:$E$602=B41)*1),"")</f>
        <v>3</v>
      </c>
      <c r="P41" s="7">
        <f>IF(B41&lt;&gt;"",SUMPRODUCT((Resultados!$B$1:$B$602=11)*(Resultados!$E$1:$E$602=B41)*1),"")</f>
        <v>4</v>
      </c>
      <c r="Q41" s="7">
        <f>IF(B41&lt;&gt;"",SUMPRODUCT((Resultados!$B$1:$B$602=12)*(Resultados!$E$1:$E$602=B41)*1),"")</f>
        <v>2</v>
      </c>
      <c r="R41" s="7">
        <f>IF(B41&lt;&gt;"",SUMPRODUCT((Resultados!$B$1:$B$602=13)*(Resultados!$E$1:$ED$602=B41)*1),"")</f>
        <v>4</v>
      </c>
      <c r="S41" s="7">
        <f>IF(B41&lt;&gt;"",SUMPRODUCT((Resultados!$B$1:$B$602=14)*(Resultados!$E$1:$E$602=B41)*1),"")</f>
        <v>7</v>
      </c>
      <c r="T41" s="7">
        <f>IF(B41&lt;&gt;"",SUMPRODUCT((Resultados!$B$1:$B$602=15)*(Resultados!$E$1:$E$602=B41)*1),"")</f>
        <v>3</v>
      </c>
      <c r="U41" s="7">
        <f>IF(B41&lt;&gt;"",SUMPRODUCT((Resultados!$B$1:$B$602=16)*(Resultados!$E$1:$E$602=B41)*1),"")</f>
        <v>5</v>
      </c>
      <c r="V41" s="7">
        <f>IF(B41&lt;&gt;"",SUMPRODUCT((Resultados!$B$1:$B$602=17)*(Resultados!$E$1:$E$602=B41)*1),"")</f>
        <v>2</v>
      </c>
      <c r="W41" s="7">
        <f>IF(B41&lt;&gt;"",SUMPRODUCT((Resultados!$B$1:$B$602=18)*(Resultados!$E$1:$E$602=B41)*1),"")</f>
        <v>1</v>
      </c>
      <c r="X41" s="7">
        <f>IF(B41&lt;&gt;"",SUMPRODUCT((Resultados!$B$1:$B$602=19)*(Resultados!$E$1:$E$602=B41)*1),"")</f>
        <v>2</v>
      </c>
      <c r="Y41" s="7">
        <f>IF(B41&lt;&gt;"",SUMPRODUCT((Resultados!$B$1:$B$602=20)*(Resultados!$E$1:$E$602=B41)*1),"")</f>
        <v>1</v>
      </c>
      <c r="Z41" s="7">
        <f>IF(B41&lt;&gt;"",SUMPRODUCT((Resultados!$B$1:$B$602=21)*(Resultados!$E$1:$E$602=B41)*1),"")</f>
        <v>1</v>
      </c>
      <c r="AA41" s="7">
        <f>IF(B41&lt;&gt;"",SUMPRODUCT((Resultados!$B$1:$B$602=22)*(Resultados!$E$1:$E$602=B41)*1),"")</f>
        <v>1</v>
      </c>
      <c r="AB41" s="7">
        <f>IF(B41&lt;&gt;"",SUMPRODUCT((Resultados!$B$1:$B$602=23)*(Resultados!$E$1:$E$602=B41)*1),"")</f>
        <v>0</v>
      </c>
      <c r="AC41" s="7">
        <f>IF(B41&lt;&gt;"",SUMPRODUCT((Resultados!$B$1:$B$602=24)*(Resultados!$E$1:$E$602=B41)*1),"")</f>
        <v>0</v>
      </c>
      <c r="AD41" s="6">
        <f t="shared" si="27"/>
        <v>0</v>
      </c>
      <c r="AE41" s="6">
        <f t="shared" si="28"/>
        <v>0</v>
      </c>
      <c r="AF41" s="6">
        <f t="shared" si="29"/>
        <v>0</v>
      </c>
      <c r="AG41" s="6">
        <f t="shared" si="30"/>
        <v>0</v>
      </c>
      <c r="AH41" s="6">
        <f t="shared" si="31"/>
        <v>0</v>
      </c>
      <c r="AI41" s="6">
        <f t="shared" si="32"/>
        <v>0</v>
      </c>
      <c r="AJ41" s="6">
        <f t="shared" si="33"/>
        <v>0</v>
      </c>
      <c r="AK41" s="6">
        <f t="shared" si="34"/>
        <v>0</v>
      </c>
      <c r="AL41" s="6">
        <f t="shared" si="35"/>
        <v>0</v>
      </c>
      <c r="AM41" s="6">
        <f t="shared" si="36"/>
        <v>0</v>
      </c>
      <c r="AN41" s="6">
        <f t="shared" si="37"/>
        <v>0</v>
      </c>
      <c r="AO41" s="6">
        <f t="shared" si="38"/>
        <v>0</v>
      </c>
      <c r="AP41" s="6">
        <f t="shared" si="39"/>
        <v>0</v>
      </c>
      <c r="AQ41" s="6">
        <f t="shared" si="40"/>
        <v>0</v>
      </c>
      <c r="AR41" s="6">
        <f t="shared" si="41"/>
        <v>0</v>
      </c>
      <c r="AS41" s="6">
        <f t="shared" si="42"/>
        <v>0</v>
      </c>
      <c r="AT41" s="6">
        <f t="shared" si="43"/>
        <v>0</v>
      </c>
      <c r="AU41" s="6">
        <f t="shared" si="44"/>
        <v>0</v>
      </c>
      <c r="AV41" s="6">
        <f t="shared" si="45"/>
        <v>0</v>
      </c>
      <c r="AW41" s="6">
        <f t="shared" si="46"/>
        <v>0</v>
      </c>
      <c r="AX41" s="6">
        <f t="shared" si="47"/>
        <v>0</v>
      </c>
      <c r="AY41" s="6">
        <f t="shared" si="48"/>
        <v>0</v>
      </c>
      <c r="AZ41" s="6">
        <f t="shared" si="49"/>
        <v>0</v>
      </c>
      <c r="BA41" s="6">
        <f t="shared" si="50"/>
        <v>0</v>
      </c>
      <c r="BB41" s="6">
        <f t="shared" si="51"/>
        <v>0</v>
      </c>
      <c r="BC41" s="6">
        <f>IF(B41&lt;&gt;"",'Equipes e Pilotos'!H9,"")</f>
        <v>7</v>
      </c>
    </row>
    <row r="42" spans="1:55" x14ac:dyDescent="0.2">
      <c r="A42" s="1">
        <f t="shared" si="26"/>
        <v>10</v>
      </c>
      <c r="B42" s="1" t="str">
        <f>IF('Equipes e Pilotos'!I10&lt;&gt;"",'Equipes e Pilotos'!I10,"")</f>
        <v>Aston Martin</v>
      </c>
      <c r="C42" s="1" t="str">
        <f>IF(B42&lt;&gt;"",VLOOKUP(B42,'Equipes e Pilotos'!$I$3:$K$15,2,FALSE),"")</f>
        <v>Inglaterra</v>
      </c>
      <c r="D42" s="1" t="str">
        <f>IF(B42&lt;&gt;"",VLOOKUP(B42,'Equipes e Pilotos'!$I$3:$K$15,3,FALSE),"")</f>
        <v>Honda</v>
      </c>
      <c r="E42" s="1">
        <f>IF(B42&lt;&gt;"",SUMIF(Resultados!E:E,B42,Resultados!F:F),"")</f>
        <v>7</v>
      </c>
      <c r="F42" s="7">
        <f>IF(B42&lt;&gt;"",SUMPRODUCT((Resultados!$B$1:$B$602=1)*(Resultados!$E$1:$E$602=B42)*1),"")</f>
        <v>0</v>
      </c>
      <c r="G42" s="7">
        <f>IF(B42&lt;&gt;"",SUMPRODUCT((Resultados!$B$1:$B$602=2)*(Resultados!$E$1:$E$602=B42)*1),"")</f>
        <v>0</v>
      </c>
      <c r="H42" s="7">
        <f>IF(B42&lt;&gt;"",SUMPRODUCT((Resultados!$B$1:$B$602=3)*(Resultados!$E$1:$E$602=B42)*1),"")</f>
        <v>0</v>
      </c>
      <c r="I42" s="7">
        <f>IF(B42&lt;&gt;"",SUMPRODUCT((Resultados!$B$1:$B$602=4)*(Resultados!$E$1:$E$602=B42)*1),"")</f>
        <v>0</v>
      </c>
      <c r="J42" s="7">
        <f>IF(B42&lt;&gt;"",SUMPRODUCT((Resultados!$B$1:$B$602=5)*(Resultados!$E$1:$E$602=B42)*1),"")</f>
        <v>0</v>
      </c>
      <c r="K42" s="7">
        <f>IF(B42&lt;&gt;"",SUMPRODUCT((Resultados!$B$1:$B$602=6)*(Resultados!$E$1:$E$602=B42)*1),"")</f>
        <v>0</v>
      </c>
      <c r="L42" s="7">
        <f>IF(B42&lt;&gt;"",SUMPRODUCT((Resultados!$B$1:$B$602=7)*(Resultados!$E$1:$E$602=B42)*1),"")</f>
        <v>0</v>
      </c>
      <c r="M42" s="7">
        <f>IF(B42&lt;&gt;"",SUMPRODUCT((Resultados!$B$1:$B$602=8)*(Resultados!$E$1:$E$602=B42)*1),"")</f>
        <v>1</v>
      </c>
      <c r="N42" s="7">
        <f>IF(B42&lt;&gt;"",SUMPRODUCT((Resultados!$B$1:$B$602=9)*(Resultados!$E$1:$E$602=B42)*1),"")</f>
        <v>1</v>
      </c>
      <c r="O42" s="7">
        <f>IF(B42&lt;&gt;"",SUMPRODUCT((Resultados!$B$1:$B$602=10)*(Resultados!$E$1:$E$602=B42)*1),"")</f>
        <v>1</v>
      </c>
      <c r="P42" s="7">
        <f>IF(B42&lt;&gt;"",SUMPRODUCT((Resultados!$B$1:$B$602=11)*(Resultados!$E$1:$E$602=B42)*1),"")</f>
        <v>0</v>
      </c>
      <c r="Q42" s="7">
        <f>IF(B42&lt;&gt;"",SUMPRODUCT((Resultados!$B$1:$B$602=12)*(Resultados!$E$1:$E$602=B42)*1),"")</f>
        <v>1</v>
      </c>
      <c r="R42" s="7">
        <f>IF(B42&lt;&gt;"",SUMPRODUCT((Resultados!$B$1:$B$602=13)*(Resultados!$E$1:$ED$602=B42)*1),"")</f>
        <v>1</v>
      </c>
      <c r="S42" s="7">
        <f>IF(B42&lt;&gt;"",SUMPRODUCT((Resultados!$B$1:$B$602=14)*(Resultados!$E$1:$E$602=B42)*1),"")</f>
        <v>1</v>
      </c>
      <c r="T42" s="7">
        <f>IF(B42&lt;&gt;"",SUMPRODUCT((Resultados!$B$1:$B$602=15)*(Resultados!$E$1:$E$602=B42)*1),"")</f>
        <v>3</v>
      </c>
      <c r="U42" s="7">
        <f>IF(B42&lt;&gt;"",SUMPRODUCT((Resultados!$B$1:$B$602=16)*(Resultados!$E$1:$E$602=B42)*1),"")</f>
        <v>1</v>
      </c>
      <c r="V42" s="7">
        <f>IF(B42&lt;&gt;"",SUMPRODUCT((Resultados!$B$1:$B$602=17)*(Resultados!$E$1:$E$602=B42)*1),"")</f>
        <v>7</v>
      </c>
      <c r="W42" s="7">
        <f>IF(B42&lt;&gt;"",SUMPRODUCT((Resultados!$B$1:$B$602=18)*(Resultados!$E$1:$E$602=B42)*1),"")</f>
        <v>8</v>
      </c>
      <c r="X42" s="7">
        <f>IF(B42&lt;&gt;"",SUMPRODUCT((Resultados!$B$1:$B$602=19)*(Resultados!$E$1:$E$602=B42)*1),"")</f>
        <v>4</v>
      </c>
      <c r="Y42" s="7">
        <f>IF(B42&lt;&gt;"",SUMPRODUCT((Resultados!$B$1:$B$602=20)*(Resultados!$E$1:$E$602=B42)*1),"")</f>
        <v>5</v>
      </c>
      <c r="Z42" s="7">
        <f>IF(B42&lt;&gt;"",SUMPRODUCT((Resultados!$B$1:$B$602=21)*(Resultados!$E$1:$E$602=B42)*1),"")</f>
        <v>5</v>
      </c>
      <c r="AA42" s="7">
        <f>IF(B42&lt;&gt;"",SUMPRODUCT((Resultados!$B$1:$B$602=22)*(Resultados!$E$1:$E$602=B42)*1),"")</f>
        <v>3</v>
      </c>
      <c r="AB42" s="7">
        <f>IF(B42&lt;&gt;"",SUMPRODUCT((Resultados!$B$1:$B$602=23)*(Resultados!$E$1:$E$602=B42)*1),"")</f>
        <v>0</v>
      </c>
      <c r="AC42" s="7">
        <f>IF(B42&lt;&gt;"",SUMPRODUCT((Resultados!$B$1:$B$602=24)*(Resultados!$E$1:$E$602=B42)*1),"")</f>
        <v>0</v>
      </c>
      <c r="AD42" s="6">
        <f t="shared" si="27"/>
        <v>0</v>
      </c>
      <c r="AE42" s="6">
        <f t="shared" si="28"/>
        <v>0</v>
      </c>
      <c r="AF42" s="6">
        <f t="shared" si="29"/>
        <v>0</v>
      </c>
      <c r="AG42" s="6">
        <f t="shared" si="30"/>
        <v>0</v>
      </c>
      <c r="AH42" s="6">
        <f t="shared" si="31"/>
        <v>0</v>
      </c>
      <c r="AI42" s="6">
        <f t="shared" si="32"/>
        <v>0</v>
      </c>
      <c r="AJ42" s="6">
        <f t="shared" si="33"/>
        <v>0</v>
      </c>
      <c r="AK42" s="6">
        <f t="shared" si="34"/>
        <v>0</v>
      </c>
      <c r="AL42" s="6">
        <f t="shared" si="35"/>
        <v>0</v>
      </c>
      <c r="AM42" s="6">
        <f t="shared" si="36"/>
        <v>0</v>
      </c>
      <c r="AN42" s="6">
        <f t="shared" si="37"/>
        <v>0</v>
      </c>
      <c r="AO42" s="6">
        <f t="shared" si="38"/>
        <v>0</v>
      </c>
      <c r="AP42" s="6">
        <f t="shared" si="39"/>
        <v>0</v>
      </c>
      <c r="AQ42" s="6">
        <f t="shared" si="40"/>
        <v>0</v>
      </c>
      <c r="AR42" s="6">
        <f t="shared" si="41"/>
        <v>0</v>
      </c>
      <c r="AS42" s="6">
        <f t="shared" si="42"/>
        <v>0</v>
      </c>
      <c r="AT42" s="6">
        <f t="shared" si="43"/>
        <v>0</v>
      </c>
      <c r="AU42" s="6">
        <f t="shared" si="44"/>
        <v>0</v>
      </c>
      <c r="AV42" s="6">
        <f t="shared" si="45"/>
        <v>0</v>
      </c>
      <c r="AW42" s="6">
        <f t="shared" si="46"/>
        <v>0</v>
      </c>
      <c r="AX42" s="6">
        <f t="shared" si="47"/>
        <v>0</v>
      </c>
      <c r="AY42" s="6">
        <f t="shared" si="48"/>
        <v>0</v>
      </c>
      <c r="AZ42" s="6">
        <f t="shared" si="49"/>
        <v>0</v>
      </c>
      <c r="BA42" s="6">
        <f t="shared" si="50"/>
        <v>0</v>
      </c>
      <c r="BB42" s="6">
        <f t="shared" si="51"/>
        <v>0</v>
      </c>
      <c r="BC42" s="6">
        <f>IF(B42&lt;&gt;"",'Equipes e Pilotos'!H10,"")</f>
        <v>8</v>
      </c>
    </row>
    <row r="43" spans="1:55" x14ac:dyDescent="0.2">
      <c r="A43" s="1">
        <f t="shared" si="26"/>
        <v>8</v>
      </c>
      <c r="B43" s="1" t="str">
        <f>IF('Equipes e Pilotos'!I11&lt;&gt;"",'Equipes e Pilotos'!I11,"")</f>
        <v>Audi</v>
      </c>
      <c r="C43" s="1" t="str">
        <f>IF(B43&lt;&gt;"",VLOOKUP(B43,'Equipes e Pilotos'!$I$3:$K$15,2,FALSE),"")</f>
        <v>Alemanha</v>
      </c>
      <c r="D43" s="1" t="str">
        <f>IF(B43&lt;&gt;"",VLOOKUP(B43,'Equipes e Pilotos'!$I$3:$K$15,3,FALSE),"")</f>
        <v>Audi</v>
      </c>
      <c r="E43" s="1">
        <f>IF(B43&lt;&gt;"",SUMIF(Resultados!E:E,B43,Resultados!F:F),"")</f>
        <v>23</v>
      </c>
      <c r="F43" s="7">
        <f>IF(B43&lt;&gt;"",SUMPRODUCT((Resultados!$B$1:$B$602=1)*(Resultados!$E$1:$E$602=B43)*1),"")</f>
        <v>0</v>
      </c>
      <c r="G43" s="7">
        <f>IF(B43&lt;&gt;"",SUMPRODUCT((Resultados!$B$1:$B$602=2)*(Resultados!$E$1:$E$602=B43)*1),"")</f>
        <v>0</v>
      </c>
      <c r="H43" s="7">
        <f>IF(B43&lt;&gt;"",SUMPRODUCT((Resultados!$B$1:$B$602=3)*(Resultados!$E$1:$E$602=B43)*1),"")</f>
        <v>0</v>
      </c>
      <c r="I43" s="7">
        <f>IF(B43&lt;&gt;"",SUMPRODUCT((Resultados!$B$1:$B$602=4)*(Resultados!$E$1:$E$602=B43)*1),"")</f>
        <v>0</v>
      </c>
      <c r="J43" s="7">
        <f>IF(B43&lt;&gt;"",SUMPRODUCT((Resultados!$B$1:$B$602=5)*(Resultados!$E$1:$E$602=B43)*1),"")</f>
        <v>0</v>
      </c>
      <c r="K43" s="7">
        <f>IF(B43&lt;&gt;"",SUMPRODUCT((Resultados!$B$1:$B$602=6)*(Resultados!$E$1:$E$602=B43)*1),"")</f>
        <v>0</v>
      </c>
      <c r="L43" s="7">
        <f>IF(B43&lt;&gt;"",SUMPRODUCT((Resultados!$B$1:$B$602=7)*(Resultados!$E$1:$E$602=B43)*1),"")</f>
        <v>0</v>
      </c>
      <c r="M43" s="7">
        <f>IF(B43&lt;&gt;"",SUMPRODUCT((Resultados!$B$1:$B$602=8)*(Resultados!$E$1:$E$602=B43)*1),"")</f>
        <v>3</v>
      </c>
      <c r="N43" s="7">
        <f>IF(B43&lt;&gt;"",SUMPRODUCT((Resultados!$B$1:$B$602=9)*(Resultados!$E$1:$E$602=B43)*1),"")</f>
        <v>3</v>
      </c>
      <c r="O43" s="7">
        <f>IF(B43&lt;&gt;"",SUMPRODUCT((Resultados!$B$1:$B$602=10)*(Resultados!$E$1:$E$602=B43)*1),"")</f>
        <v>1</v>
      </c>
      <c r="P43" s="7">
        <f>IF(B43&lt;&gt;"",SUMPRODUCT((Resultados!$B$1:$B$602=11)*(Resultados!$E$1:$E$602=B43)*1),"")</f>
        <v>9</v>
      </c>
      <c r="Q43" s="7">
        <f>IF(B43&lt;&gt;"",SUMPRODUCT((Resultados!$B$1:$B$602=12)*(Resultados!$E$1:$E$602=B43)*1),"")</f>
        <v>5</v>
      </c>
      <c r="R43" s="7">
        <f>IF(B43&lt;&gt;"",SUMPRODUCT((Resultados!$B$1:$B$602=13)*(Resultados!$E$1:$ED$602=B43)*1),"")</f>
        <v>7</v>
      </c>
      <c r="S43" s="7">
        <f>IF(B43&lt;&gt;"",SUMPRODUCT((Resultados!$B$1:$B$602=14)*(Resultados!$E$1:$E$602=B43)*1),"")</f>
        <v>0</v>
      </c>
      <c r="T43" s="7">
        <f>IF(B43&lt;&gt;"",SUMPRODUCT((Resultados!$B$1:$B$602=15)*(Resultados!$E$1:$E$602=B43)*1),"")</f>
        <v>3</v>
      </c>
      <c r="U43" s="7">
        <f>IF(B43&lt;&gt;"",SUMPRODUCT((Resultados!$B$1:$B$602=16)*(Resultados!$E$1:$E$602=B43)*1),"")</f>
        <v>0</v>
      </c>
      <c r="V43" s="7">
        <f>IF(B43&lt;&gt;"",SUMPRODUCT((Resultados!$B$1:$B$602=17)*(Resultados!$E$1:$E$602=B43)*1),"")</f>
        <v>0</v>
      </c>
      <c r="W43" s="7">
        <f>IF(B43&lt;&gt;"",SUMPRODUCT((Resultados!$B$1:$B$602=18)*(Resultados!$E$1:$E$602=B43)*1),"")</f>
        <v>1</v>
      </c>
      <c r="X43" s="7">
        <f>IF(B43&lt;&gt;"",SUMPRODUCT((Resultados!$B$1:$B$602=19)*(Resultados!$E$1:$E$602=B43)*1),"")</f>
        <v>1</v>
      </c>
      <c r="Y43" s="7">
        <f>IF(B43&lt;&gt;"",SUMPRODUCT((Resultados!$B$1:$B$602=20)*(Resultados!$E$1:$E$602=B43)*1),"")</f>
        <v>3</v>
      </c>
      <c r="Z43" s="7">
        <f>IF(B43&lt;&gt;"",SUMPRODUCT((Resultados!$B$1:$B$602=21)*(Resultados!$E$1:$E$602=B43)*1),"")</f>
        <v>1</v>
      </c>
      <c r="AA43" s="7">
        <f>IF(B43&lt;&gt;"",SUMPRODUCT((Resultados!$B$1:$B$602=22)*(Resultados!$E$1:$E$602=B43)*1),"")</f>
        <v>4</v>
      </c>
      <c r="AB43" s="7">
        <f>IF(B43&lt;&gt;"",SUMPRODUCT((Resultados!$B$1:$B$602=23)*(Resultados!$E$1:$E$602=B43)*1),"")</f>
        <v>0</v>
      </c>
      <c r="AC43" s="7">
        <f>IF(B43&lt;&gt;"",SUMPRODUCT((Resultados!$B$1:$B$602=24)*(Resultados!$E$1:$E$602=B43)*1),"")</f>
        <v>0</v>
      </c>
      <c r="AD43" s="6">
        <f t="shared" si="27"/>
        <v>0</v>
      </c>
      <c r="AE43" s="6">
        <f t="shared" si="28"/>
        <v>0</v>
      </c>
      <c r="AF43" s="6">
        <f t="shared" si="29"/>
        <v>0</v>
      </c>
      <c r="AG43" s="6">
        <f t="shared" si="30"/>
        <v>0</v>
      </c>
      <c r="AH43" s="6">
        <f t="shared" si="31"/>
        <v>0</v>
      </c>
      <c r="AI43" s="6">
        <f t="shared" si="32"/>
        <v>0</v>
      </c>
      <c r="AJ43" s="6">
        <f t="shared" si="33"/>
        <v>0</v>
      </c>
      <c r="AK43" s="6">
        <f t="shared" si="34"/>
        <v>0</v>
      </c>
      <c r="AL43" s="6">
        <f t="shared" si="35"/>
        <v>0</v>
      </c>
      <c r="AM43" s="6">
        <f t="shared" si="36"/>
        <v>0</v>
      </c>
      <c r="AN43" s="6">
        <f t="shared" si="37"/>
        <v>0</v>
      </c>
      <c r="AO43" s="6">
        <f t="shared" si="38"/>
        <v>0</v>
      </c>
      <c r="AP43" s="6">
        <f t="shared" si="39"/>
        <v>0</v>
      </c>
      <c r="AQ43" s="6">
        <f t="shared" si="40"/>
        <v>0</v>
      </c>
      <c r="AR43" s="6">
        <f t="shared" si="41"/>
        <v>0</v>
      </c>
      <c r="AS43" s="6">
        <f t="shared" si="42"/>
        <v>0</v>
      </c>
      <c r="AT43" s="6">
        <f t="shared" si="43"/>
        <v>0</v>
      </c>
      <c r="AU43" s="6">
        <f t="shared" si="44"/>
        <v>0</v>
      </c>
      <c r="AV43" s="6">
        <f t="shared" si="45"/>
        <v>0</v>
      </c>
      <c r="AW43" s="6">
        <f t="shared" si="46"/>
        <v>0</v>
      </c>
      <c r="AX43" s="6">
        <f t="shared" si="47"/>
        <v>0</v>
      </c>
      <c r="AY43" s="6">
        <f t="shared" si="48"/>
        <v>0</v>
      </c>
      <c r="AZ43" s="6">
        <f t="shared" si="49"/>
        <v>0</v>
      </c>
      <c r="BA43" s="6">
        <f t="shared" si="50"/>
        <v>0</v>
      </c>
      <c r="BB43" s="6">
        <f t="shared" si="51"/>
        <v>0</v>
      </c>
      <c r="BC43" s="6">
        <f>IF(B43&lt;&gt;"",'Equipes e Pilotos'!H11,"")</f>
        <v>9</v>
      </c>
    </row>
    <row r="44" spans="1:55" x14ac:dyDescent="0.2">
      <c r="A44" s="1">
        <f t="shared" si="26"/>
        <v>6</v>
      </c>
      <c r="B44" s="1" t="str">
        <f>IF('Equipes e Pilotos'!I12&lt;&gt;"",'Equipes e Pilotos'!I12,"")</f>
        <v>Alpine</v>
      </c>
      <c r="C44" s="1" t="str">
        <f>IF(B44&lt;&gt;"",VLOOKUP(B44,'Equipes e Pilotos'!$I$3:$K$15,2,FALSE),"")</f>
        <v>França</v>
      </c>
      <c r="D44" s="1" t="str">
        <f>IF(B44&lt;&gt;"",VLOOKUP(B44,'Equipes e Pilotos'!$I$3:$K$15,3,FALSE),"")</f>
        <v>Renault</v>
      </c>
      <c r="E44" s="1">
        <f>IF(B44&lt;&gt;"",SUMIF(Resultados!E:E,B44,Resultados!F:F),"")</f>
        <v>68</v>
      </c>
      <c r="F44" s="7">
        <f>IF(B44&lt;&gt;"",SUMPRODUCT((Resultados!$B$1:$B$602=1)*(Resultados!$E$1:$E$602=B44)*1),"")</f>
        <v>0</v>
      </c>
      <c r="G44" s="7">
        <f>IF(B44&lt;&gt;"",SUMPRODUCT((Resultados!$B$1:$B$602=2)*(Resultados!$E$1:$E$602=B44)*1),"")</f>
        <v>0</v>
      </c>
      <c r="H44" s="7">
        <f>IF(B44&lt;&gt;"",SUMPRODUCT((Resultados!$B$1:$B$602=3)*(Resultados!$E$1:$E$602=B44)*1),"")</f>
        <v>0</v>
      </c>
      <c r="I44" s="7">
        <f>IF(B44&lt;&gt;"",SUMPRODUCT((Resultados!$B$1:$B$602=4)*(Resultados!$E$1:$E$602=B44)*1),"")</f>
        <v>0</v>
      </c>
      <c r="J44" s="7">
        <f>IF(B44&lt;&gt;"",SUMPRODUCT((Resultados!$B$1:$B$602=5)*(Resultados!$E$1:$E$602=B44)*1),"")</f>
        <v>0</v>
      </c>
      <c r="K44" s="7">
        <f>IF(B44&lt;&gt;"",SUMPRODUCT((Resultados!$B$1:$B$602=6)*(Resultados!$E$1:$E$602=B44)*1),"")</f>
        <v>2</v>
      </c>
      <c r="L44" s="7">
        <f>IF(B44&lt;&gt;"",SUMPRODUCT((Resultados!$B$1:$B$602=7)*(Resultados!$E$1:$E$602=B44)*1),"")</f>
        <v>6</v>
      </c>
      <c r="M44" s="7">
        <f>IF(B44&lt;&gt;"",SUMPRODUCT((Resultados!$B$1:$B$602=8)*(Resultados!$E$1:$E$602=B44)*1),"")</f>
        <v>3</v>
      </c>
      <c r="N44" s="7">
        <f>IF(B44&lt;&gt;"",SUMPRODUCT((Resultados!$B$1:$B$602=9)*(Resultados!$E$1:$E$602=B44)*1),"")</f>
        <v>3</v>
      </c>
      <c r="O44" s="7">
        <f>IF(B44&lt;&gt;"",SUMPRODUCT((Resultados!$B$1:$B$602=10)*(Resultados!$E$1:$E$602=B44)*1),"")</f>
        <v>7</v>
      </c>
      <c r="P44" s="7">
        <f>IF(B44&lt;&gt;"",SUMPRODUCT((Resultados!$B$1:$B$602=11)*(Resultados!$E$1:$E$602=B44)*1),"")</f>
        <v>3</v>
      </c>
      <c r="Q44" s="7">
        <f>IF(B44&lt;&gt;"",SUMPRODUCT((Resultados!$B$1:$B$602=12)*(Resultados!$E$1:$E$602=B44)*1),"")</f>
        <v>4</v>
      </c>
      <c r="R44" s="7">
        <f>IF(B44&lt;&gt;"",SUMPRODUCT((Resultados!$B$1:$B$602=13)*(Resultados!$E$1:$ED$602=B44)*1),"")</f>
        <v>2</v>
      </c>
      <c r="S44" s="7">
        <f>IF(B44&lt;&gt;"",SUMPRODUCT((Resultados!$B$1:$B$602=14)*(Resultados!$E$1:$E$602=B44)*1),"")</f>
        <v>4</v>
      </c>
      <c r="T44" s="7">
        <f>IF(B44&lt;&gt;"",SUMPRODUCT((Resultados!$B$1:$B$602=15)*(Resultados!$E$1:$E$602=B44)*1),"")</f>
        <v>2</v>
      </c>
      <c r="U44" s="7">
        <f>IF(B44&lt;&gt;"",SUMPRODUCT((Resultados!$B$1:$B$602=16)*(Resultados!$E$1:$E$602=B44)*1),"")</f>
        <v>2</v>
      </c>
      <c r="V44" s="7">
        <f>IF(B44&lt;&gt;"",SUMPRODUCT((Resultados!$B$1:$B$602=17)*(Resultados!$E$1:$E$602=B44)*1),"")</f>
        <v>1</v>
      </c>
      <c r="W44" s="7">
        <f>IF(B44&lt;&gt;"",SUMPRODUCT((Resultados!$B$1:$B$602=18)*(Resultados!$E$1:$E$602=B44)*1),"")</f>
        <v>1</v>
      </c>
      <c r="X44" s="7">
        <f>IF(B44&lt;&gt;"",SUMPRODUCT((Resultados!$B$1:$B$602=19)*(Resultados!$E$1:$E$602=B44)*1),"")</f>
        <v>0</v>
      </c>
      <c r="Y44" s="7">
        <f>IF(B44&lt;&gt;"",SUMPRODUCT((Resultados!$B$1:$B$602=20)*(Resultados!$E$1:$E$602=B44)*1),"")</f>
        <v>1</v>
      </c>
      <c r="Z44" s="7">
        <f>IF(B44&lt;&gt;"",SUMPRODUCT((Resultados!$B$1:$B$602=21)*(Resultados!$E$1:$E$602=B44)*1),"")</f>
        <v>1</v>
      </c>
      <c r="AA44" s="7">
        <f>IF(B44&lt;&gt;"",SUMPRODUCT((Resultados!$B$1:$B$602=22)*(Resultados!$E$1:$E$602=B44)*1),"")</f>
        <v>0</v>
      </c>
      <c r="AB44" s="7">
        <f>IF(B44&lt;&gt;"",SUMPRODUCT((Resultados!$B$1:$B$602=23)*(Resultados!$E$1:$E$602=B44)*1),"")</f>
        <v>0</v>
      </c>
      <c r="AC44" s="7">
        <f>IF(B44&lt;&gt;"",SUMPRODUCT((Resultados!$B$1:$B$602=24)*(Resultados!$E$1:$E$602=B44)*1),"")</f>
        <v>0</v>
      </c>
      <c r="AD44" s="6">
        <f t="shared" si="27"/>
        <v>0</v>
      </c>
      <c r="AE44" s="6">
        <f t="shared" si="28"/>
        <v>0</v>
      </c>
      <c r="AF44" s="6">
        <f t="shared" si="29"/>
        <v>0</v>
      </c>
      <c r="AG44" s="6">
        <f t="shared" si="30"/>
        <v>0</v>
      </c>
      <c r="AH44" s="6">
        <f t="shared" si="31"/>
        <v>0</v>
      </c>
      <c r="AI44" s="6">
        <f t="shared" si="32"/>
        <v>0</v>
      </c>
      <c r="AJ44" s="6">
        <f t="shared" si="33"/>
        <v>0</v>
      </c>
      <c r="AK44" s="6">
        <f t="shared" si="34"/>
        <v>0</v>
      </c>
      <c r="AL44" s="6">
        <f t="shared" si="35"/>
        <v>0</v>
      </c>
      <c r="AM44" s="6">
        <f t="shared" si="36"/>
        <v>0</v>
      </c>
      <c r="AN44" s="6">
        <f t="shared" si="37"/>
        <v>0</v>
      </c>
      <c r="AO44" s="6">
        <f t="shared" si="38"/>
        <v>0</v>
      </c>
      <c r="AP44" s="6">
        <f t="shared" si="39"/>
        <v>0</v>
      </c>
      <c r="AQ44" s="6">
        <f t="shared" si="40"/>
        <v>0</v>
      </c>
      <c r="AR44" s="6">
        <f t="shared" si="41"/>
        <v>0</v>
      </c>
      <c r="AS44" s="6">
        <f t="shared" si="42"/>
        <v>0</v>
      </c>
      <c r="AT44" s="6">
        <f t="shared" si="43"/>
        <v>0</v>
      </c>
      <c r="AU44" s="6">
        <f t="shared" si="44"/>
        <v>0</v>
      </c>
      <c r="AV44" s="6">
        <f t="shared" si="45"/>
        <v>0</v>
      </c>
      <c r="AW44" s="6">
        <f t="shared" si="46"/>
        <v>0</v>
      </c>
      <c r="AX44" s="6">
        <f t="shared" si="47"/>
        <v>0</v>
      </c>
      <c r="AY44" s="6">
        <f t="shared" si="48"/>
        <v>0</v>
      </c>
      <c r="AZ44" s="6">
        <f t="shared" si="49"/>
        <v>0</v>
      </c>
      <c r="BA44" s="6">
        <f t="shared" si="50"/>
        <v>0</v>
      </c>
      <c r="BB44" s="6">
        <f t="shared" si="51"/>
        <v>0</v>
      </c>
      <c r="BC44" s="6">
        <f>IF(B44&lt;&gt;"",'Equipes e Pilotos'!H12,"")</f>
        <v>10</v>
      </c>
    </row>
    <row r="45" spans="1:55" x14ac:dyDescent="0.2">
      <c r="A45" s="1">
        <f t="shared" si="26"/>
        <v>11</v>
      </c>
      <c r="B45" s="1" t="str">
        <f>IF('Equipes e Pilotos'!I13&lt;&gt;"",'Equipes e Pilotos'!I13,"")</f>
        <v>Cadillac</v>
      </c>
      <c r="C45" s="1" t="str">
        <f>IF(B45&lt;&gt;"",VLOOKUP(B45,'Equipes e Pilotos'!$I$3:$K$15,2,FALSE),"")</f>
        <v>EUA</v>
      </c>
      <c r="D45" s="1" t="str">
        <f>IF(B45&lt;&gt;"",VLOOKUP(B45,'Equipes e Pilotos'!$I$3:$K$15,3,FALSE),"")</f>
        <v>Ferrari</v>
      </c>
      <c r="E45" s="1">
        <f>IF(B45&lt;&gt;"",SUMIF(Resultados!E:E,B45,Resultados!F:F),"")</f>
        <v>0</v>
      </c>
      <c r="F45" s="7">
        <f>IF(B45&lt;&gt;"",SUMPRODUCT((Resultados!$B$1:$B$602=1)*(Resultados!$E$1:$E$602=B45)*1),"")</f>
        <v>0</v>
      </c>
      <c r="G45" s="7">
        <f>IF(B45&lt;&gt;"",SUMPRODUCT((Resultados!$B$1:$B$602=2)*(Resultados!$E$1:$E$602=B45)*1),"")</f>
        <v>0</v>
      </c>
      <c r="H45" s="7">
        <f>IF(B45&lt;&gt;"",SUMPRODUCT((Resultados!$B$1:$B$602=3)*(Resultados!$E$1:$E$602=B45)*1),"")</f>
        <v>0</v>
      </c>
      <c r="I45" s="7">
        <f>IF(B45&lt;&gt;"",SUMPRODUCT((Resultados!$B$1:$B$602=4)*(Resultados!$E$1:$E$602=B45)*1),"")</f>
        <v>0</v>
      </c>
      <c r="J45" s="7">
        <f>IF(B45&lt;&gt;"",SUMPRODUCT((Resultados!$B$1:$B$602=5)*(Resultados!$E$1:$E$602=B45)*1),"")</f>
        <v>0</v>
      </c>
      <c r="K45" s="7">
        <f>IF(B45&lt;&gt;"",SUMPRODUCT((Resultados!$B$1:$B$602=6)*(Resultados!$E$1:$E$602=B45)*1),"")</f>
        <v>0</v>
      </c>
      <c r="L45" s="7">
        <f>IF(B45&lt;&gt;"",SUMPRODUCT((Resultados!$B$1:$B$602=7)*(Resultados!$E$1:$E$602=B45)*1),"")</f>
        <v>0</v>
      </c>
      <c r="M45" s="7">
        <f>IF(B45&lt;&gt;"",SUMPRODUCT((Resultados!$B$1:$B$602=8)*(Resultados!$E$1:$E$602=B45)*1),"")</f>
        <v>0</v>
      </c>
      <c r="N45" s="7">
        <f>IF(B45&lt;&gt;"",SUMPRODUCT((Resultados!$B$1:$B$602=9)*(Resultados!$E$1:$E$602=B45)*1),"")</f>
        <v>0</v>
      </c>
      <c r="O45" s="7">
        <f>IF(B45&lt;&gt;"",SUMPRODUCT((Resultados!$B$1:$B$602=10)*(Resultados!$E$1:$E$602=B45)*1),"")</f>
        <v>0</v>
      </c>
      <c r="P45" s="7">
        <f>IF(B45&lt;&gt;"",SUMPRODUCT((Resultados!$B$1:$B$602=11)*(Resultados!$E$1:$E$602=B45)*1),"")</f>
        <v>0</v>
      </c>
      <c r="Q45" s="7">
        <f>IF(B45&lt;&gt;"",SUMPRODUCT((Resultados!$B$1:$B$602=12)*(Resultados!$E$1:$E$602=B45)*1),"")</f>
        <v>0</v>
      </c>
      <c r="R45" s="7">
        <f>IF(B45&lt;&gt;"",SUMPRODUCT((Resultados!$B$1:$B$602=13)*(Resultados!$E$1:$ED$602=B45)*1),"")</f>
        <v>1</v>
      </c>
      <c r="S45" s="7">
        <f>IF(B45&lt;&gt;"",SUMPRODUCT((Resultados!$B$1:$B$602=14)*(Resultados!$E$1:$E$602=B45)*1),"")</f>
        <v>4</v>
      </c>
      <c r="T45" s="7">
        <f>IF(B45&lt;&gt;"",SUMPRODUCT((Resultados!$B$1:$B$602=15)*(Resultados!$E$1:$E$602=B45)*1),"")</f>
        <v>3</v>
      </c>
      <c r="U45" s="7">
        <f>IF(B45&lt;&gt;"",SUMPRODUCT((Resultados!$B$1:$B$602=16)*(Resultados!$E$1:$E$602=B45)*1),"")</f>
        <v>6</v>
      </c>
      <c r="V45" s="7">
        <f>IF(B45&lt;&gt;"",SUMPRODUCT((Resultados!$B$1:$B$602=17)*(Resultados!$E$1:$E$602=B45)*1),"")</f>
        <v>3</v>
      </c>
      <c r="W45" s="7">
        <f>IF(B45&lt;&gt;"",SUMPRODUCT((Resultados!$B$1:$B$602=18)*(Resultados!$E$1:$E$602=B45)*1),"")</f>
        <v>5</v>
      </c>
      <c r="X45" s="7">
        <f>IF(B45&lt;&gt;"",SUMPRODUCT((Resultados!$B$1:$B$602=19)*(Resultados!$E$1:$E$602=B45)*1),"")</f>
        <v>8</v>
      </c>
      <c r="Y45" s="7">
        <f>IF(B45&lt;&gt;"",SUMPRODUCT((Resultados!$B$1:$B$602=20)*(Resultados!$E$1:$E$602=B45)*1),"")</f>
        <v>1</v>
      </c>
      <c r="Z45" s="7">
        <f>IF(B45&lt;&gt;"",SUMPRODUCT((Resultados!$B$1:$B$602=21)*(Resultados!$E$1:$E$602=B45)*1),"")</f>
        <v>7</v>
      </c>
      <c r="AA45" s="7">
        <f>IF(B45&lt;&gt;"",SUMPRODUCT((Resultados!$B$1:$B$602=22)*(Resultados!$E$1:$E$602=B45)*1),"")</f>
        <v>4</v>
      </c>
      <c r="AB45" s="7">
        <f>IF(B45&lt;&gt;"",SUMPRODUCT((Resultados!$B$1:$B$602=23)*(Resultados!$E$1:$E$602=B45)*1),"")</f>
        <v>0</v>
      </c>
      <c r="AC45" s="7">
        <f>IF(B45&lt;&gt;"",SUMPRODUCT((Resultados!$B$1:$B$602=24)*(Resultados!$E$1:$E$602=B45)*1),"")</f>
        <v>0</v>
      </c>
      <c r="AD45" s="6">
        <f t="shared" si="27"/>
        <v>0</v>
      </c>
      <c r="AE45" s="6">
        <f t="shared" si="28"/>
        <v>0</v>
      </c>
      <c r="AF45" s="6">
        <f t="shared" si="29"/>
        <v>0</v>
      </c>
      <c r="AG45" s="6">
        <f t="shared" si="30"/>
        <v>0</v>
      </c>
      <c r="AH45" s="6">
        <f t="shared" si="31"/>
        <v>0</v>
      </c>
      <c r="AI45" s="6">
        <f t="shared" si="32"/>
        <v>0</v>
      </c>
      <c r="AJ45" s="6">
        <f t="shared" si="33"/>
        <v>0</v>
      </c>
      <c r="AK45" s="6">
        <f t="shared" si="34"/>
        <v>0</v>
      </c>
      <c r="AL45" s="6">
        <f t="shared" si="35"/>
        <v>0</v>
      </c>
      <c r="AM45" s="6">
        <f t="shared" si="36"/>
        <v>0</v>
      </c>
      <c r="AN45" s="6">
        <f t="shared" si="37"/>
        <v>0</v>
      </c>
      <c r="AO45" s="6">
        <f t="shared" si="38"/>
        <v>0</v>
      </c>
      <c r="AP45" s="6">
        <f t="shared" si="39"/>
        <v>0</v>
      </c>
      <c r="AQ45" s="6">
        <f t="shared" si="40"/>
        <v>0</v>
      </c>
      <c r="AR45" s="6">
        <f t="shared" si="41"/>
        <v>0</v>
      </c>
      <c r="AS45" s="6">
        <f t="shared" si="42"/>
        <v>0</v>
      </c>
      <c r="AT45" s="6">
        <f t="shared" si="43"/>
        <v>0</v>
      </c>
      <c r="AU45" s="6">
        <f t="shared" si="44"/>
        <v>0</v>
      </c>
      <c r="AV45" s="6">
        <f t="shared" si="45"/>
        <v>0</v>
      </c>
      <c r="AW45" s="6">
        <f t="shared" si="46"/>
        <v>0</v>
      </c>
      <c r="AX45" s="6">
        <f t="shared" si="47"/>
        <v>0</v>
      </c>
      <c r="AY45" s="6">
        <f t="shared" si="48"/>
        <v>0</v>
      </c>
      <c r="AZ45" s="6">
        <f t="shared" si="49"/>
        <v>0</v>
      </c>
      <c r="BA45" s="6">
        <f t="shared" si="50"/>
        <v>0</v>
      </c>
      <c r="BB45" s="6">
        <f t="shared" si="51"/>
        <v>0</v>
      </c>
      <c r="BC45" s="6">
        <f>IF(B45&lt;&gt;"",'Equipes e Pilotos'!H13,"")</f>
        <v>11</v>
      </c>
    </row>
    <row r="46" spans="1:55" x14ac:dyDescent="0.2">
      <c r="A46" s="1" t="str">
        <f t="shared" si="26"/>
        <v/>
      </c>
      <c r="B46" s="1" t="str">
        <f>IF('Equipes e Pilotos'!I14&lt;&gt;"",'Equipes e Pilotos'!I14,"")</f>
        <v/>
      </c>
      <c r="C46" s="1" t="str">
        <f>IF(B46&lt;&gt;"",VLOOKUP(B46,'Equipes e Pilotos'!$I$3:$K$15,2,FALSE),"")</f>
        <v/>
      </c>
      <c r="D46" s="1" t="str">
        <f>IF(B46&lt;&gt;"",VLOOKUP(B46,'Equipes e Pilotos'!$I$3:$K$15,3,FALSE),"")</f>
        <v/>
      </c>
      <c r="E46" s="1" t="str">
        <f>IF(B46&lt;&gt;"",SUMIF(Resultados!E:E,B46,Resultados!F:F),"")</f>
        <v/>
      </c>
      <c r="F46" s="7" t="str">
        <f>IF(B46&lt;&gt;"",SUMPRODUCT((Resultados!$B$1:$B$602=1)*(Resultados!$E$1:$E$602=B46)*1),"")</f>
        <v/>
      </c>
      <c r="G46" s="7" t="str">
        <f>IF(B46&lt;&gt;"",SUMPRODUCT((Resultados!$B$1:$B$602=2)*(Resultados!$E$1:$E$602=B46)*1),"")</f>
        <v/>
      </c>
      <c r="H46" s="7" t="str">
        <f>IF(B46&lt;&gt;"",SUMPRODUCT((Resultados!$B$1:$B$602=3)*(Resultados!$E$1:$E$602=B46)*1),"")</f>
        <v/>
      </c>
      <c r="I46" s="7" t="str">
        <f>IF(B46&lt;&gt;"",SUMPRODUCT((Resultados!$B$1:$B$602=4)*(Resultados!$E$1:$E$602=B46)*1),"")</f>
        <v/>
      </c>
      <c r="J46" s="7" t="str">
        <f>IF(B46&lt;&gt;"",SUMPRODUCT((Resultados!$B$1:$B$602=5)*(Resultados!$E$1:$E$602=B46)*1),"")</f>
        <v/>
      </c>
      <c r="K46" s="7" t="str">
        <f>IF(B46&lt;&gt;"",SUMPRODUCT((Resultados!$B$1:$B$602=6)*(Resultados!$E$1:$E$602=B46)*1),"")</f>
        <v/>
      </c>
      <c r="L46" s="7" t="str">
        <f>IF(B46&lt;&gt;"",SUMPRODUCT((Resultados!$B$1:$B$602=7)*(Resultados!$E$1:$E$602=B46)*1),"")</f>
        <v/>
      </c>
      <c r="M46" s="7" t="str">
        <f>IF(B46&lt;&gt;"",SUMPRODUCT((Resultados!$B$1:$B$602=8)*(Resultados!$E$1:$E$602=B46)*1),"")</f>
        <v/>
      </c>
      <c r="N46" s="7" t="str">
        <f>IF(B46&lt;&gt;"",SUMPRODUCT((Resultados!$B$1:$B$602=9)*(Resultados!$E$1:$E$602=B46)*1),"")</f>
        <v/>
      </c>
      <c r="O46" s="7" t="str">
        <f>IF(B46&lt;&gt;"",SUMPRODUCT((Resultados!$B$1:$B$602=10)*(Resultados!$E$1:$E$602=B46)*1),"")</f>
        <v/>
      </c>
      <c r="P46" s="7" t="str">
        <f>IF(B46&lt;&gt;"",SUMPRODUCT((Resultados!$B$1:$B$602=11)*(Resultados!$E$1:$E$602=B46)*1),"")</f>
        <v/>
      </c>
      <c r="Q46" s="7" t="str">
        <f>IF(B46&lt;&gt;"",SUMPRODUCT((Resultados!$B$1:$B$602=12)*(Resultados!$E$1:$E$602=B46)*1),"")</f>
        <v/>
      </c>
      <c r="R46" s="7" t="str">
        <f>IF(B46&lt;&gt;"",SUMPRODUCT((Resultados!$B$1:$B$602=13)*(Resultados!$E$1:$ED$602=B46)*1),"")</f>
        <v/>
      </c>
      <c r="S46" s="7" t="str">
        <f>IF(B46&lt;&gt;"",SUMPRODUCT((Resultados!$B$1:$B$602=14)*(Resultados!$E$1:$E$602=B46)*1),"")</f>
        <v/>
      </c>
      <c r="T46" s="7" t="str">
        <f>IF(B46&lt;&gt;"",SUMPRODUCT((Resultados!$B$1:$B$602=15)*(Resultados!$E$1:$E$602=B46)*1),"")</f>
        <v/>
      </c>
      <c r="U46" s="7" t="str">
        <f>IF(B46&lt;&gt;"",SUMPRODUCT((Resultados!$B$1:$B$602=16)*(Resultados!$E$1:$E$602=B46)*1),"")</f>
        <v/>
      </c>
      <c r="V46" s="7" t="str">
        <f>IF(B46&lt;&gt;"",SUMPRODUCT((Resultados!$B$1:$B$602=17)*(Resultados!$E$1:$E$602=B46)*1),"")</f>
        <v/>
      </c>
      <c r="W46" s="7" t="str">
        <f>IF(B46&lt;&gt;"",SUMPRODUCT((Resultados!$B$1:$B$602=18)*(Resultados!$E$1:$E$602=B46)*1),"")</f>
        <v/>
      </c>
      <c r="X46" s="7" t="str">
        <f>IF(B46&lt;&gt;"",SUMPRODUCT((Resultados!$B$1:$B$602=19)*(Resultados!$E$1:$E$602=B46)*1),"")</f>
        <v/>
      </c>
      <c r="Y46" s="7" t="str">
        <f>IF(B46&lt;&gt;"",SUMPRODUCT((Resultados!$B$1:$B$602=20)*(Resultados!$E$1:$E$602=B46)*1),"")</f>
        <v/>
      </c>
      <c r="Z46" s="7" t="str">
        <f>IF(B46&lt;&gt;"",SUMPRODUCT((Resultados!$B$1:$B$602=21)*(Resultados!$E$1:$E$602=B46)*1),"")</f>
        <v/>
      </c>
      <c r="AA46" s="7" t="str">
        <f>IF(B46&lt;&gt;"",SUMPRODUCT((Resultados!$B$1:$B$602=22)*(Resultados!$E$1:$E$602=B46)*1),"")</f>
        <v/>
      </c>
      <c r="AB46" s="7" t="str">
        <f>IF(B46&lt;&gt;"",SUMPRODUCT((Resultados!$B$1:$B$602=23)*(Resultados!$E$1:$E$602=B46)*1),"")</f>
        <v/>
      </c>
      <c r="AC46" s="7" t="str">
        <f>IF(B46&lt;&gt;"",SUMPRODUCT((Resultados!$B$1:$B$602=24)*(Resultados!$E$1:$E$602=B46)*1),"")</f>
        <v/>
      </c>
      <c r="AD46" s="6" t="str">
        <f t="shared" si="27"/>
        <v/>
      </c>
      <c r="AE46" s="6" t="str">
        <f t="shared" si="28"/>
        <v/>
      </c>
      <c r="AF46" s="6" t="str">
        <f t="shared" si="29"/>
        <v/>
      </c>
      <c r="AG46" s="6" t="str">
        <f t="shared" si="30"/>
        <v/>
      </c>
      <c r="AH46" s="6" t="str">
        <f t="shared" si="31"/>
        <v/>
      </c>
      <c r="AI46" s="6" t="str">
        <f t="shared" si="32"/>
        <v/>
      </c>
      <c r="AJ46" s="6" t="str">
        <f t="shared" si="33"/>
        <v/>
      </c>
      <c r="AK46" s="6" t="str">
        <f t="shared" si="34"/>
        <v/>
      </c>
      <c r="AL46" s="6" t="str">
        <f t="shared" si="35"/>
        <v/>
      </c>
      <c r="AM46" s="6" t="str">
        <f t="shared" si="36"/>
        <v/>
      </c>
      <c r="AN46" s="6" t="str">
        <f t="shared" si="37"/>
        <v/>
      </c>
      <c r="AO46" s="6" t="str">
        <f t="shared" si="38"/>
        <v/>
      </c>
      <c r="AP46" s="6" t="str">
        <f t="shared" si="39"/>
        <v/>
      </c>
      <c r="AQ46" s="6" t="str">
        <f t="shared" si="40"/>
        <v/>
      </c>
      <c r="AR46" s="6" t="str">
        <f t="shared" si="41"/>
        <v/>
      </c>
      <c r="AS46" s="6" t="str">
        <f t="shared" si="42"/>
        <v/>
      </c>
      <c r="AT46" s="6" t="str">
        <f t="shared" si="43"/>
        <v/>
      </c>
      <c r="AU46" s="6" t="str">
        <f t="shared" si="44"/>
        <v/>
      </c>
      <c r="AV46" s="6" t="str">
        <f t="shared" si="45"/>
        <v/>
      </c>
      <c r="AW46" s="6" t="str">
        <f t="shared" si="46"/>
        <v/>
      </c>
      <c r="AX46" s="6" t="str">
        <f t="shared" si="47"/>
        <v/>
      </c>
      <c r="AY46" s="6" t="str">
        <f t="shared" si="48"/>
        <v/>
      </c>
      <c r="AZ46" s="6" t="str">
        <f t="shared" si="49"/>
        <v/>
      </c>
      <c r="BA46" s="6" t="str">
        <f t="shared" si="50"/>
        <v/>
      </c>
      <c r="BB46" s="6" t="str">
        <f t="shared" si="51"/>
        <v/>
      </c>
      <c r="BC46" s="6" t="str">
        <f>IF(B46&lt;&gt;"",'Equipes e Pilotos'!H14,"")</f>
        <v/>
      </c>
    </row>
    <row r="47" spans="1:55" x14ac:dyDescent="0.2">
      <c r="A47" s="1" t="str">
        <f t="shared" si="26"/>
        <v/>
      </c>
      <c r="B47" s="1" t="str">
        <f>IF('Equipes e Pilotos'!I15&lt;&gt;"",'Equipes e Pilotos'!I15,"")</f>
        <v/>
      </c>
      <c r="C47" s="1" t="str">
        <f>IF(B47&lt;&gt;"",VLOOKUP(B47,'Equipes e Pilotos'!$I$3:$K$15,2,FALSE),"")</f>
        <v/>
      </c>
      <c r="D47" s="1" t="str">
        <f>IF(B47&lt;&gt;"",VLOOKUP(B47,'Equipes e Pilotos'!$I$3:$K$15,3,FALSE),"")</f>
        <v/>
      </c>
      <c r="E47" s="1" t="str">
        <f>IF(B47&lt;&gt;"",SUMIF(Resultados!E:E,B47,Resultados!F:F),"")</f>
        <v/>
      </c>
      <c r="F47" s="7" t="str">
        <f>IF(B47&lt;&gt;"",SUMPRODUCT((Resultados!$B$1:$B$602=1)*(Resultados!$E$1:$E$602=B47)*1),"")</f>
        <v/>
      </c>
      <c r="G47" s="7" t="str">
        <f>IF(B47&lt;&gt;"",SUMPRODUCT((Resultados!$B$1:$B$602=2)*(Resultados!$E$1:$E$602=B47)*1),"")</f>
        <v/>
      </c>
      <c r="H47" s="7" t="str">
        <f>IF(B47&lt;&gt;"",SUMPRODUCT((Resultados!$B$1:$B$602=3)*(Resultados!$E$1:$E$602=B47)*1),"")</f>
        <v/>
      </c>
      <c r="I47" s="7" t="str">
        <f>IF(B47&lt;&gt;"",SUMPRODUCT((Resultados!$B$1:$B$602=4)*(Resultados!$E$1:$E$602=B47)*1),"")</f>
        <v/>
      </c>
      <c r="J47" s="7" t="str">
        <f>IF(B47&lt;&gt;"",SUMPRODUCT((Resultados!$B$1:$B$602=5)*(Resultados!$E$1:$E$602=B47)*1),"")</f>
        <v/>
      </c>
      <c r="K47" s="7" t="str">
        <f>IF(B47&lt;&gt;"",SUMPRODUCT((Resultados!$B$1:$B$602=6)*(Resultados!$E$1:$E$602=B47)*1),"")</f>
        <v/>
      </c>
      <c r="L47" s="7" t="str">
        <f>IF(B47&lt;&gt;"",SUMPRODUCT((Resultados!$B$1:$B$602=7)*(Resultados!$E$1:$E$602=B47)*1),"")</f>
        <v/>
      </c>
      <c r="M47" s="7" t="str">
        <f>IF(B47&lt;&gt;"",SUMPRODUCT((Resultados!$B$1:$B$602=8)*(Resultados!$E$1:$E$602=B47)*1),"")</f>
        <v/>
      </c>
      <c r="N47" s="7" t="str">
        <f>IF(B47&lt;&gt;"",SUMPRODUCT((Resultados!$B$1:$B$602=9)*(Resultados!$E$1:$E$602=B47)*1),"")</f>
        <v/>
      </c>
      <c r="O47" s="7" t="str">
        <f>IF(B47&lt;&gt;"",SUMPRODUCT((Resultados!$B$1:$B$602=10)*(Resultados!$E$1:$E$602=B47)*1),"")</f>
        <v/>
      </c>
      <c r="P47" s="7" t="str">
        <f>IF(B47&lt;&gt;"",SUMPRODUCT((Resultados!$B$1:$B$602=11)*(Resultados!$E$1:$E$602=B47)*1),"")</f>
        <v/>
      </c>
      <c r="Q47" s="7" t="str">
        <f>IF(B47&lt;&gt;"",SUMPRODUCT((Resultados!$B$1:$B$602=12)*(Resultados!$E$1:$E$602=B47)*1),"")</f>
        <v/>
      </c>
      <c r="R47" s="7" t="str">
        <f>IF(B47&lt;&gt;"",SUMPRODUCT((Resultados!$B$1:$B$602=13)*(Resultados!$E$1:$ED$602=B47)*1),"")</f>
        <v/>
      </c>
      <c r="S47" s="7" t="str">
        <f>IF(B47&lt;&gt;"",SUMPRODUCT((Resultados!$B$1:$B$602=14)*(Resultados!$E$1:$E$602=B47)*1),"")</f>
        <v/>
      </c>
      <c r="T47" s="7" t="str">
        <f>IF(B47&lt;&gt;"",SUMPRODUCT((Resultados!$B$1:$B$602=15)*(Resultados!$E$1:$E$602=B47)*1),"")</f>
        <v/>
      </c>
      <c r="U47" s="7" t="str">
        <f>IF(B47&lt;&gt;"",SUMPRODUCT((Resultados!$B$1:$B$602=16)*(Resultados!$E$1:$E$602=B47)*1),"")</f>
        <v/>
      </c>
      <c r="V47" s="7" t="str">
        <f>IF(B47&lt;&gt;"",SUMPRODUCT((Resultados!$B$1:$B$602=17)*(Resultados!$E$1:$E$602=B47)*1),"")</f>
        <v/>
      </c>
      <c r="W47" s="7" t="str">
        <f>IF(B47&lt;&gt;"",SUMPRODUCT((Resultados!$B$1:$B$602=18)*(Resultados!$E$1:$E$602=B47)*1),"")</f>
        <v/>
      </c>
      <c r="X47" s="7" t="str">
        <f>IF(B47&lt;&gt;"",SUMPRODUCT((Resultados!$B$1:$B$602=19)*(Resultados!$E$1:$E$602=B47)*1),"")</f>
        <v/>
      </c>
      <c r="Y47" s="7" t="str">
        <f>IF(B47&lt;&gt;"",SUMPRODUCT((Resultados!$B$1:$B$602=20)*(Resultados!$E$1:$E$602=B47)*1),"")</f>
        <v/>
      </c>
      <c r="Z47" s="7" t="str">
        <f>IF(B47&lt;&gt;"",SUMPRODUCT((Resultados!$B$1:$B$602=21)*(Resultados!$E$1:$E$602=B47)*1),"")</f>
        <v/>
      </c>
      <c r="AA47" s="7" t="str">
        <f>IF(B47&lt;&gt;"",SUMPRODUCT((Resultados!$B$1:$B$602=22)*(Resultados!$E$1:$E$602=B47)*1),"")</f>
        <v/>
      </c>
      <c r="AB47" s="7" t="str">
        <f>IF(B47&lt;&gt;"",SUMPRODUCT((Resultados!$B$1:$B$602=23)*(Resultados!$E$1:$E$602=B47)*1),"")</f>
        <v/>
      </c>
      <c r="AC47" s="7" t="str">
        <f>IF(B47&lt;&gt;"",SUMPRODUCT((Resultados!$B$1:$B$602=24)*(Resultados!$E$1:$E$602=B47)*1),"")</f>
        <v/>
      </c>
      <c r="AD47" s="6" t="str">
        <f t="shared" si="27"/>
        <v/>
      </c>
      <c r="AE47" s="6" t="str">
        <f t="shared" si="28"/>
        <v/>
      </c>
      <c r="AF47" s="6" t="str">
        <f t="shared" si="29"/>
        <v/>
      </c>
      <c r="AG47" s="6" t="str">
        <f t="shared" si="30"/>
        <v/>
      </c>
      <c r="AH47" s="6" t="str">
        <f t="shared" si="31"/>
        <v/>
      </c>
      <c r="AI47" s="6" t="str">
        <f t="shared" si="32"/>
        <v/>
      </c>
      <c r="AJ47" s="6" t="str">
        <f t="shared" si="33"/>
        <v/>
      </c>
      <c r="AK47" s="6" t="str">
        <f t="shared" si="34"/>
        <v/>
      </c>
      <c r="AL47" s="6" t="str">
        <f t="shared" si="35"/>
        <v/>
      </c>
      <c r="AM47" s="6" t="str">
        <f t="shared" si="36"/>
        <v/>
      </c>
      <c r="AN47" s="6" t="str">
        <f t="shared" si="37"/>
        <v/>
      </c>
      <c r="AO47" s="6" t="str">
        <f t="shared" si="38"/>
        <v/>
      </c>
      <c r="AP47" s="6" t="str">
        <f t="shared" si="39"/>
        <v/>
      </c>
      <c r="AQ47" s="6" t="str">
        <f t="shared" si="40"/>
        <v/>
      </c>
      <c r="AR47" s="6" t="str">
        <f t="shared" si="41"/>
        <v/>
      </c>
      <c r="AS47" s="6" t="str">
        <f t="shared" si="42"/>
        <v/>
      </c>
      <c r="AT47" s="6" t="str">
        <f t="shared" si="43"/>
        <v/>
      </c>
      <c r="AU47" s="6" t="str">
        <f t="shared" si="44"/>
        <v/>
      </c>
      <c r="AV47" s="6" t="str">
        <f t="shared" si="45"/>
        <v/>
      </c>
      <c r="AW47" s="6" t="str">
        <f t="shared" si="46"/>
        <v/>
      </c>
      <c r="AX47" s="6" t="str">
        <f t="shared" si="47"/>
        <v/>
      </c>
      <c r="AY47" s="6" t="str">
        <f t="shared" si="48"/>
        <v/>
      </c>
      <c r="AZ47" s="6" t="str">
        <f t="shared" si="49"/>
        <v/>
      </c>
      <c r="BA47" s="6" t="str">
        <f t="shared" si="50"/>
        <v/>
      </c>
      <c r="BB47" s="6" t="str">
        <f t="shared" si="51"/>
        <v/>
      </c>
      <c r="BC47" s="6" t="str">
        <f>IF(B47&lt;&gt;"",'Equipes e Pilotos'!H15,"")</f>
        <v/>
      </c>
    </row>
  </sheetData>
  <mergeCells count="2">
    <mergeCell ref="F1:AC1"/>
    <mergeCell ref="AD1:BC1"/>
  </mergeCells>
  <phoneticPr fontId="1" type="noConversion"/>
  <pageMargins left="0.78740157499999996" right="0.78740157499999996" top="0.984251969" bottom="0.984251969" header="0.5" footer="0.5"/>
  <pageSetup paperSize="9" orientation="portrait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5"/>
  <sheetViews>
    <sheetView workbookViewId="0">
      <selection activeCell="D6" sqref="D6"/>
    </sheetView>
  </sheetViews>
  <sheetFormatPr defaultRowHeight="12.75" x14ac:dyDescent="0.2"/>
  <cols>
    <col min="2" max="2" width="17.7109375" style="3" bestFit="1" customWidth="1"/>
    <col min="4" max="4" width="72.140625" bestFit="1" customWidth="1"/>
    <col min="5" max="5" width="26.7109375" bestFit="1" customWidth="1"/>
  </cols>
  <sheetData>
    <row r="1" spans="1:5" x14ac:dyDescent="0.2">
      <c r="A1" s="4" t="s">
        <v>259</v>
      </c>
      <c r="B1" s="5" t="s">
        <v>260</v>
      </c>
      <c r="C1" s="4" t="s">
        <v>16</v>
      </c>
      <c r="D1" s="4" t="s">
        <v>261</v>
      </c>
      <c r="E1" s="4" t="s">
        <v>24</v>
      </c>
    </row>
    <row r="2" spans="1:5" x14ac:dyDescent="0.2">
      <c r="A2">
        <v>1</v>
      </c>
      <c r="B2" s="3">
        <v>46089</v>
      </c>
      <c r="C2" s="4" t="s">
        <v>330</v>
      </c>
      <c r="D2" s="4" t="s">
        <v>414</v>
      </c>
      <c r="E2" s="4" t="s">
        <v>336</v>
      </c>
    </row>
    <row r="3" spans="1:5" x14ac:dyDescent="0.2">
      <c r="A3">
        <f>A2+1</f>
        <v>2</v>
      </c>
      <c r="B3" s="3">
        <v>46096</v>
      </c>
      <c r="C3" s="4" t="s">
        <v>331</v>
      </c>
      <c r="D3" s="4" t="s">
        <v>381</v>
      </c>
      <c r="E3" s="4" t="s">
        <v>337</v>
      </c>
    </row>
    <row r="4" spans="1:5" x14ac:dyDescent="0.2">
      <c r="A4">
        <f t="shared" ref="A4:A25" si="0">A3+1</f>
        <v>3</v>
      </c>
      <c r="B4" s="3">
        <v>46110</v>
      </c>
      <c r="C4" s="4" t="s">
        <v>326</v>
      </c>
      <c r="D4" s="4" t="s">
        <v>415</v>
      </c>
      <c r="E4" s="4" t="s">
        <v>338</v>
      </c>
    </row>
    <row r="5" spans="1:5" x14ac:dyDescent="0.2">
      <c r="A5">
        <f t="shared" si="0"/>
        <v>4</v>
      </c>
      <c r="B5" s="3">
        <v>46299</v>
      </c>
      <c r="C5" s="4" t="s">
        <v>254</v>
      </c>
      <c r="D5" s="4" t="s">
        <v>436</v>
      </c>
      <c r="E5" s="4" t="s">
        <v>437</v>
      </c>
    </row>
    <row r="6" spans="1:5" x14ac:dyDescent="0.2">
      <c r="A6">
        <f t="shared" si="0"/>
        <v>5</v>
      </c>
      <c r="B6" s="3">
        <v>46131</v>
      </c>
      <c r="C6" s="4" t="s">
        <v>332</v>
      </c>
      <c r="D6" s="4" t="s">
        <v>429</v>
      </c>
      <c r="E6" s="4" t="s">
        <v>339</v>
      </c>
    </row>
    <row r="7" spans="1:5" x14ac:dyDescent="0.2">
      <c r="A7">
        <f t="shared" si="0"/>
        <v>6</v>
      </c>
      <c r="B7" s="3">
        <v>46145</v>
      </c>
      <c r="C7" s="4" t="s">
        <v>301</v>
      </c>
      <c r="D7" s="4" t="s">
        <v>382</v>
      </c>
      <c r="E7" s="4" t="s">
        <v>340</v>
      </c>
    </row>
    <row r="8" spans="1:5" x14ac:dyDescent="0.2">
      <c r="A8">
        <f t="shared" si="0"/>
        <v>7</v>
      </c>
      <c r="B8" s="3">
        <v>46166</v>
      </c>
      <c r="C8" s="4" t="s">
        <v>190</v>
      </c>
      <c r="D8" s="4" t="s">
        <v>416</v>
      </c>
      <c r="E8" s="4" t="s">
        <v>342</v>
      </c>
    </row>
    <row r="9" spans="1:5" x14ac:dyDescent="0.2">
      <c r="A9">
        <f t="shared" si="0"/>
        <v>8</v>
      </c>
      <c r="B9" s="3">
        <v>46180</v>
      </c>
      <c r="C9" s="4" t="s">
        <v>308</v>
      </c>
      <c r="D9" s="4" t="s">
        <v>417</v>
      </c>
      <c r="E9" s="4" t="s">
        <v>341</v>
      </c>
    </row>
    <row r="10" spans="1:5" x14ac:dyDescent="0.2">
      <c r="A10">
        <f t="shared" si="0"/>
        <v>9</v>
      </c>
      <c r="B10" s="3">
        <v>46187</v>
      </c>
      <c r="C10" s="4" t="s">
        <v>22</v>
      </c>
      <c r="D10" s="4" t="s">
        <v>418</v>
      </c>
      <c r="E10" s="4" t="s">
        <v>256</v>
      </c>
    </row>
    <row r="11" spans="1:5" x14ac:dyDescent="0.2">
      <c r="A11">
        <f t="shared" si="0"/>
        <v>10</v>
      </c>
      <c r="B11" s="3">
        <v>46201</v>
      </c>
      <c r="C11" s="4" t="s">
        <v>294</v>
      </c>
      <c r="D11" s="4" t="s">
        <v>419</v>
      </c>
      <c r="E11" s="4" t="s">
        <v>296</v>
      </c>
    </row>
    <row r="12" spans="1:5" x14ac:dyDescent="0.2">
      <c r="A12">
        <f t="shared" si="0"/>
        <v>11</v>
      </c>
      <c r="B12" s="3">
        <v>46208</v>
      </c>
      <c r="C12" s="4" t="s">
        <v>20</v>
      </c>
      <c r="D12" s="4" t="s">
        <v>420</v>
      </c>
      <c r="E12" s="4" t="s">
        <v>431</v>
      </c>
    </row>
    <row r="13" spans="1:5" x14ac:dyDescent="0.2">
      <c r="A13">
        <f t="shared" si="0"/>
        <v>12</v>
      </c>
      <c r="B13" s="3">
        <v>46222</v>
      </c>
      <c r="C13" s="4" t="s">
        <v>26</v>
      </c>
      <c r="D13" s="4" t="s">
        <v>383</v>
      </c>
      <c r="E13" s="4" t="s">
        <v>343</v>
      </c>
    </row>
    <row r="14" spans="1:5" x14ac:dyDescent="0.2">
      <c r="A14">
        <f t="shared" si="0"/>
        <v>13</v>
      </c>
      <c r="B14" s="3">
        <v>46229</v>
      </c>
      <c r="C14" s="4" t="s">
        <v>25</v>
      </c>
      <c r="D14" s="4" t="s">
        <v>421</v>
      </c>
      <c r="E14" s="4" t="s">
        <v>257</v>
      </c>
    </row>
    <row r="15" spans="1:5" x14ac:dyDescent="0.2">
      <c r="A15">
        <f t="shared" si="0"/>
        <v>14</v>
      </c>
      <c r="B15" s="3">
        <v>46257</v>
      </c>
      <c r="C15" s="4" t="s">
        <v>300</v>
      </c>
      <c r="D15" s="4" t="s">
        <v>384</v>
      </c>
      <c r="E15" s="4" t="s">
        <v>344</v>
      </c>
    </row>
    <row r="16" spans="1:5" x14ac:dyDescent="0.2">
      <c r="A16">
        <f t="shared" si="0"/>
        <v>15</v>
      </c>
      <c r="B16" s="3">
        <v>46271</v>
      </c>
      <c r="C16" s="4" t="s">
        <v>188</v>
      </c>
      <c r="D16" s="4" t="s">
        <v>422</v>
      </c>
      <c r="E16" s="4" t="s">
        <v>345</v>
      </c>
    </row>
    <row r="17" spans="1:5" x14ac:dyDescent="0.2">
      <c r="A17">
        <f t="shared" si="0"/>
        <v>16</v>
      </c>
      <c r="B17" s="3">
        <v>46278</v>
      </c>
      <c r="C17" s="4" t="s">
        <v>22</v>
      </c>
      <c r="D17" s="4" t="s">
        <v>423</v>
      </c>
      <c r="E17" s="4" t="s">
        <v>385</v>
      </c>
    </row>
    <row r="18" spans="1:5" x14ac:dyDescent="0.2">
      <c r="A18">
        <f t="shared" si="0"/>
        <v>17</v>
      </c>
      <c r="B18" s="3">
        <v>46292</v>
      </c>
      <c r="C18" s="4" t="s">
        <v>333</v>
      </c>
      <c r="D18" s="4" t="s">
        <v>386</v>
      </c>
      <c r="E18" s="4" t="s">
        <v>346</v>
      </c>
    </row>
    <row r="19" spans="1:5" x14ac:dyDescent="0.2">
      <c r="A19">
        <f t="shared" si="0"/>
        <v>18</v>
      </c>
      <c r="B19" s="3">
        <v>46306</v>
      </c>
      <c r="C19" s="4" t="s">
        <v>334</v>
      </c>
      <c r="D19" s="4" t="s">
        <v>387</v>
      </c>
      <c r="E19" s="4" t="s">
        <v>347</v>
      </c>
    </row>
    <row r="20" spans="1:5" x14ac:dyDescent="0.2">
      <c r="A20">
        <f t="shared" si="0"/>
        <v>19</v>
      </c>
      <c r="B20" s="3">
        <v>46320</v>
      </c>
      <c r="C20" s="4" t="s">
        <v>301</v>
      </c>
      <c r="D20" s="4" t="s">
        <v>388</v>
      </c>
      <c r="E20" s="4" t="s">
        <v>348</v>
      </c>
    </row>
    <row r="21" spans="1:5" x14ac:dyDescent="0.2">
      <c r="A21">
        <f t="shared" si="0"/>
        <v>20</v>
      </c>
      <c r="B21" s="3">
        <v>46327</v>
      </c>
      <c r="C21" s="4" t="s">
        <v>295</v>
      </c>
      <c r="D21" s="4" t="s">
        <v>424</v>
      </c>
      <c r="E21" s="4" t="s">
        <v>349</v>
      </c>
    </row>
    <row r="22" spans="1:5" x14ac:dyDescent="0.2">
      <c r="A22">
        <f t="shared" si="0"/>
        <v>21</v>
      </c>
      <c r="B22" s="3">
        <v>46334</v>
      </c>
      <c r="C22" s="4" t="s">
        <v>314</v>
      </c>
      <c r="D22" s="4" t="s">
        <v>389</v>
      </c>
      <c r="E22" s="4" t="s">
        <v>350</v>
      </c>
    </row>
    <row r="23" spans="1:5" x14ac:dyDescent="0.2">
      <c r="A23">
        <f t="shared" si="0"/>
        <v>22</v>
      </c>
      <c r="B23" s="3">
        <v>46347</v>
      </c>
      <c r="C23" s="4" t="s">
        <v>301</v>
      </c>
      <c r="D23" s="4" t="s">
        <v>390</v>
      </c>
      <c r="E23" s="4" t="s">
        <v>351</v>
      </c>
    </row>
    <row r="24" spans="1:5" x14ac:dyDescent="0.2">
      <c r="A24">
        <f t="shared" si="0"/>
        <v>23</v>
      </c>
      <c r="B24" s="3">
        <v>46355</v>
      </c>
      <c r="C24" s="4" t="s">
        <v>335</v>
      </c>
      <c r="D24" s="4" t="s">
        <v>391</v>
      </c>
      <c r="E24" s="4" t="s">
        <v>352</v>
      </c>
    </row>
    <row r="25" spans="1:5" x14ac:dyDescent="0.2">
      <c r="A25">
        <f t="shared" si="0"/>
        <v>24</v>
      </c>
      <c r="B25" s="3">
        <v>46362</v>
      </c>
      <c r="C25" s="4" t="s">
        <v>242</v>
      </c>
      <c r="D25" s="4" t="s">
        <v>392</v>
      </c>
      <c r="E25" t="s">
        <v>258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3">
    <tabColor theme="8" tint="-0.499984740745262"/>
  </sheetPr>
  <dimension ref="A1:AP59"/>
  <sheetViews>
    <sheetView showGridLines="0" showRowColHeaders="0" tabSelected="1" zoomScaleNormal="100" workbookViewId="0">
      <selection activeCell="B36" sqref="B36:E36"/>
    </sheetView>
  </sheetViews>
  <sheetFormatPr defaultRowHeight="12.75" x14ac:dyDescent="0.2"/>
  <cols>
    <col min="1" max="1" width="1.7109375" style="107" customWidth="1"/>
    <col min="2" max="2" width="4.7109375" style="108" customWidth="1"/>
    <col min="3" max="3" width="22.140625" style="107" customWidth="1"/>
    <col min="4" max="4" width="12.5703125" style="108" bestFit="1" customWidth="1"/>
    <col min="5" max="5" width="16.7109375" style="108" customWidth="1"/>
    <col min="6" max="6" width="2.85546875" style="108" customWidth="1"/>
    <col min="7" max="8" width="6.42578125" style="108" customWidth="1"/>
    <col min="9" max="9" width="5.42578125" style="107" bestFit="1" customWidth="1"/>
    <col min="10" max="28" width="3.7109375" style="107" customWidth="1"/>
    <col min="29" max="29" width="3.85546875" style="107" bestFit="1" customWidth="1"/>
    <col min="30" max="33" width="3.85546875" style="107" customWidth="1"/>
    <col min="34" max="16384" width="9.140625" style="107"/>
  </cols>
  <sheetData>
    <row r="1" spans="1:42" x14ac:dyDescent="0.2">
      <c r="B1" s="107"/>
      <c r="D1" s="107"/>
      <c r="E1" s="107"/>
      <c r="F1" s="107"/>
      <c r="G1" s="107"/>
      <c r="H1" s="107"/>
    </row>
    <row r="2" spans="1:42" ht="12.75" customHeight="1" x14ac:dyDescent="0.2">
      <c r="B2" s="160" t="s">
        <v>393</v>
      </c>
      <c r="C2" s="160"/>
      <c r="D2" s="160"/>
      <c r="E2" s="160"/>
      <c r="F2" s="160"/>
      <c r="G2" s="160"/>
      <c r="H2" s="160"/>
      <c r="I2" s="160"/>
      <c r="J2" s="160"/>
      <c r="K2" s="160"/>
      <c r="L2" s="160"/>
      <c r="M2" s="160"/>
      <c r="N2" s="160"/>
      <c r="O2" s="160"/>
      <c r="P2" s="160"/>
      <c r="Q2" s="160"/>
      <c r="R2" s="160"/>
      <c r="S2" s="160"/>
      <c r="T2" s="160"/>
      <c r="U2" s="160"/>
      <c r="V2" s="160"/>
      <c r="W2" s="160"/>
      <c r="X2" s="160"/>
      <c r="Y2" s="160"/>
      <c r="Z2" s="160"/>
      <c r="AA2" s="160"/>
      <c r="AB2" s="160"/>
      <c r="AC2" s="160"/>
      <c r="AD2" s="160"/>
      <c r="AE2" s="160"/>
      <c r="AF2" s="160"/>
      <c r="AG2" s="160"/>
    </row>
    <row r="3" spans="1:42" ht="12.75" customHeight="1" x14ac:dyDescent="0.2">
      <c r="B3" s="160"/>
      <c r="C3" s="160"/>
      <c r="D3" s="160"/>
      <c r="E3" s="160"/>
      <c r="F3" s="160"/>
      <c r="G3" s="160"/>
      <c r="H3" s="160"/>
      <c r="I3" s="160"/>
      <c r="J3" s="160"/>
      <c r="K3" s="160"/>
      <c r="L3" s="160"/>
      <c r="M3" s="160"/>
      <c r="N3" s="160"/>
      <c r="O3" s="160"/>
      <c r="P3" s="160"/>
      <c r="Q3" s="160"/>
      <c r="R3" s="160"/>
      <c r="S3" s="160"/>
      <c r="T3" s="160"/>
      <c r="U3" s="160"/>
      <c r="V3" s="160"/>
      <c r="W3" s="160"/>
      <c r="X3" s="160"/>
      <c r="Y3" s="160"/>
      <c r="Z3" s="160"/>
      <c r="AA3" s="160"/>
      <c r="AB3" s="160"/>
      <c r="AC3" s="160"/>
      <c r="AD3" s="160"/>
      <c r="AE3" s="160"/>
      <c r="AF3" s="160"/>
      <c r="AG3" s="160"/>
    </row>
    <row r="4" spans="1:42" s="110" customFormat="1" ht="16.5" customHeight="1" x14ac:dyDescent="0.2">
      <c r="A4" s="107"/>
      <c r="B4" s="22"/>
      <c r="C4" s="12"/>
      <c r="D4" s="13"/>
      <c r="E4" s="13"/>
      <c r="F4" s="13"/>
      <c r="G4" s="22"/>
      <c r="H4" s="22"/>
      <c r="I4" s="13"/>
      <c r="J4" s="12"/>
      <c r="K4" s="12"/>
      <c r="L4" s="12"/>
      <c r="M4" s="13"/>
      <c r="N4" s="13"/>
      <c r="O4" s="12"/>
      <c r="P4" s="13"/>
      <c r="Q4" s="12"/>
      <c r="R4" s="12"/>
      <c r="S4" s="12"/>
      <c r="T4" s="12"/>
      <c r="U4" s="12"/>
      <c r="V4" s="12"/>
      <c r="W4" s="12"/>
      <c r="X4" s="12"/>
      <c r="Y4" s="12"/>
      <c r="Z4" s="14"/>
      <c r="AA4" s="12"/>
      <c r="AB4" s="12"/>
      <c r="AC4" s="12"/>
      <c r="AD4" s="20"/>
      <c r="AE4" s="20"/>
      <c r="AF4" s="20"/>
      <c r="AG4" s="20"/>
      <c r="AP4" s="111"/>
    </row>
    <row r="5" spans="1:42" s="110" customFormat="1" ht="17.25" customHeight="1" x14ac:dyDescent="0.2">
      <c r="A5" s="107"/>
      <c r="B5" s="161" t="s">
        <v>411</v>
      </c>
      <c r="C5" s="161"/>
      <c r="D5" s="161"/>
      <c r="E5" s="161"/>
      <c r="F5" s="161"/>
      <c r="G5" s="161"/>
      <c r="H5" s="161"/>
      <c r="I5" s="161"/>
      <c r="J5" s="161"/>
      <c r="K5" s="161"/>
      <c r="L5" s="161"/>
      <c r="M5" s="161"/>
      <c r="N5" s="161"/>
      <c r="O5" s="161"/>
      <c r="P5" s="161"/>
      <c r="Q5" s="161"/>
      <c r="R5" s="161"/>
      <c r="S5" s="161"/>
      <c r="T5" s="161"/>
      <c r="U5" s="161"/>
      <c r="V5" s="161"/>
      <c r="W5" s="161"/>
      <c r="X5" s="161"/>
      <c r="Y5" s="161"/>
      <c r="Z5" s="161"/>
      <c r="AA5" s="161"/>
      <c r="AB5" s="161"/>
      <c r="AC5" s="161"/>
      <c r="AD5" s="161"/>
      <c r="AE5" s="161"/>
      <c r="AF5" s="161"/>
      <c r="AG5" s="161"/>
    </row>
    <row r="6" spans="1:42" x14ac:dyDescent="0.2">
      <c r="B6" s="158" t="s">
        <v>244</v>
      </c>
      <c r="C6" s="158" t="s">
        <v>29</v>
      </c>
      <c r="D6" s="158" t="s">
        <v>16</v>
      </c>
      <c r="E6" s="158" t="s">
        <v>17</v>
      </c>
      <c r="F6" s="158" t="s">
        <v>245</v>
      </c>
      <c r="G6" s="158" t="s">
        <v>246</v>
      </c>
      <c r="H6" s="158" t="s">
        <v>357</v>
      </c>
      <c r="I6" s="158" t="s">
        <v>253</v>
      </c>
      <c r="J6" s="159" t="s">
        <v>232</v>
      </c>
      <c r="K6" s="159"/>
      <c r="L6" s="159"/>
      <c r="M6" s="159"/>
      <c r="N6" s="159"/>
      <c r="O6" s="159"/>
      <c r="P6" s="159"/>
      <c r="Q6" s="159"/>
      <c r="R6" s="159"/>
      <c r="S6" s="159"/>
      <c r="T6" s="159"/>
      <c r="U6" s="159"/>
      <c r="V6" s="159"/>
      <c r="W6" s="159"/>
      <c r="X6" s="159"/>
      <c r="Y6" s="159"/>
      <c r="Z6" s="159"/>
      <c r="AA6" s="159"/>
      <c r="AB6" s="159"/>
      <c r="AC6" s="159"/>
      <c r="AD6" s="159"/>
      <c r="AE6" s="159"/>
      <c r="AF6" s="159"/>
      <c r="AG6" s="159"/>
      <c r="AJ6" s="110"/>
    </row>
    <row r="7" spans="1:42" x14ac:dyDescent="0.2">
      <c r="B7" s="158"/>
      <c r="C7" s="158"/>
      <c r="D7" s="158"/>
      <c r="E7" s="158"/>
      <c r="F7" s="158"/>
      <c r="G7" s="158"/>
      <c r="H7" s="158"/>
      <c r="I7" s="158"/>
      <c r="J7" s="120">
        <v>1</v>
      </c>
      <c r="K7" s="131">
        <v>2</v>
      </c>
      <c r="L7" s="120">
        <v>3</v>
      </c>
      <c r="M7" s="120">
        <v>4</v>
      </c>
      <c r="N7" s="120">
        <v>5</v>
      </c>
      <c r="O7" s="131">
        <v>6</v>
      </c>
      <c r="P7" s="131">
        <v>7</v>
      </c>
      <c r="Q7" s="120">
        <v>8</v>
      </c>
      <c r="R7" s="120">
        <v>9</v>
      </c>
      <c r="S7" s="120">
        <v>10</v>
      </c>
      <c r="T7" s="131">
        <v>11</v>
      </c>
      <c r="U7" s="120">
        <v>12</v>
      </c>
      <c r="V7" s="120">
        <v>13</v>
      </c>
      <c r="W7" s="131">
        <v>14</v>
      </c>
      <c r="X7" s="120">
        <v>15</v>
      </c>
      <c r="Y7" s="120">
        <v>16</v>
      </c>
      <c r="Z7" s="120">
        <v>17</v>
      </c>
      <c r="AA7" s="131">
        <v>18</v>
      </c>
      <c r="AB7" s="120">
        <v>19</v>
      </c>
      <c r="AC7" s="120">
        <v>20</v>
      </c>
      <c r="AD7" s="120">
        <v>21</v>
      </c>
      <c r="AE7" s="120">
        <v>22</v>
      </c>
      <c r="AF7" s="120">
        <v>23</v>
      </c>
      <c r="AG7" s="120">
        <v>24</v>
      </c>
    </row>
    <row r="8" spans="1:42" x14ac:dyDescent="0.2">
      <c r="B8" s="127">
        <f>IF('Equipes e Pilotos'!B3&lt;&gt;"",'Equipes e Pilotos'!B3,"")</f>
        <v>1</v>
      </c>
      <c r="C8" s="122" t="str">
        <f>VLOOKUP(B8,'Dummy Table'!$A$3:$B$30,2,FALSE)</f>
        <v>Kimi Antonelli</v>
      </c>
      <c r="D8" s="123" t="str">
        <f>VLOOKUP(B8,'Dummy Table'!$A$3:$C$30,3,FALSE)</f>
        <v>Itália</v>
      </c>
      <c r="E8" s="123" t="str">
        <f>VLOOKUP(B8,'Dummy Table'!$A$3:$D$30,4,FALSE)</f>
        <v>Mercedes</v>
      </c>
      <c r="F8" s="124" t="str">
        <f>IF(C8&lt;&gt;"",IF(G8+Resultados!$K$35&gt;$G$8,"J","L"),"")</f>
        <v>J</v>
      </c>
      <c r="G8" s="125">
        <f>VLOOKUP(B8,'Dummy Table'!$A$3:$E$30,5,FALSE)</f>
        <v>340</v>
      </c>
      <c r="H8" s="123"/>
      <c r="I8" s="126">
        <f>IF(B8="","",SUMIF(Resultados!$M$3:$M$30,C8,Resultados!$O$3:$O$30))</f>
        <v>8</v>
      </c>
      <c r="J8" s="121">
        <f>IF(C8&lt;&gt;"",SUMIF(Resultados!$C$4:$C$29,'Temporada 2026'!C8,Resultados!$F$4:$F$29),"")</f>
        <v>18</v>
      </c>
      <c r="K8" s="121">
        <f>IF(C8&lt;&gt;"",SUMIF(Resultados!$C$33:$C$82,'Temporada 2026'!C8,Resultados!$F$33:$F$82),"")</f>
        <v>29</v>
      </c>
      <c r="L8" s="121">
        <f>IF(C8&lt;&gt;"",SUMIF(Resultados!$C$85:$C$110,'Temporada 2026'!C8,Resultados!$F$85:$F$110),"")</f>
        <v>25</v>
      </c>
      <c r="M8" s="121">
        <f>IF(C8&lt;&gt;"",SUMIF(Resultados!$C$113:$C$138,'Temporada 2026'!C8,Resultados!$F$113:$F$138),"")</f>
        <v>18</v>
      </c>
      <c r="N8" s="121">
        <f>IF(C8&lt;&gt;"",SUMIF(Resultados!$C$141:$C$166,'Temporada 2026'!C8,Resultados!$F$141:$F$166),"")</f>
        <v>0</v>
      </c>
      <c r="O8" s="121">
        <f>IF(C8&lt;&gt;"",SUMIF(Resultados!$C$170:$C$219,'Temporada 2026'!C8,Resultados!$F$170:$F$219),"")</f>
        <v>28</v>
      </c>
      <c r="P8" s="121">
        <f>IF(C8&lt;&gt;"",SUMIF(Resultados!$C$223:$C$268,'Temporada 2026'!C8,Resultados!$F$223:$F$268),"")</f>
        <v>31</v>
      </c>
      <c r="Q8" s="121">
        <f>IF(C8&lt;&gt;"",SUMIF(Resultados!$C$275:$C$300,'Temporada 2026'!C8,Resultados!$F$275:$F$300),"")</f>
        <v>25</v>
      </c>
      <c r="R8" s="121">
        <f>IF(C8&lt;&gt;"",SUMIF(Resultados!$C$303:$C$328,'Temporada 2026'!C8,Resultados!$F$303:$F$328),"")</f>
        <v>0</v>
      </c>
      <c r="S8" s="121">
        <f>IF(C8&lt;&gt;"",SUMIF(Resultados!$C$331:$C$356,'Temporada 2026'!C8,Resultados!$F$331:$F$356),"")</f>
        <v>15</v>
      </c>
      <c r="T8" s="121">
        <f>IF(C8&lt;&gt;"",SUMIF(Resultados!$C$360:$C$409,'Temporada 2026'!C8,Resultados!$F$360:$F$409),"")</f>
        <v>8</v>
      </c>
      <c r="U8" s="121">
        <f>IF(C8&lt;&gt;"",SUMIF(Resultados!$C$412:$C$437,'Temporada 2026'!C8,Resultados!$F$412:$F$437),"")</f>
        <v>25</v>
      </c>
      <c r="V8" s="121">
        <f>IF(C8&lt;&gt;"",SUMIF(Resultados!$C$440:$C$465,'Temporada 2026'!C8,Resultados!$F$440:$F$465),"")</f>
        <v>15</v>
      </c>
      <c r="W8" s="121">
        <f>IF(C8&lt;&gt;"",SUMIF(Resultados!$C$469:$C$518,'Temporada 2026'!C8,Resultados!$F$469:$F$518),"")</f>
        <v>23</v>
      </c>
      <c r="X8" s="121">
        <f>IF(C8&lt;&gt;"",SUMIF(Resultados!$C$521:$C$546,'Temporada 2026'!C8,Resultados!$F$521:$F$546),"")</f>
        <v>25</v>
      </c>
      <c r="Y8" s="121">
        <f>IF(C8&lt;&gt;"",SUMIF(Resultados!$C$549:$C$574,'Temporada 2026'!C8,Resultados!$F$549:$F$574),"")</f>
        <v>25</v>
      </c>
      <c r="Z8" s="121">
        <f>IF(C8&lt;&gt;"",SUMIF(Resultados!$C$577:$C$602,'Temporada 2026'!C8,Resultados!$F$577:$F$602),"")</f>
        <v>10</v>
      </c>
      <c r="AA8" s="121">
        <f>IF(C8&lt;&gt;"",SUMIF(Resultados!$C$606:$C$655,'Temporada 2026'!C8,Resultados!$F$606:$F$655),"")</f>
        <v>20</v>
      </c>
      <c r="AB8" s="121">
        <f>IF(C8&lt;&gt;"",SUMIF(Resultados!$C$658:$C$683,'Temporada 2026'!C8,Resultados!$F$658:$F$683),"")</f>
        <v>0</v>
      </c>
      <c r="AC8" s="121">
        <f>IF(C8&lt;&gt;"",SUMIF(Resultados!$C$686:$C$711,'Temporada 2026'!C8,Resultados!$F$686:$F$711),"")</f>
        <v>0</v>
      </c>
      <c r="AD8" s="121">
        <f>IF(C8&lt;&gt;"",SUMIF(Resultados!$C$714:$C$739,'Temporada 2026'!C8,Resultados!$F$714:$F$739),"")</f>
        <v>0</v>
      </c>
      <c r="AE8" s="121">
        <f>IF(C8&lt;&gt;"",SUMIF(Resultados!$C$742:$C$767,'Temporada 2026'!C8,Resultados!$F$742:$F$767),"")</f>
        <v>0</v>
      </c>
      <c r="AF8" s="121">
        <f>IF(C8&lt;&gt;"",SUMIF(Resultados!$C$770:$C$795,'Temporada 2026'!C8,Resultados!$F$770:$F$795),"")</f>
        <v>0</v>
      </c>
      <c r="AG8" s="121">
        <f>IF(C8&lt;&gt;"",SUMIF(Resultados!$C$798:$C$823,'Temporada 2026'!C8,Resultados!$F$798:$F$823),"")</f>
        <v>0</v>
      </c>
    </row>
    <row r="9" spans="1:42" x14ac:dyDescent="0.2">
      <c r="B9" s="128">
        <f>IF('Equipes e Pilotos'!B4&lt;&gt;"",'Equipes e Pilotos'!B4,"")</f>
        <v>2</v>
      </c>
      <c r="C9" s="122" t="str">
        <f>VLOOKUP(B9,'Dummy Table'!$A$3:$B$30,2,FALSE)</f>
        <v>George Russell</v>
      </c>
      <c r="D9" s="123" t="str">
        <f>VLOOKUP(B9,'Dummy Table'!$A$3:$C$30,3,FALSE)</f>
        <v>Inglaterra</v>
      </c>
      <c r="E9" s="123" t="str">
        <f>VLOOKUP(B9,'Dummy Table'!$A$3:$D$30,4,FALSE)</f>
        <v>Mercedes</v>
      </c>
      <c r="F9" s="124" t="str">
        <f>IF(C9&lt;&gt;"",IF(G9+Resultados!$K$35&gt;$G$8,"J","L"),"")</f>
        <v>J</v>
      </c>
      <c r="G9" s="125">
        <f>VLOOKUP(B9,'Dummy Table'!$A$3:$E$30,5,FALSE)</f>
        <v>238</v>
      </c>
      <c r="H9" s="123">
        <f>IF(C9&lt;&gt;"",G9-G$8,"")</f>
        <v>-102</v>
      </c>
      <c r="I9" s="126">
        <f>IF(B9="","",SUMIF(Resultados!$M$3:$M$30,C9,Resultados!$O$3:$O$30))</f>
        <v>3</v>
      </c>
      <c r="J9" s="121">
        <f>IF(C9&lt;&gt;"",SUMIF(Resultados!$C$4:$C$29,'Temporada 2026'!C9,Resultados!$F$4:$F$29),"")</f>
        <v>25</v>
      </c>
      <c r="K9" s="121">
        <f>IF(C9&lt;&gt;"",SUMIF(Resultados!$C$33:$C$82,'Temporada 2026'!C9,Resultados!$F$33:$F$82),"")</f>
        <v>26</v>
      </c>
      <c r="L9" s="121">
        <f>IF(C9&lt;&gt;"",SUMIF(Resultados!$C$85:$C$110,'Temporada 2026'!C9,Resultados!$F$85:$F$110),"")</f>
        <v>12</v>
      </c>
      <c r="M9" s="121">
        <f>IF(C9&lt;&gt;"",SUMIF(Resultados!$C$113:$C$138,'Temporada 2026'!C9,Resultados!$F$113:$F$138),"")</f>
        <v>0</v>
      </c>
      <c r="N9" s="121">
        <f>IF(C9&lt;&gt;"",SUMIF(Resultados!$C$141:$C$166,'Temporada 2026'!C9,Resultados!$F$141:$F$166),"")</f>
        <v>0</v>
      </c>
      <c r="O9" s="121">
        <f>IF(C9&lt;&gt;"",SUMIF(Resultados!$C$170:$C$219,'Temporada 2026'!C9,Resultados!$F$170:$F$219),"")</f>
        <v>17</v>
      </c>
      <c r="P9" s="121">
        <f>IF(C9&lt;&gt;"",SUMIF(Resultados!$C$223:$C$268,'Temporada 2026'!C9,Resultados!$F$223:$F$268),"")</f>
        <v>8</v>
      </c>
      <c r="Q9" s="121">
        <f>IF(C9&lt;&gt;"",SUMIF(Resultados!$C$275:$C$300,'Temporada 2026'!C9,Resultados!$F$275:$F$300),"")</f>
        <v>0</v>
      </c>
      <c r="R9" s="121">
        <f>IF(C9&lt;&gt;"",SUMIF(Resultados!$C$303:$C$328,'Temporada 2026'!C9,Resultados!$F$303:$F$328),"")</f>
        <v>18</v>
      </c>
      <c r="S9" s="121">
        <f>IF(C9&lt;&gt;"",SUMIF(Resultados!$C$331:$C$356,'Temporada 2026'!C9,Resultados!$F$331:$F$356),"")</f>
        <v>25</v>
      </c>
      <c r="T9" s="121">
        <f>IF(C9&lt;&gt;"",SUMIF(Resultados!$C$360:$C$409,'Temporada 2026'!C9,Resultados!$F$360:$F$409),"")</f>
        <v>23</v>
      </c>
      <c r="U9" s="121">
        <f>IF(C9&lt;&gt;"",SUMIF(Resultados!$C$412:$C$437,'Temporada 2026'!C9,Resultados!$F$412:$F$437),"")</f>
        <v>0</v>
      </c>
      <c r="V9" s="121">
        <f>IF(C9&lt;&gt;"",SUMIF(Resultados!$C$440:$C$465,'Temporada 2026'!C9,Resultados!$F$440:$F$465),"")</f>
        <v>6</v>
      </c>
      <c r="W9" s="121">
        <f>IF(C9&lt;&gt;"",SUMIF(Resultados!$C$469:$C$518,'Temporada 2026'!C9,Resultados!$F$469:$F$518),"")</f>
        <v>23</v>
      </c>
      <c r="X9" s="121">
        <f>IF(C9&lt;&gt;"",SUMIF(Resultados!$C$521:$C$546,'Temporada 2026'!C9,Resultados!$F$521:$F$546),"")</f>
        <v>18</v>
      </c>
      <c r="Y9" s="121">
        <f>IF(C9&lt;&gt;"",SUMIF(Resultados!$C$549:$C$574,'Temporada 2026'!C9,Resultados!$F$549:$F$574),"")</f>
        <v>10</v>
      </c>
      <c r="Z9" s="121">
        <f>IF(C9&lt;&gt;"",SUMIF(Resultados!$C$577:$C$602,'Temporada 2026'!C9,Resultados!$F$577:$F$602),"")</f>
        <v>25</v>
      </c>
      <c r="AA9" s="121">
        <f>IF(C9&lt;&gt;"",SUMIF(Resultados!$C$606:$C$655,'Temporada 2026'!C9,Resultados!$F$606:$F$655),"")</f>
        <v>2</v>
      </c>
      <c r="AB9" s="121">
        <f>IF(C9&lt;&gt;"",SUMIF(Resultados!$C$658:$C$683,'Temporada 2026'!C9,Resultados!$F$658:$F$683),"")</f>
        <v>0</v>
      </c>
      <c r="AC9" s="121">
        <f>IF(C9&lt;&gt;"",SUMIF(Resultados!$C$686:$C$711,'Temporada 2026'!C9,Resultados!$F$686:$F$711),"")</f>
        <v>0</v>
      </c>
      <c r="AD9" s="121">
        <f>IF(C9&lt;&gt;"",SUMIF(Resultados!$C$714:$C$739,'Temporada 2026'!C9,Resultados!$F$714:$F$739),"")</f>
        <v>0</v>
      </c>
      <c r="AE9" s="121">
        <f>IF(C9&lt;&gt;"",SUMIF(Resultados!$C$742:$C$767,'Temporada 2026'!C9,Resultados!$F$742:$F$767),"")</f>
        <v>0</v>
      </c>
      <c r="AF9" s="121">
        <f>IF(C9&lt;&gt;"",SUMIF(Resultados!$C$770:$C$795,'Temporada 2026'!C9,Resultados!$F$770:$F$795),"")</f>
        <v>0</v>
      </c>
      <c r="AG9" s="121">
        <f>IF(C9&lt;&gt;"",SUMIF(Resultados!$C$798:$C$823,'Temporada 2026'!C9,Resultados!$F$798:$F$823),"")</f>
        <v>0</v>
      </c>
    </row>
    <row r="10" spans="1:42" x14ac:dyDescent="0.2">
      <c r="B10" s="128">
        <f>IF('Equipes e Pilotos'!B5&lt;&gt;"",'Equipes e Pilotos'!B5,"")</f>
        <v>3</v>
      </c>
      <c r="C10" s="122" t="str">
        <f>VLOOKUP(B10,'Dummy Table'!$A$3:$B$30,2,FALSE)</f>
        <v>Lewis Hamilton</v>
      </c>
      <c r="D10" s="123" t="str">
        <f>VLOOKUP(B10,'Dummy Table'!$A$3:$C$30,3,FALSE)</f>
        <v>Inglaterra</v>
      </c>
      <c r="E10" s="123" t="str">
        <f>VLOOKUP(B10,'Dummy Table'!$A$3:$D$30,4,FALSE)</f>
        <v>Ferrari</v>
      </c>
      <c r="F10" s="124" t="str">
        <f>IF(C10&lt;&gt;"",IF(G10+Resultados!$K$35&gt;$G$8,"J","L"),"")</f>
        <v>J</v>
      </c>
      <c r="G10" s="125">
        <f>VLOOKUP(B10,'Dummy Table'!$A$3:$E$30,5,FALSE)</f>
        <v>229</v>
      </c>
      <c r="H10" s="123">
        <f t="shared" ref="H10:H31" si="0">IF(C10&lt;&gt;"",G10-G$8,"")</f>
        <v>-111</v>
      </c>
      <c r="I10" s="126">
        <f>IF(B10="","",SUMIF(Resultados!$M$3:$M$30,C10,Resultados!$O$3:$O$30))</f>
        <v>1</v>
      </c>
      <c r="J10" s="121">
        <f>IF(C10&lt;&gt;"",SUMIF(Resultados!$C$4:$C$29,'Temporada 2026'!C10,Resultados!$F$4:$F$29),"")</f>
        <v>12</v>
      </c>
      <c r="K10" s="121">
        <f>IF(C10&lt;&gt;"",SUMIF(Resultados!$C$33:$C$82,'Temporada 2026'!C10,Resultados!$F$33:$F$82),"")</f>
        <v>21</v>
      </c>
      <c r="L10" s="121">
        <f>IF(C10&lt;&gt;"",SUMIF(Resultados!$C$85:$C$110,'Temporada 2026'!C10,Resultados!$F$85:$F$110),"")</f>
        <v>8</v>
      </c>
      <c r="M10" s="121">
        <f>IF(C10&lt;&gt;"",SUMIF(Resultados!$C$113:$C$138,'Temporada 2026'!C10,Resultados!$F$113:$F$138),"")</f>
        <v>15</v>
      </c>
      <c r="N10" s="121">
        <f>IF(C10&lt;&gt;"",SUMIF(Resultados!$C$141:$C$166,'Temporada 2026'!C10,Resultados!$F$141:$F$166),"")</f>
        <v>0</v>
      </c>
      <c r="O10" s="121">
        <f>IF(C10&lt;&gt;"",SUMIF(Resultados!$C$170:$C$219,'Temporada 2026'!C10,Resultados!$F$170:$F$219),"")</f>
        <v>10</v>
      </c>
      <c r="P10" s="121">
        <f>IF(C10&lt;&gt;"",SUMIF(Resultados!$C$223:$C$268,'Temporada 2026'!C10,Resultados!$F$223:$F$268),"")</f>
        <v>21</v>
      </c>
      <c r="Q10" s="121">
        <f>IF(C10&lt;&gt;"",SUMIF(Resultados!$C$275:$C$300,'Temporada 2026'!C10,Resultados!$F$275:$F$300),"")</f>
        <v>18</v>
      </c>
      <c r="R10" s="121">
        <f>IF(C10&lt;&gt;"",SUMIF(Resultados!$C$303:$C$328,'Temporada 2026'!C10,Resultados!$F$303:$F$328),"")</f>
        <v>25</v>
      </c>
      <c r="S10" s="121">
        <f>IF(C10&lt;&gt;"",SUMIF(Resultados!$C$331:$C$356,'Temporada 2026'!C10,Resultados!$F$331:$F$356),"")</f>
        <v>10</v>
      </c>
      <c r="T10" s="121">
        <f>IF(C10&lt;&gt;"",SUMIF(Resultados!$C$360:$C$409,'Temporada 2026'!C10,Resultados!$F$360:$F$409),"")</f>
        <v>22</v>
      </c>
      <c r="U10" s="121">
        <f>IF(C10&lt;&gt;"",SUMIF(Resultados!$C$412:$C$437,'Temporada 2026'!C10,Resultados!$F$412:$F$437),"")</f>
        <v>12</v>
      </c>
      <c r="V10" s="121">
        <f>IF(C10&lt;&gt;"",SUMIF(Resultados!$C$440:$C$465,'Temporada 2026'!C10,Resultados!$F$440:$F$465),"")</f>
        <v>10</v>
      </c>
      <c r="W10" s="121">
        <f>IF(C10&lt;&gt;"",SUMIF(Resultados!$C$469:$C$518,'Temporada 2026'!C10,Resultados!$F$469:$F$518),"")</f>
        <v>14</v>
      </c>
      <c r="X10" s="121">
        <f>IF(C10&lt;&gt;"",SUMIF(Resultados!$C$521:$C$546,'Temporada 2026'!C10,Resultados!$F$521:$F$546),"")</f>
        <v>8</v>
      </c>
      <c r="Y10" s="121">
        <f>IF(C10&lt;&gt;"",SUMIF(Resultados!$C$549:$C$574,'Temporada 2026'!C10,Resultados!$F$549:$F$574),"")</f>
        <v>0</v>
      </c>
      <c r="Z10" s="121">
        <f>IF(C10&lt;&gt;"",SUMIF(Resultados!$C$577:$C$602,'Temporada 2026'!C10,Resultados!$F$577:$F$602),"")</f>
        <v>8</v>
      </c>
      <c r="AA10" s="121">
        <f>IF(C10&lt;&gt;"",SUMIF(Resultados!$C$606:$C$655,'Temporada 2026'!C10,Resultados!$F$606:$F$655),"")</f>
        <v>15</v>
      </c>
      <c r="AB10" s="121">
        <f>IF(C10&lt;&gt;"",SUMIF(Resultados!$C$658:$C$683,'Temporada 2026'!C10,Resultados!$F$658:$F$683),"")</f>
        <v>0</v>
      </c>
      <c r="AC10" s="121">
        <f>IF(C10&lt;&gt;"",SUMIF(Resultados!$C$686:$C$711,'Temporada 2026'!C10,Resultados!$F$686:$F$711),"")</f>
        <v>0</v>
      </c>
      <c r="AD10" s="121">
        <f>IF(C10&lt;&gt;"",SUMIF(Resultados!$C$714:$C$739,'Temporada 2026'!C10,Resultados!$F$714:$F$739),"")</f>
        <v>0</v>
      </c>
      <c r="AE10" s="121">
        <f>IF(C10&lt;&gt;"",SUMIF(Resultados!$C$742:$C$767,'Temporada 2026'!C10,Resultados!$F$742:$F$767),"")</f>
        <v>0</v>
      </c>
      <c r="AF10" s="121">
        <f>IF(C10&lt;&gt;"",SUMIF(Resultados!$C$770:$C$795,'Temporada 2026'!C10,Resultados!$F$770:$F$795),"")</f>
        <v>0</v>
      </c>
      <c r="AG10" s="121">
        <f>IF(C10&lt;&gt;"",SUMIF(Resultados!$C$798:$C$823,'Temporada 2026'!C10,Resultados!$F$798:$F$823),"")</f>
        <v>0</v>
      </c>
    </row>
    <row r="11" spans="1:42" x14ac:dyDescent="0.2">
      <c r="B11" s="128">
        <f>IF('Equipes e Pilotos'!B6&lt;&gt;"",'Equipes e Pilotos'!B6,"")</f>
        <v>4</v>
      </c>
      <c r="C11" s="122" t="str">
        <f>VLOOKUP(B11,'Dummy Table'!$A$3:$B$30,2,FALSE)</f>
        <v>Max Verstappen</v>
      </c>
      <c r="D11" s="123" t="str">
        <f>VLOOKUP(B11,'Dummy Table'!$A$3:$C$30,3,FALSE)</f>
        <v>Holanda</v>
      </c>
      <c r="E11" s="123" t="str">
        <f>VLOOKUP(B11,'Dummy Table'!$A$3:$D$30,4,FALSE)</f>
        <v>Red Bull</v>
      </c>
      <c r="F11" s="124" t="str">
        <f>IF(C11&lt;&gt;"",IF(G11+Resultados!$K$35&gt;$G$8,"J","L"),"")</f>
        <v>J</v>
      </c>
      <c r="G11" s="125">
        <f>VLOOKUP(B11,'Dummy Table'!$A$3:$E$30,5,FALSE)</f>
        <v>221</v>
      </c>
      <c r="H11" s="123">
        <f t="shared" si="0"/>
        <v>-119</v>
      </c>
      <c r="I11" s="126">
        <f>IF(B11="","",SUMIF(Resultados!$M$3:$M$30,C11,Resultados!$O$3:$O$30))</f>
        <v>2</v>
      </c>
      <c r="J11" s="121">
        <f>IF(C11&lt;&gt;"",SUMIF(Resultados!$C$4:$C$29,'Temporada 2026'!C11,Resultados!$F$4:$F$29),"")</f>
        <v>8</v>
      </c>
      <c r="K11" s="121">
        <f>IF(C11&lt;&gt;"",SUMIF(Resultados!$C$33:$C$82,'Temporada 2026'!C11,Resultados!$F$33:$F$82),"")</f>
        <v>0</v>
      </c>
      <c r="L11" s="121">
        <f>IF(C11&lt;&gt;"",SUMIF(Resultados!$C$85:$C$110,'Temporada 2026'!C11,Resultados!$F$85:$F$110),"")</f>
        <v>4</v>
      </c>
      <c r="M11" s="121">
        <f>IF(C11&lt;&gt;"",SUMIF(Resultados!$C$113:$C$138,'Temporada 2026'!C11,Resultados!$F$113:$F$138),"")</f>
        <v>25</v>
      </c>
      <c r="N11" s="121">
        <f>IF(C11&lt;&gt;"",SUMIF(Resultados!$C$141:$C$166,'Temporada 2026'!C11,Resultados!$F$141:$F$166),"")</f>
        <v>0</v>
      </c>
      <c r="O11" s="121">
        <f>IF(C11&lt;&gt;"",SUMIF(Resultados!$C$170:$C$219,'Temporada 2026'!C11,Resultados!$F$170:$F$219),"")</f>
        <v>14</v>
      </c>
      <c r="P11" s="121">
        <f>IF(C11&lt;&gt;"",SUMIF(Resultados!$C$223:$C$268,'Temporada 2026'!C11,Resultados!$F$223:$F$268),"")</f>
        <v>17</v>
      </c>
      <c r="Q11" s="121">
        <f>IF(C11&lt;&gt;"",SUMIF(Resultados!$C$275:$C$300,'Temporada 2026'!C11,Resultados!$F$275:$F$300),"")</f>
        <v>0</v>
      </c>
      <c r="R11" s="121">
        <f>IF(C11&lt;&gt;"",SUMIF(Resultados!$C$303:$C$328,'Temporada 2026'!C11,Resultados!$F$303:$F$328),"")</f>
        <v>12</v>
      </c>
      <c r="S11" s="121">
        <f>IF(C11&lt;&gt;"",SUMIF(Resultados!$C$331:$C$356,'Temporada 2026'!C11,Resultados!$F$331:$F$356),"")</f>
        <v>18</v>
      </c>
      <c r="T11" s="121">
        <f>IF(C11&lt;&gt;"",SUMIF(Resultados!$C$360:$C$409,'Temporada 2026'!C11,Resultados!$F$360:$F$409),"")</f>
        <v>3</v>
      </c>
      <c r="U11" s="121">
        <f>IF(C11&lt;&gt;"",SUMIF(Resultados!$C$412:$C$437,'Temporada 2026'!C11,Resultados!$F$412:$F$437),"")</f>
        <v>15</v>
      </c>
      <c r="V11" s="121">
        <f>IF(C11&lt;&gt;"",SUMIF(Resultados!$C$440:$C$465,'Temporada 2026'!C11,Resultados!$F$440:$F$465),"")</f>
        <v>18</v>
      </c>
      <c r="W11" s="121">
        <f>IF(C11&lt;&gt;"",SUMIF(Resultados!$C$469:$C$518,'Temporada 2026'!C11,Resultados!$F$469:$F$518),"")</f>
        <v>3</v>
      </c>
      <c r="X11" s="121">
        <f>IF(C11&lt;&gt;"",SUMIF(Resultados!$C$521:$C$546,'Temporada 2026'!C11,Resultados!$F$521:$F$546),"")</f>
        <v>15</v>
      </c>
      <c r="Y11" s="121">
        <f>IF(C11&lt;&gt;"",SUMIF(Resultados!$C$549:$C$574,'Temporada 2026'!C11,Resultados!$F$549:$F$574),"")</f>
        <v>18</v>
      </c>
      <c r="Z11" s="121">
        <f>IF(C11&lt;&gt;"",SUMIF(Resultados!$C$577:$C$602,'Temporada 2026'!C11,Resultados!$F$577:$F$602),"")</f>
        <v>18</v>
      </c>
      <c r="AA11" s="121">
        <f>IF(C11&lt;&gt;"",SUMIF(Resultados!$C$606:$C$655,'Temporada 2026'!C11,Resultados!$F$606:$F$655),"")</f>
        <v>33</v>
      </c>
      <c r="AB11" s="121">
        <f>IF(C11&lt;&gt;"",SUMIF(Resultados!$C$658:$C$683,'Temporada 2026'!C11,Resultados!$F$658:$F$683),"")</f>
        <v>0</v>
      </c>
      <c r="AC11" s="121">
        <f>IF(C11&lt;&gt;"",SUMIF(Resultados!$C$686:$C$711,'Temporada 2026'!C11,Resultados!$F$686:$F$711),"")</f>
        <v>0</v>
      </c>
      <c r="AD11" s="121">
        <f>IF(C11&lt;&gt;"",SUMIF(Resultados!$C$714:$C$739,'Temporada 2026'!C11,Resultados!$F$714:$F$739),"")</f>
        <v>0</v>
      </c>
      <c r="AE11" s="121">
        <f>IF(C11&lt;&gt;"",SUMIF(Resultados!$C$742:$C$767,'Temporada 2026'!C11,Resultados!$F$742:$F$767),"")</f>
        <v>0</v>
      </c>
      <c r="AF11" s="121">
        <f>IF(C11&lt;&gt;"",SUMIF(Resultados!$C$770:$C$795,'Temporada 2026'!C11,Resultados!$F$770:$F$795),"")</f>
        <v>0</v>
      </c>
      <c r="AG11" s="121">
        <f>IF(C11&lt;&gt;"",SUMIF(Resultados!$C$798:$C$823,'Temporada 2026'!C11,Resultados!$F$798:$F$823),"")</f>
        <v>0</v>
      </c>
    </row>
    <row r="12" spans="1:42" x14ac:dyDescent="0.2">
      <c r="B12" s="128">
        <f>IF('Equipes e Pilotos'!B7&lt;&gt;"",'Equipes e Pilotos'!B7,"")</f>
        <v>5</v>
      </c>
      <c r="C12" s="122" t="str">
        <f>VLOOKUP(B12,'Dummy Table'!$A$3:$B$30,2,FALSE)</f>
        <v>Charles Leclerc</v>
      </c>
      <c r="D12" s="123" t="str">
        <f>VLOOKUP(B12,'Dummy Table'!$A$3:$C$30,3,FALSE)</f>
        <v>Mônaco</v>
      </c>
      <c r="E12" s="123" t="str">
        <f>VLOOKUP(B12,'Dummy Table'!$A$3:$D$30,4,FALSE)</f>
        <v>Ferrari</v>
      </c>
      <c r="F12" s="124" t="str">
        <f>IF(C12&lt;&gt;"",IF(G12+Resultados!$K$35&gt;$G$8,"J","L"),"")</f>
        <v>J</v>
      </c>
      <c r="G12" s="125">
        <f>VLOOKUP(B12,'Dummy Table'!$A$3:$E$30,5,FALSE)</f>
        <v>215</v>
      </c>
      <c r="H12" s="123">
        <f t="shared" si="0"/>
        <v>-125</v>
      </c>
      <c r="I12" s="126">
        <f>IF(B12="","",SUMIF(Resultados!$M$3:$M$30,C12,Resultados!$O$3:$O$30))</f>
        <v>1</v>
      </c>
      <c r="J12" s="121">
        <f>IF(C12&lt;&gt;"",SUMIF(Resultados!$C$4:$C$29,'Temporada 2026'!C12,Resultados!$F$4:$F$29),"")</f>
        <v>15</v>
      </c>
      <c r="K12" s="121">
        <f>IF(C12&lt;&gt;"",SUMIF(Resultados!$C$33:$C$82,'Temporada 2026'!C12,Resultados!$F$33:$F$82),"")</f>
        <v>19</v>
      </c>
      <c r="L12" s="121">
        <f>IF(C12&lt;&gt;"",SUMIF(Resultados!$C$85:$C$110,'Temporada 2026'!C12,Resultados!$F$85:$F$110),"")</f>
        <v>15</v>
      </c>
      <c r="M12" s="121">
        <f>IF(C12&lt;&gt;"",SUMIF(Resultados!$C$113:$C$138,'Temporada 2026'!C12,Resultados!$F$113:$F$138),"")</f>
        <v>12</v>
      </c>
      <c r="N12" s="121">
        <f>IF(C12&lt;&gt;"",SUMIF(Resultados!$C$141:$C$166,'Temporada 2026'!C12,Resultados!$F$141:$F$166),"")</f>
        <v>0</v>
      </c>
      <c r="O12" s="121">
        <f>IF(C12&lt;&gt;"",SUMIF(Resultados!$C$170:$C$219,'Temporada 2026'!C12,Resultados!$F$170:$F$219),"")</f>
        <v>10</v>
      </c>
      <c r="P12" s="121">
        <f>IF(C12&lt;&gt;"",SUMIF(Resultados!$C$223:$C$268,'Temporada 2026'!C12,Resultados!$F$223:$F$268),"")</f>
        <v>16</v>
      </c>
      <c r="Q12" s="121">
        <f>IF(C12&lt;&gt;"",SUMIF(Resultados!$C$275:$C$300,'Temporada 2026'!C12,Resultados!$F$275:$F$300),"")</f>
        <v>0</v>
      </c>
      <c r="R12" s="121">
        <f>IF(C12&lt;&gt;"",SUMIF(Resultados!$C$303:$C$328,'Temporada 2026'!C12,Resultados!$F$303:$F$328),"")</f>
        <v>0</v>
      </c>
      <c r="S12" s="121">
        <f>IF(C12&lt;&gt;"",SUMIF(Resultados!$C$331:$C$356,'Temporada 2026'!C12,Resultados!$F$331:$F$356),"")</f>
        <v>4</v>
      </c>
      <c r="T12" s="121">
        <f>IF(C12&lt;&gt;"",SUMIF(Resultados!$C$360:$C$409,'Temporada 2026'!C12,Resultados!$F$360:$F$409),"")</f>
        <v>29</v>
      </c>
      <c r="U12" s="121">
        <f>IF(C12&lt;&gt;"",SUMIF(Resultados!$C$412:$C$437,'Temporada 2026'!C12,Resultados!$F$412:$F$437),"")</f>
        <v>18</v>
      </c>
      <c r="V12" s="121">
        <f>IF(C12&lt;&gt;"",SUMIF(Resultados!$C$440:$C$465,'Temporada 2026'!C12,Resultados!$F$440:$F$465),"")</f>
        <v>12</v>
      </c>
      <c r="W12" s="121">
        <f>IF(C12&lt;&gt;"",SUMIF(Resultados!$C$469:$C$518,'Temporada 2026'!C12,Resultados!$F$469:$F$518),"")</f>
        <v>17</v>
      </c>
      <c r="X12" s="121">
        <f>IF(C12&lt;&gt;"",SUMIF(Resultados!$C$521:$C$546,'Temporada 2026'!C12,Resultados!$F$521:$F$546),"")</f>
        <v>0</v>
      </c>
      <c r="Y12" s="121">
        <f>IF(C12&lt;&gt;"",SUMIF(Resultados!$C$549:$C$574,'Temporada 2026'!C12,Resultados!$F$549:$F$574),"")</f>
        <v>12</v>
      </c>
      <c r="Z12" s="121">
        <f>IF(C12&lt;&gt;"",SUMIF(Resultados!$C$577:$C$602,'Temporada 2026'!C12,Resultados!$F$577:$F$602),"")</f>
        <v>12</v>
      </c>
      <c r="AA12" s="121">
        <f>IF(C12&lt;&gt;"",SUMIF(Resultados!$C$606:$C$655,'Temporada 2026'!C12,Resultados!$F$606:$F$655),"")</f>
        <v>24</v>
      </c>
      <c r="AB12" s="121">
        <f>IF(C12&lt;&gt;"",SUMIF(Resultados!$C$658:$C$683,'Temporada 2026'!C12,Resultados!$F$658:$F$683),"")</f>
        <v>0</v>
      </c>
      <c r="AC12" s="121">
        <f>IF(C12&lt;&gt;"",SUMIF(Resultados!$C$686:$C$711,'Temporada 2026'!C12,Resultados!$F$686:$F$711),"")</f>
        <v>0</v>
      </c>
      <c r="AD12" s="121">
        <f>IF(C12&lt;&gt;"",SUMIF(Resultados!$C$714:$C$739,'Temporada 2026'!C12,Resultados!$F$714:$F$739),"")</f>
        <v>0</v>
      </c>
      <c r="AE12" s="121">
        <f>IF(C12&lt;&gt;"",SUMIF(Resultados!$C$742:$C$767,'Temporada 2026'!C12,Resultados!$F$742:$F$767),"")</f>
        <v>0</v>
      </c>
      <c r="AF12" s="121">
        <f>IF(C12&lt;&gt;"",SUMIF(Resultados!$C$770:$C$795,'Temporada 2026'!C12,Resultados!$F$770:$F$795),"")</f>
        <v>0</v>
      </c>
      <c r="AG12" s="121">
        <f>IF(C12&lt;&gt;"",SUMIF(Resultados!$C$798:$C$823,'Temporada 2026'!C12,Resultados!$F$798:$F$823),"")</f>
        <v>0</v>
      </c>
    </row>
    <row r="13" spans="1:42" x14ac:dyDescent="0.2">
      <c r="B13" s="128">
        <f>IF('Equipes e Pilotos'!B8&lt;&gt;"",'Equipes e Pilotos'!B8,"")</f>
        <v>6</v>
      </c>
      <c r="C13" s="122" t="str">
        <f>VLOOKUP(B13,'Dummy Table'!$A$3:$B$30,2,FALSE)</f>
        <v>Lando Norris</v>
      </c>
      <c r="D13" s="123" t="str">
        <f>VLOOKUP(B13,'Dummy Table'!$A$3:$C$30,3,FALSE)</f>
        <v>Inglaterra</v>
      </c>
      <c r="E13" s="123" t="str">
        <f>VLOOKUP(B13,'Dummy Table'!$A$3:$D$30,4,FALSE)</f>
        <v>McLaren</v>
      </c>
      <c r="F13" s="124" t="str">
        <f>IF(C13&lt;&gt;"",IF(G13+Resultados!$K$35&gt;$G$8,"J","L"),"")</f>
        <v>J</v>
      </c>
      <c r="G13" s="125">
        <f>VLOOKUP(B13,'Dummy Table'!$A$3:$E$30,5,FALSE)</f>
        <v>201</v>
      </c>
      <c r="H13" s="123">
        <f t="shared" si="0"/>
        <v>-139</v>
      </c>
      <c r="I13" s="126">
        <f>IF(B13="","",SUMIF(Resultados!$M$3:$M$30,C13,Resultados!$O$3:$O$30))</f>
        <v>2</v>
      </c>
      <c r="J13" s="121">
        <f>IF(C13&lt;&gt;"",SUMIF(Resultados!$C$4:$C$29,'Temporada 2026'!C13,Resultados!$F$4:$F$29),"")</f>
        <v>10</v>
      </c>
      <c r="K13" s="121">
        <f>IF(C13&lt;&gt;"",SUMIF(Resultados!$C$33:$C$82,'Temporada 2026'!C13,Resultados!$F$33:$F$82),"")</f>
        <v>5</v>
      </c>
      <c r="L13" s="121">
        <f>IF(C13&lt;&gt;"",SUMIF(Resultados!$C$85:$C$110,'Temporada 2026'!C13,Resultados!$F$85:$F$110),"")</f>
        <v>10</v>
      </c>
      <c r="M13" s="121">
        <f>IF(C13&lt;&gt;"",SUMIF(Resultados!$C$113:$C$138,'Temporada 2026'!C13,Resultados!$F$113:$F$138),"")</f>
        <v>2</v>
      </c>
      <c r="N13" s="121">
        <f>IF(C13&lt;&gt;"",SUMIF(Resultados!$C$141:$C$166,'Temporada 2026'!C13,Resultados!$F$141:$F$166),"")</f>
        <v>0</v>
      </c>
      <c r="O13" s="121">
        <f>IF(C13&lt;&gt;"",SUMIF(Resultados!$C$170:$C$219,'Temporada 2026'!C13,Resultados!$F$170:$F$219),"")</f>
        <v>26</v>
      </c>
      <c r="P13" s="121">
        <f>IF(C13&lt;&gt;"",SUMIF(Resultados!$C$223:$C$268,'Temporada 2026'!C13,Resultados!$F$223:$F$268),"")</f>
        <v>7</v>
      </c>
      <c r="Q13" s="121">
        <f>IF(C13&lt;&gt;"",SUMIF(Resultados!$C$275:$C$300,'Temporada 2026'!C13,Resultados!$F$275:$F$300),"")</f>
        <v>0</v>
      </c>
      <c r="R13" s="121">
        <f>IF(C13&lt;&gt;"",SUMIF(Resultados!$C$303:$C$328,'Temporada 2026'!C13,Resultados!$F$303:$F$328),"")</f>
        <v>15</v>
      </c>
      <c r="S13" s="121">
        <f>IF(C13&lt;&gt;"",SUMIF(Resultados!$C$331:$C$356,'Temporada 2026'!C13,Resultados!$F$331:$F$356),"")</f>
        <v>6</v>
      </c>
      <c r="T13" s="121">
        <f>IF(C13&lt;&gt;"",SUMIF(Resultados!$C$360:$C$409,'Temporada 2026'!C13,Resultados!$F$360:$F$409),"")</f>
        <v>18</v>
      </c>
      <c r="U13" s="121">
        <f>IF(C13&lt;&gt;"",SUMIF(Resultados!$C$412:$C$437,'Temporada 2026'!C13,Resultados!$F$412:$F$437),"")</f>
        <v>6</v>
      </c>
      <c r="V13" s="121">
        <f>IF(C13&lt;&gt;"",SUMIF(Resultados!$C$440:$C$465,'Temporada 2026'!C13,Resultados!$F$440:$F$465),"")</f>
        <v>25</v>
      </c>
      <c r="W13" s="121">
        <f>IF(C13&lt;&gt;"",SUMIF(Resultados!$C$469:$C$518,'Temporada 2026'!C13,Resultados!$F$469:$F$518),"")</f>
        <v>31</v>
      </c>
      <c r="X13" s="121">
        <f>IF(C13&lt;&gt;"",SUMIF(Resultados!$C$521:$C$546,'Temporada 2026'!C13,Resultados!$F$521:$F$546),"")</f>
        <v>12</v>
      </c>
      <c r="Y13" s="121">
        <f>IF(C13&lt;&gt;"",SUMIF(Resultados!$C$549:$C$574,'Temporada 2026'!C13,Resultados!$F$549:$F$574),"")</f>
        <v>15</v>
      </c>
      <c r="Z13" s="121">
        <f>IF(C13&lt;&gt;"",SUMIF(Resultados!$C$577:$C$602,'Temporada 2026'!C13,Resultados!$F$577:$F$602),"")</f>
        <v>0</v>
      </c>
      <c r="AA13" s="121">
        <f>IF(C13&lt;&gt;"",SUMIF(Resultados!$C$606:$C$655,'Temporada 2026'!C13,Resultados!$F$606:$F$655),"")</f>
        <v>13</v>
      </c>
      <c r="AB13" s="121">
        <f>IF(C13&lt;&gt;"",SUMIF(Resultados!$C$658:$C$683,'Temporada 2026'!C13,Resultados!$F$658:$F$683),"")</f>
        <v>0</v>
      </c>
      <c r="AC13" s="121">
        <f>IF(C13&lt;&gt;"",SUMIF(Resultados!$C$686:$C$711,'Temporada 2026'!C13,Resultados!$F$686:$F$711),"")</f>
        <v>0</v>
      </c>
      <c r="AD13" s="121">
        <f>IF(C13&lt;&gt;"",SUMIF(Resultados!$C$714:$C$739,'Temporada 2026'!C13,Resultados!$F$714:$F$739),"")</f>
        <v>0</v>
      </c>
      <c r="AE13" s="121">
        <f>IF(C13&lt;&gt;"",SUMIF(Resultados!$C$742:$C$767,'Temporada 2026'!C13,Resultados!$F$742:$F$767),"")</f>
        <v>0</v>
      </c>
      <c r="AF13" s="121">
        <f>IF(C13&lt;&gt;"",SUMIF(Resultados!$C$770:$C$795,'Temporada 2026'!C13,Resultados!$F$770:$F$795),"")</f>
        <v>0</v>
      </c>
      <c r="AG13" s="121">
        <f>IF(C13&lt;&gt;"",SUMIF(Resultados!$C$798:$C$823,'Temporada 2026'!C13,Resultados!$F$798:$F$823),"")</f>
        <v>0</v>
      </c>
    </row>
    <row r="14" spans="1:42" x14ac:dyDescent="0.2">
      <c r="B14" s="128">
        <f>IF('Equipes e Pilotos'!B9&lt;&gt;"",'Equipes e Pilotos'!B9,"")</f>
        <v>7</v>
      </c>
      <c r="C14" s="122" t="str">
        <f>VLOOKUP(B14,'Dummy Table'!$A$3:$B$30,2,FALSE)</f>
        <v>Oscar Piastri</v>
      </c>
      <c r="D14" s="123" t="str">
        <f>VLOOKUP(B14,'Dummy Table'!$A$3:$C$30,3,FALSE)</f>
        <v>Austrália</v>
      </c>
      <c r="E14" s="123" t="str">
        <f>VLOOKUP(B14,'Dummy Table'!$A$3:$D$30,4,FALSE)</f>
        <v>McLaren</v>
      </c>
      <c r="F14" s="124" t="str">
        <f>IF(C14&lt;&gt;"",IF(G14+Resultados!$K$35&gt;$G$8,"J","L"),"")</f>
        <v>L</v>
      </c>
      <c r="G14" s="125">
        <f>VLOOKUP(B14,'Dummy Table'!$A$3:$E$30,5,FALSE)</f>
        <v>138</v>
      </c>
      <c r="H14" s="123">
        <f t="shared" si="0"/>
        <v>-202</v>
      </c>
      <c r="I14" s="126">
        <f>IF(B14="","",SUMIF(Resultados!$M$3:$M$30,C14,Resultados!$O$3:$O$30))</f>
        <v>0</v>
      </c>
      <c r="J14" s="121">
        <f>IF(C14&lt;&gt;"",SUMIF(Resultados!$C$4:$C$29,'Temporada 2026'!C14,Resultados!$F$4:$F$29),"")</f>
        <v>0</v>
      </c>
      <c r="K14" s="121">
        <f>IF(C14&lt;&gt;"",SUMIF(Resultados!$C$33:$C$82,'Temporada 2026'!C14,Resultados!$F$33:$F$82),"")</f>
        <v>3</v>
      </c>
      <c r="L14" s="121">
        <f>IF(C14&lt;&gt;"",SUMIF(Resultados!$C$85:$C$110,'Temporada 2026'!C14,Resultados!$F$85:$F$110),"")</f>
        <v>18</v>
      </c>
      <c r="M14" s="121">
        <f>IF(C14&lt;&gt;"",SUMIF(Resultados!$C$113:$C$138,'Temporada 2026'!C14,Resultados!$F$113:$F$138),"")</f>
        <v>8</v>
      </c>
      <c r="N14" s="121">
        <f>IF(C14&lt;&gt;"",SUMIF(Resultados!$C$141:$C$166,'Temporada 2026'!C14,Resultados!$F$141:$F$166),"")</f>
        <v>0</v>
      </c>
      <c r="O14" s="121">
        <f>IF(C14&lt;&gt;"",SUMIF(Resultados!$C$170:$C$219,'Temporada 2026'!C14,Resultados!$F$170:$F$219),"")</f>
        <v>22</v>
      </c>
      <c r="P14" s="121">
        <f>IF(C14&lt;&gt;"",SUMIF(Resultados!$C$223:$C$268,'Temporada 2026'!C14,Resultados!$F$223:$F$268),"")</f>
        <v>5</v>
      </c>
      <c r="Q14" s="121">
        <f>IF(C14&lt;&gt;"",SUMIF(Resultados!$C$275:$C$300,'Temporada 2026'!C14,Resultados!$F$275:$F$300),"")</f>
        <v>12</v>
      </c>
      <c r="R14" s="121">
        <f>IF(C14&lt;&gt;"",SUMIF(Resultados!$C$303:$C$328,'Temporada 2026'!C14,Resultados!$F$303:$F$328),"")</f>
        <v>10</v>
      </c>
      <c r="S14" s="121">
        <f>IF(C14&lt;&gt;"",SUMIF(Resultados!$C$331:$C$356,'Temporada 2026'!C14,Resultados!$F$331:$F$356),"")</f>
        <v>12</v>
      </c>
      <c r="T14" s="121">
        <f>IF(C14&lt;&gt;"",SUMIF(Resultados!$C$360:$C$409,'Temporada 2026'!C14,Resultados!$F$360:$F$409),"")</f>
        <v>2</v>
      </c>
      <c r="U14" s="121">
        <f>IF(C14&lt;&gt;"",SUMIF(Resultados!$C$412:$C$437,'Temporada 2026'!C14,Resultados!$F$412:$F$437),"")</f>
        <v>10</v>
      </c>
      <c r="V14" s="121">
        <f>IF(C14&lt;&gt;"",SUMIF(Resultados!$C$440:$C$465,'Temporada 2026'!C14,Resultados!$F$440:$F$465),"")</f>
        <v>0</v>
      </c>
      <c r="W14" s="121">
        <f>IF(C14&lt;&gt;"",SUMIF(Resultados!$C$469:$C$518,'Temporada 2026'!C14,Resultados!$F$469:$F$518),"")</f>
        <v>12</v>
      </c>
      <c r="X14" s="121">
        <f>IF(C14&lt;&gt;"",SUMIF(Resultados!$C$521:$C$546,'Temporada 2026'!C14,Resultados!$F$521:$F$546),"")</f>
        <v>10</v>
      </c>
      <c r="Y14" s="121">
        <f>IF(C14&lt;&gt;"",SUMIF(Resultados!$C$549:$C$574,'Temporada 2026'!C14,Resultados!$F$549:$F$574),"")</f>
        <v>4</v>
      </c>
      <c r="Z14" s="121">
        <f>IF(C14&lt;&gt;"",SUMIF(Resultados!$C$577:$C$602,'Temporada 2026'!C14,Resultados!$F$577:$F$602),"")</f>
        <v>0</v>
      </c>
      <c r="AA14" s="121">
        <f>IF(C14&lt;&gt;"",SUMIF(Resultados!$C$606:$C$655,'Temporada 2026'!C14,Resultados!$F$606:$F$655),"")</f>
        <v>10</v>
      </c>
      <c r="AB14" s="121">
        <f>IF(C14&lt;&gt;"",SUMIF(Resultados!$C$658:$C$683,'Temporada 2026'!C14,Resultados!$F$658:$F$683),"")</f>
        <v>0</v>
      </c>
      <c r="AC14" s="121">
        <f>IF(C14&lt;&gt;"",SUMIF(Resultados!$C$686:$C$711,'Temporada 2026'!C14,Resultados!$F$686:$F$711),"")</f>
        <v>0</v>
      </c>
      <c r="AD14" s="121">
        <f>IF(C14&lt;&gt;"",SUMIF(Resultados!$C$714:$C$739,'Temporada 2026'!C14,Resultados!$F$714:$F$739),"")</f>
        <v>0</v>
      </c>
      <c r="AE14" s="121">
        <f>IF(C14&lt;&gt;"",SUMIF(Resultados!$C$742:$C$767,'Temporada 2026'!C14,Resultados!$F$742:$F$767),"")</f>
        <v>0</v>
      </c>
      <c r="AF14" s="121">
        <f>IF(C14&lt;&gt;"",SUMIF(Resultados!$C$770:$C$795,'Temporada 2026'!C14,Resultados!$F$770:$F$795),"")</f>
        <v>0</v>
      </c>
      <c r="AG14" s="121">
        <f>IF(C14&lt;&gt;"",SUMIF(Resultados!$C$798:$C$823,'Temporada 2026'!C14,Resultados!$F$798:$F$823),"")</f>
        <v>0</v>
      </c>
    </row>
    <row r="15" spans="1:42" x14ac:dyDescent="0.2">
      <c r="B15" s="128">
        <f>IF('Equipes e Pilotos'!B10&lt;&gt;"",'Equipes e Pilotos'!B10,"")</f>
        <v>8</v>
      </c>
      <c r="C15" s="122" t="str">
        <f>VLOOKUP(B15,'Dummy Table'!$A$3:$B$30,2,FALSE)</f>
        <v>Isack Hadjar</v>
      </c>
      <c r="D15" s="123" t="str">
        <f>VLOOKUP(B15,'Dummy Table'!$A$3:$C$30,3,FALSE)</f>
        <v>França</v>
      </c>
      <c r="E15" s="123" t="str">
        <f>VLOOKUP(B15,'Dummy Table'!$A$3:$D$30,4,FALSE)</f>
        <v>Red Bull</v>
      </c>
      <c r="F15" s="124" t="str">
        <f>IF(C15&lt;&gt;"",IF(G15+Resultados!$K$35&gt;$G$8,"J","L"),"")</f>
        <v>L</v>
      </c>
      <c r="G15" s="125">
        <f>VLOOKUP(B15,'Dummy Table'!$A$3:$E$30,5,FALSE)</f>
        <v>97</v>
      </c>
      <c r="H15" s="123">
        <f t="shared" si="0"/>
        <v>-243</v>
      </c>
      <c r="I15" s="126">
        <f>IF(B15="","",SUMIF(Resultados!$M$3:$M$30,C15,Resultados!$O$3:$O$30))</f>
        <v>0</v>
      </c>
      <c r="J15" s="121">
        <f>IF(C15&lt;&gt;"",SUMIF(Resultados!$C$4:$C$29,'Temporada 2026'!C15,Resultados!$F$4:$F$29),"")</f>
        <v>0</v>
      </c>
      <c r="K15" s="121">
        <f>IF(C15&lt;&gt;"",SUMIF(Resultados!$C$33:$C$82,'Temporada 2026'!C15,Resultados!$F$33:$F$82),"")</f>
        <v>4</v>
      </c>
      <c r="L15" s="121">
        <f>IF(C15&lt;&gt;"",SUMIF(Resultados!$C$85:$C$110,'Temporada 2026'!C15,Resultados!$F$85:$F$110),"")</f>
        <v>0</v>
      </c>
      <c r="M15" s="121">
        <f>IF(C15&lt;&gt;"",SUMIF(Resultados!$C$113:$C$138,'Temporada 2026'!C15,Resultados!$F$113:$F$138),"")</f>
        <v>10</v>
      </c>
      <c r="N15" s="121">
        <f>IF(C15&lt;&gt;"",SUMIF(Resultados!$C$141:$C$166,'Temporada 2026'!C15,Resultados!$F$141:$F$166),"")</f>
        <v>0</v>
      </c>
      <c r="O15" s="121">
        <f>IF(C15&lt;&gt;"",SUMIF(Resultados!$C$170:$C$219,'Temporada 2026'!C15,Resultados!$F$170:$F$219),"")</f>
        <v>0</v>
      </c>
      <c r="P15" s="121">
        <f>IF(C15&lt;&gt;"",SUMIF(Resultados!$C$223:$C$268,'Temporada 2026'!C15,Resultados!$F$223:$F$268),"")</f>
        <v>10</v>
      </c>
      <c r="Q15" s="121">
        <f>IF(C15&lt;&gt;"",SUMIF(Resultados!$C$275:$C$300,'Temporada 2026'!C15,Resultados!$F$275:$F$300),"")</f>
        <v>15</v>
      </c>
      <c r="R15" s="121">
        <f>IF(C15&lt;&gt;"",SUMIF(Resultados!$C$303:$C$328,'Temporada 2026'!C15,Resultados!$F$303:$F$328),"")</f>
        <v>8</v>
      </c>
      <c r="S15" s="121">
        <f>IF(C15&lt;&gt;"",SUMIF(Resultados!$C$331:$C$356,'Temporada 2026'!C15,Resultados!$F$331:$F$356),"")</f>
        <v>8</v>
      </c>
      <c r="T15" s="121">
        <f>IF(C15&lt;&gt;"",SUMIF(Resultados!$C$360:$C$409,'Temporada 2026'!C15,Resultados!$F$360:$F$409),"")</f>
        <v>10</v>
      </c>
      <c r="U15" s="121">
        <f>IF(C15&lt;&gt;"",SUMIF(Resultados!$C$412:$C$437,'Temporada 2026'!C15,Resultados!$F$412:$F$437),"")</f>
        <v>8</v>
      </c>
      <c r="V15" s="121">
        <f>IF(C15&lt;&gt;"",SUMIF(Resultados!$C$440:$C$465,'Temporada 2026'!C15,Resultados!$F$440:$F$465),"")</f>
        <v>8</v>
      </c>
      <c r="W15" s="121">
        <f>IF(C15&lt;&gt;"",SUMIF(Resultados!$C$469:$C$518,'Temporada 2026'!C15,Resultados!$F$469:$F$518),"")</f>
        <v>0</v>
      </c>
      <c r="X15" s="121">
        <f>IF(C15&lt;&gt;"",SUMIF(Resultados!$C$521:$C$546,'Temporada 2026'!C15,Resultados!$F$521:$F$546),"")</f>
        <v>0</v>
      </c>
      <c r="Y15" s="121">
        <f>IF(C15&lt;&gt;"",SUMIF(Resultados!$C$549:$C$574,'Temporada 2026'!C15,Resultados!$F$549:$F$574),"")</f>
        <v>0</v>
      </c>
      <c r="Z15" s="121">
        <f>IF(C15&lt;&gt;"",SUMIF(Resultados!$C$577:$C$602,'Temporada 2026'!C15,Resultados!$F$577:$F$602),"")</f>
        <v>15</v>
      </c>
      <c r="AA15" s="121">
        <f>IF(C15&lt;&gt;"",SUMIF(Resultados!$C$606:$C$655,'Temporada 2026'!C15,Resultados!$F$606:$F$655),"")</f>
        <v>1</v>
      </c>
      <c r="AB15" s="121">
        <f>IF(C15&lt;&gt;"",SUMIF(Resultados!$C$658:$C$683,'Temporada 2026'!C15,Resultados!$F$658:$F$683),"")</f>
        <v>0</v>
      </c>
      <c r="AC15" s="121">
        <f>IF(C15&lt;&gt;"",SUMIF(Resultados!$C$686:$C$711,'Temporada 2026'!C15,Resultados!$F$686:$F$711),"")</f>
        <v>0</v>
      </c>
      <c r="AD15" s="121">
        <f>IF(C15&lt;&gt;"",SUMIF(Resultados!$C$714:$C$739,'Temporada 2026'!C15,Resultados!$F$714:$F$739),"")</f>
        <v>0</v>
      </c>
      <c r="AE15" s="121">
        <f>IF(C15&lt;&gt;"",SUMIF(Resultados!$C$742:$C$767,'Temporada 2026'!C15,Resultados!$F$742:$F$767),"")</f>
        <v>0</v>
      </c>
      <c r="AF15" s="121">
        <f>IF(C15&lt;&gt;"",SUMIF(Resultados!$C$770:$C$795,'Temporada 2026'!C15,Resultados!$F$770:$F$795),"")</f>
        <v>0</v>
      </c>
      <c r="AG15" s="121">
        <f>IF(C15&lt;&gt;"",SUMIF(Resultados!$C$798:$C$823,'Temporada 2026'!C15,Resultados!$F$798:$F$823),"")</f>
        <v>0</v>
      </c>
    </row>
    <row r="16" spans="1:42" x14ac:dyDescent="0.2">
      <c r="B16" s="128">
        <f>IF('Equipes e Pilotos'!B11&lt;&gt;"",'Equipes e Pilotos'!B11,"")</f>
        <v>9</v>
      </c>
      <c r="C16" s="122" t="str">
        <f>VLOOKUP(B16,'Dummy Table'!$A$3:$B$30,2,FALSE)</f>
        <v>Liam Lawson</v>
      </c>
      <c r="D16" s="123" t="str">
        <f>VLOOKUP(B16,'Dummy Table'!$A$3:$C$30,3,FALSE)</f>
        <v>Austrália</v>
      </c>
      <c r="E16" s="123" t="str">
        <f>VLOOKUP(B16,'Dummy Table'!$A$3:$D$30,4,FALSE)</f>
        <v>Racing Bulls</v>
      </c>
      <c r="F16" s="124" t="str">
        <f>IF(C16&lt;&gt;"",IF(G16+Resultados!$K$35&gt;$G$8,"J","L"),"")</f>
        <v>L</v>
      </c>
      <c r="G16" s="125">
        <f>VLOOKUP(B16,'Dummy Table'!$A$3:$E$30,5,FALSE)</f>
        <v>75</v>
      </c>
      <c r="H16" s="123">
        <f t="shared" si="0"/>
        <v>-265</v>
      </c>
      <c r="I16" s="126">
        <f>IF(B16="","",SUMIF(Resultados!$M$3:$M$30,C16,Resultados!$O$3:$O$30))</f>
        <v>0</v>
      </c>
      <c r="J16" s="121">
        <f>IF(C16&lt;&gt;"",SUMIF(Resultados!$C$4:$C$29,'Temporada 2026'!C16,Resultados!$F$4:$F$29),"")</f>
        <v>0</v>
      </c>
      <c r="K16" s="121">
        <f>IF(C16&lt;&gt;"",SUMIF(Resultados!$C$33:$C$82,'Temporada 2026'!C16,Resultados!$F$33:$F$82),"")</f>
        <v>8</v>
      </c>
      <c r="L16" s="121">
        <f>IF(C16&lt;&gt;"",SUMIF(Resultados!$C$85:$C$110,'Temporada 2026'!C16,Resultados!$F$85:$F$110),"")</f>
        <v>2</v>
      </c>
      <c r="M16" s="121">
        <f>IF(C16&lt;&gt;"",SUMIF(Resultados!$C$113:$C$138,'Temporada 2026'!C16,Resultados!$F$113:$F$138),"")</f>
        <v>6</v>
      </c>
      <c r="N16" s="121">
        <f>IF(C16&lt;&gt;"",SUMIF(Resultados!$C$141:$C$166,'Temporada 2026'!C16,Resultados!$F$141:$F$166),"")</f>
        <v>0</v>
      </c>
      <c r="O16" s="121">
        <f>IF(C16&lt;&gt;"",SUMIF(Resultados!$C$170:$C$219,'Temporada 2026'!C16,Resultados!$F$170:$F$219),"")</f>
        <v>0</v>
      </c>
      <c r="P16" s="121">
        <f>IF(C16&lt;&gt;"",SUMIF(Resultados!$C$223:$C$268,'Temporada 2026'!C16,Resultados!$F$223:$F$268),"")</f>
        <v>6</v>
      </c>
      <c r="Q16" s="121">
        <f>IF(C16&lt;&gt;"",SUMIF(Resultados!$C$275:$C$300,'Temporada 2026'!C16,Resultados!$F$275:$F$300),"")</f>
        <v>10</v>
      </c>
      <c r="R16" s="121">
        <f>IF(C16&lt;&gt;"",SUMIF(Resultados!$C$303:$C$328,'Temporada 2026'!C16,Resultados!$F$303:$F$328),"")</f>
        <v>4</v>
      </c>
      <c r="S16" s="121">
        <f>IF(C16&lt;&gt;"",SUMIF(Resultados!$C$331:$C$356,'Temporada 2026'!C16,Resultados!$F$331:$F$356),"")</f>
        <v>2</v>
      </c>
      <c r="T16" s="121">
        <f>IF(C16&lt;&gt;"",SUMIF(Resultados!$C$360:$C$409,'Temporada 2026'!C16,Resultados!$F$360:$F$409),"")</f>
        <v>9</v>
      </c>
      <c r="U16" s="121">
        <f>IF(C16&lt;&gt;"",SUMIF(Resultados!$C$412:$C$437,'Temporada 2026'!C16,Resultados!$F$412:$F$437),"")</f>
        <v>0</v>
      </c>
      <c r="V16" s="121">
        <f>IF(C16&lt;&gt;"",SUMIF(Resultados!$C$440:$C$465,'Temporada 2026'!C16,Resultados!$F$440:$F$465),"")</f>
        <v>4</v>
      </c>
      <c r="W16" s="121">
        <f>IF(C16&lt;&gt;"",SUMIF(Resultados!$C$469:$C$518,'Temporada 2026'!C16,Resultados!$F$469:$F$518),"")</f>
        <v>6</v>
      </c>
      <c r="X16" s="121">
        <f>IF(C16&lt;&gt;"",SUMIF(Resultados!$C$521:$C$546,'Temporada 2026'!C16,Resultados!$F$521:$F$546),"")</f>
        <v>0</v>
      </c>
      <c r="Y16" s="121">
        <f>IF(C16&lt;&gt;"",SUMIF(Resultados!$C$549:$C$574,'Temporada 2026'!C16,Resultados!$F$549:$F$574),"")</f>
        <v>8</v>
      </c>
      <c r="Z16" s="121">
        <f>IF(C16&lt;&gt;"",SUMIF(Resultados!$C$577:$C$602,'Temporada 2026'!C16,Resultados!$F$577:$F$602),"")</f>
        <v>0</v>
      </c>
      <c r="AA16" s="121">
        <f>IF(C16&lt;&gt;"",SUMIF(Resultados!$C$606:$C$655,'Temporada 2026'!C16,Resultados!$F$606:$F$655),"")</f>
        <v>10</v>
      </c>
      <c r="AB16" s="121">
        <f>IF(C16&lt;&gt;"",SUMIF(Resultados!$C$658:$C$683,'Temporada 2026'!C16,Resultados!$F$658:$F$683),"")</f>
        <v>0</v>
      </c>
      <c r="AC16" s="121">
        <f>IF(C16&lt;&gt;"",SUMIF(Resultados!$C$686:$C$711,'Temporada 2026'!C16,Resultados!$F$686:$F$711),"")</f>
        <v>0</v>
      </c>
      <c r="AD16" s="121">
        <f>IF(C16&lt;&gt;"",SUMIF(Resultados!$C$714:$C$739,'Temporada 2026'!C16,Resultados!$F$714:$F$739),"")</f>
        <v>0</v>
      </c>
      <c r="AE16" s="121">
        <f>IF(C16&lt;&gt;"",SUMIF(Resultados!$C$742:$C$767,'Temporada 2026'!C16,Resultados!$F$742:$F$767),"")</f>
        <v>0</v>
      </c>
      <c r="AF16" s="121">
        <f>IF(C16&lt;&gt;"",SUMIF(Resultados!$C$770:$C$795,'Temporada 2026'!C16,Resultados!$F$770:$F$795),"")</f>
        <v>0</v>
      </c>
      <c r="AG16" s="121">
        <f>IF(C16&lt;&gt;"",SUMIF(Resultados!$C$798:$C$823,'Temporada 2026'!C16,Resultados!$F$798:$F$823),"")</f>
        <v>0</v>
      </c>
    </row>
    <row r="17" spans="2:33" x14ac:dyDescent="0.2">
      <c r="B17" s="128">
        <f>IF('Equipes e Pilotos'!B12&lt;&gt;"",'Equipes e Pilotos'!B12,"")</f>
        <v>10</v>
      </c>
      <c r="C17" s="122" t="str">
        <f>VLOOKUP(B17,'Dummy Table'!$A$3:$B$30,2,FALSE)</f>
        <v>Pierre Gasly</v>
      </c>
      <c r="D17" s="123" t="str">
        <f>VLOOKUP(B17,'Dummy Table'!$A$3:$C$30,3,FALSE)</f>
        <v>França</v>
      </c>
      <c r="E17" s="123" t="str">
        <f>VLOOKUP(B17,'Dummy Table'!$A$3:$D$30,4,FALSE)</f>
        <v>Alpine</v>
      </c>
      <c r="F17" s="124" t="str">
        <f>IF(C17&lt;&gt;"",IF(G17+Resultados!$K$35&gt;$G$8,"J","L"),"")</f>
        <v>L</v>
      </c>
      <c r="G17" s="125">
        <f>VLOOKUP(B17,'Dummy Table'!$A$3:$E$30,5,FALSE)</f>
        <v>41</v>
      </c>
      <c r="H17" s="123">
        <f t="shared" si="0"/>
        <v>-299</v>
      </c>
      <c r="I17" s="126">
        <f>IF(B17="","",SUMIF(Resultados!$M$3:$M$30,C17,Resultados!$O$3:$O$30))</f>
        <v>0</v>
      </c>
      <c r="J17" s="121">
        <f>IF(C17&lt;&gt;"",SUMIF(Resultados!$C$4:$C$29,'Temporada 2026'!C17,Resultados!$F$4:$F$29),"")</f>
        <v>1</v>
      </c>
      <c r="K17" s="121">
        <f>IF(C17&lt;&gt;"",SUMIF(Resultados!$C$33:$C$82,'Temporada 2026'!C17,Resultados!$F$33:$F$82),"")</f>
        <v>8</v>
      </c>
      <c r="L17" s="121">
        <f>IF(C17&lt;&gt;"",SUMIF(Resultados!$C$85:$C$110,'Temporada 2026'!C17,Resultados!$F$85:$F$110),"")</f>
        <v>6</v>
      </c>
      <c r="M17" s="121">
        <f>IF(C17&lt;&gt;"",SUMIF(Resultados!$C$113:$C$138,'Temporada 2026'!C17,Resultados!$F$113:$F$138),"")</f>
        <v>0</v>
      </c>
      <c r="N17" s="121">
        <f>IF(C17&lt;&gt;"",SUMIF(Resultados!$C$141:$C$166,'Temporada 2026'!C17,Resultados!$F$141:$F$166),"")</f>
        <v>0</v>
      </c>
      <c r="O17" s="121">
        <f>IF(C17&lt;&gt;"",SUMIF(Resultados!$C$170:$C$219,'Temporada 2026'!C17,Resultados!$F$170:$F$219),"")</f>
        <v>1</v>
      </c>
      <c r="P17" s="121">
        <f>IF(C17&lt;&gt;"",SUMIF(Resultados!$C$223:$C$268,'Temporada 2026'!C17,Resultados!$F$223:$F$268),"")</f>
        <v>4</v>
      </c>
      <c r="Q17" s="121">
        <f>IF(C17&lt;&gt;"",SUMIF(Resultados!$C$275:$C$300,'Temporada 2026'!C17,Resultados!$F$275:$F$300),"")</f>
        <v>6</v>
      </c>
      <c r="R17" s="121">
        <f>IF(C17&lt;&gt;"",SUMIF(Resultados!$C$303:$C$328,'Temporada 2026'!C17,Resultados!$F$303:$F$328),"")</f>
        <v>6</v>
      </c>
      <c r="S17" s="121">
        <f>IF(C17&lt;&gt;"",SUMIF(Resultados!$C$331:$C$356,'Temporada 2026'!C17,Resultados!$F$331:$F$356),"")</f>
        <v>0</v>
      </c>
      <c r="T17" s="121">
        <f>IF(C17&lt;&gt;"",SUMIF(Resultados!$C$360:$C$409,'Temporada 2026'!C17,Resultados!$F$360:$F$409),"")</f>
        <v>1</v>
      </c>
      <c r="U17" s="121">
        <f>IF(C17&lt;&gt;"",SUMIF(Resultados!$C$412:$C$437,'Temporada 2026'!C17,Resultados!$F$412:$F$437),"")</f>
        <v>0</v>
      </c>
      <c r="V17" s="121">
        <f>IF(C17&lt;&gt;"",SUMIF(Resultados!$C$440:$C$465,'Temporada 2026'!C17,Resultados!$F$440:$F$465),"")</f>
        <v>0</v>
      </c>
      <c r="W17" s="121">
        <f>IF(C17&lt;&gt;"",SUMIF(Resultados!$C$469:$C$518,'Temporada 2026'!C17,Resultados!$F$469:$F$518),"")</f>
        <v>2</v>
      </c>
      <c r="X17" s="121">
        <f>IF(C17&lt;&gt;"",SUMIF(Resultados!$C$521:$C$546,'Temporada 2026'!C17,Resultados!$F$521:$F$546),"")</f>
        <v>6</v>
      </c>
      <c r="Y17" s="121">
        <f>IF(C17&lt;&gt;"",SUMIF(Resultados!$C$549:$C$574,'Temporada 2026'!C17,Resultados!$F$549:$F$574),"")</f>
        <v>0</v>
      </c>
      <c r="Z17" s="121">
        <f>IF(C17&lt;&gt;"",SUMIF(Resultados!$C$577:$C$602,'Temporada 2026'!C17,Resultados!$F$577:$F$602),"")</f>
        <v>0</v>
      </c>
      <c r="AA17" s="121">
        <f>IF(C17&lt;&gt;"",SUMIF(Resultados!$C$606:$C$655,'Temporada 2026'!C17,Resultados!$F$606:$F$655),"")</f>
        <v>0</v>
      </c>
      <c r="AB17" s="121">
        <f>IF(C17&lt;&gt;"",SUMIF(Resultados!$C$658:$C$683,'Temporada 2026'!C17,Resultados!$F$658:$F$683),"")</f>
        <v>0</v>
      </c>
      <c r="AC17" s="121">
        <f>IF(C17&lt;&gt;"",SUMIF(Resultados!$C$686:$C$711,'Temporada 2026'!C17,Resultados!$F$686:$F$711),"")</f>
        <v>0</v>
      </c>
      <c r="AD17" s="121">
        <f>IF(C17&lt;&gt;"",SUMIF(Resultados!$C$714:$C$739,'Temporada 2026'!C17,Resultados!$F$714:$F$739),"")</f>
        <v>0</v>
      </c>
      <c r="AE17" s="121">
        <f>IF(C17&lt;&gt;"",SUMIF(Resultados!$C$742:$C$767,'Temporada 2026'!C17,Resultados!$F$742:$F$767),"")</f>
        <v>0</v>
      </c>
      <c r="AF17" s="121">
        <f>IF(C17&lt;&gt;"",SUMIF(Resultados!$C$770:$C$795,'Temporada 2026'!C17,Resultados!$F$770:$F$795),"")</f>
        <v>0</v>
      </c>
      <c r="AG17" s="121">
        <f>IF(C17&lt;&gt;"",SUMIF(Resultados!$C$798:$C$823,'Temporada 2026'!C17,Resultados!$F$798:$F$823),"")</f>
        <v>0</v>
      </c>
    </row>
    <row r="18" spans="2:33" x14ac:dyDescent="0.2">
      <c r="B18" s="128">
        <f>IF('Equipes e Pilotos'!B13&lt;&gt;"",'Equipes e Pilotos'!B13,"")</f>
        <v>11</v>
      </c>
      <c r="C18" s="122" t="str">
        <f>VLOOKUP(B18,'Dummy Table'!$A$3:$B$30,2,FALSE)</f>
        <v>Arvid Lindblad</v>
      </c>
      <c r="D18" s="123" t="str">
        <f>VLOOKUP(B18,'Dummy Table'!$A$3:$C$30,3,FALSE)</f>
        <v>Inglaterra</v>
      </c>
      <c r="E18" s="123" t="str">
        <f>VLOOKUP(B18,'Dummy Table'!$A$3:$D$30,4,FALSE)</f>
        <v>Racing Bulls</v>
      </c>
      <c r="F18" s="124" t="str">
        <f>IF(C18&lt;&gt;"",IF(G18+Resultados!$K$35&gt;$G$8,"J","L"),"")</f>
        <v>L</v>
      </c>
      <c r="G18" s="125">
        <f>VLOOKUP(B18,'Dummy Table'!$A$3:$E$30,5,FALSE)</f>
        <v>38</v>
      </c>
      <c r="H18" s="123">
        <f t="shared" si="0"/>
        <v>-302</v>
      </c>
      <c r="I18" s="126">
        <f>IF(B18="","",SUMIF(Resultados!$M$3:$M$30,C18,Resultados!$O$3:$O$30))</f>
        <v>0</v>
      </c>
      <c r="J18" s="121">
        <f>IF(C18&lt;&gt;"",SUMIF(Resultados!$C$4:$C$29,'Temporada 2026'!C18,Resultados!$F$4:$F$29),"")</f>
        <v>4</v>
      </c>
      <c r="K18" s="121">
        <f>IF(C18&lt;&gt;"",SUMIF(Resultados!$C$33:$C$82,'Temporada 2026'!C18,Resultados!$F$33:$F$82),"")</f>
        <v>0</v>
      </c>
      <c r="L18" s="121">
        <f>IF(C18&lt;&gt;"",SUMIF(Resultados!$C$85:$C$110,'Temporada 2026'!C18,Resultados!$F$85:$F$110),"")</f>
        <v>0</v>
      </c>
      <c r="M18" s="121">
        <f>IF(C18&lt;&gt;"",SUMIF(Resultados!$C$113:$C$138,'Temporada 2026'!C18,Resultados!$F$113:$F$138),"")</f>
        <v>1</v>
      </c>
      <c r="N18" s="121">
        <f>IF(C18&lt;&gt;"",SUMIF(Resultados!$C$141:$C$166,'Temporada 2026'!C18,Resultados!$F$141:$F$166),"")</f>
        <v>0</v>
      </c>
      <c r="O18" s="121">
        <f>IF(C18&lt;&gt;"",SUMIF(Resultados!$C$170:$C$219,'Temporada 2026'!C18,Resultados!$F$170:$F$219),"")</f>
        <v>0</v>
      </c>
      <c r="P18" s="121">
        <f>IF(C18&lt;&gt;"",SUMIF(Resultados!$C$223:$C$268,'Temporada 2026'!C18,Resultados!$F$223:$F$268),"")</f>
        <v>1</v>
      </c>
      <c r="Q18" s="121">
        <f>IF(C18&lt;&gt;"",SUMIF(Resultados!$C$275:$C$300,'Temporada 2026'!C18,Resultados!$F$275:$F$300),"")</f>
        <v>8</v>
      </c>
      <c r="R18" s="121">
        <f>IF(C18&lt;&gt;"",SUMIF(Resultados!$C$303:$C$328,'Temporada 2026'!C18,Resultados!$F$303:$F$328),"")</f>
        <v>2</v>
      </c>
      <c r="S18" s="121">
        <f>IF(C18&lt;&gt;"",SUMIF(Resultados!$C$331:$C$356,'Temporada 2026'!C18,Resultados!$F$331:$F$356),"")</f>
        <v>1</v>
      </c>
      <c r="T18" s="121">
        <f>IF(C18&lt;&gt;"",SUMIF(Resultados!$C$360:$C$409,'Temporada 2026'!C18,Resultados!$F$360:$F$409),"")</f>
        <v>6</v>
      </c>
      <c r="U18" s="121">
        <f>IF(C18&lt;&gt;"",SUMIF(Resultados!$C$412:$C$437,'Temporada 2026'!C18,Resultados!$F$412:$F$437),"")</f>
        <v>2</v>
      </c>
      <c r="V18" s="121">
        <f>IF(C18&lt;&gt;"",SUMIF(Resultados!$C$440:$C$465,'Temporada 2026'!C18,Resultados!$F$440:$F$465),"")</f>
        <v>1</v>
      </c>
      <c r="W18" s="121">
        <f>IF(C18&lt;&gt;"",SUMIF(Resultados!$C$469:$C$518,'Temporada 2026'!C18,Resultados!$F$469:$F$518),"")</f>
        <v>0</v>
      </c>
      <c r="X18" s="121">
        <f>IF(C18&lt;&gt;"",SUMIF(Resultados!$C$521:$C$546,'Temporada 2026'!C18,Resultados!$F$521:$F$546),"")</f>
        <v>4</v>
      </c>
      <c r="Y18" s="121">
        <f>IF(C18&lt;&gt;"",SUMIF(Resultados!$C$549:$C$574,'Temporada 2026'!C18,Resultados!$F$549:$F$574),"")</f>
        <v>2</v>
      </c>
      <c r="Z18" s="121">
        <f>IF(C18&lt;&gt;"",SUMIF(Resultados!$C$577:$C$602,'Temporada 2026'!C18,Resultados!$F$577:$F$602),"")</f>
        <v>6</v>
      </c>
      <c r="AA18" s="121">
        <f>IF(C18&lt;&gt;"",SUMIF(Resultados!$C$606:$C$655,'Temporada 2026'!C18,Resultados!$F$606:$F$655),"")</f>
        <v>0</v>
      </c>
      <c r="AB18" s="121">
        <f>IF(C18&lt;&gt;"",SUMIF(Resultados!$C$658:$C$683,'Temporada 2026'!C18,Resultados!$F$658:$F$683),"")</f>
        <v>0</v>
      </c>
      <c r="AC18" s="121">
        <f>IF(C18&lt;&gt;"",SUMIF(Resultados!$C$686:$C$711,'Temporada 2026'!C18,Resultados!$F$686:$F$711),"")</f>
        <v>0</v>
      </c>
      <c r="AD18" s="121">
        <f>IF(C18&lt;&gt;"",SUMIF(Resultados!$C$714:$C$739,'Temporada 2026'!C18,Resultados!$F$714:$F$739),"")</f>
        <v>0</v>
      </c>
      <c r="AE18" s="121">
        <f>IF(C18&lt;&gt;"",SUMIF(Resultados!$C$742:$C$767,'Temporada 2026'!C18,Resultados!$F$742:$F$767),"")</f>
        <v>0</v>
      </c>
      <c r="AF18" s="121">
        <f>IF(C18&lt;&gt;"",SUMIF(Resultados!$C$770:$C$795,'Temporada 2026'!C18,Resultados!$F$770:$F$795),"")</f>
        <v>0</v>
      </c>
      <c r="AG18" s="121">
        <f>IF(C18&lt;&gt;"",SUMIF(Resultados!$C$798:$C$823,'Temporada 2026'!C18,Resultados!$F$798:$F$823),"")</f>
        <v>0</v>
      </c>
    </row>
    <row r="19" spans="2:33" x14ac:dyDescent="0.2">
      <c r="B19" s="128">
        <f>IF('Equipes e Pilotos'!B14&lt;&gt;"",'Equipes e Pilotos'!B14,"")</f>
        <v>12</v>
      </c>
      <c r="C19" s="122" t="str">
        <f>VLOOKUP(B19,'Dummy Table'!$A$3:$B$30,2,FALSE)</f>
        <v>Franco Colapinto</v>
      </c>
      <c r="D19" s="123" t="str">
        <f>VLOOKUP(B19,'Dummy Table'!$A$3:$C$30,3,FALSE)</f>
        <v>Argentina</v>
      </c>
      <c r="E19" s="123" t="str">
        <f>VLOOKUP(B19,'Dummy Table'!$A$3:$D$30,4,FALSE)</f>
        <v>Alpine</v>
      </c>
      <c r="F19" s="124" t="str">
        <f>IF(C19&lt;&gt;"",IF(G19+Resultados!$K$35&gt;$G$8,"J","L"),"")</f>
        <v>L</v>
      </c>
      <c r="G19" s="125">
        <f>VLOOKUP(B19,'Dummy Table'!$A$3:$E$30,5,FALSE)</f>
        <v>27</v>
      </c>
      <c r="H19" s="123">
        <f t="shared" si="0"/>
        <v>-313</v>
      </c>
      <c r="I19" s="126">
        <f>IF(B19="","",SUMIF(Resultados!$M$3:$M$30,C19,Resultados!$O$3:$O$30))</f>
        <v>0</v>
      </c>
      <c r="J19" s="121">
        <f>IF(C19&lt;&gt;"",SUMIF(Resultados!$C$4:$C$29,'Temporada 2026'!C19,Resultados!$F$4:$F$29),"")</f>
        <v>0</v>
      </c>
      <c r="K19" s="121">
        <f>IF(C19&lt;&gt;"",SUMIF(Resultados!$C$33:$C$82,'Temporada 2026'!C19,Resultados!$F$33:$F$82),"")</f>
        <v>1</v>
      </c>
      <c r="L19" s="121">
        <f>IF(C19&lt;&gt;"",SUMIF(Resultados!$C$85:$C$110,'Temporada 2026'!C19,Resultados!$F$85:$F$110),"")</f>
        <v>0</v>
      </c>
      <c r="M19" s="121">
        <f>IF(C19&lt;&gt;"",SUMIF(Resultados!$C$113:$C$138,'Temporada 2026'!C19,Resultados!$F$113:$F$138),"")</f>
        <v>0</v>
      </c>
      <c r="N19" s="121">
        <f>IF(C19&lt;&gt;"",SUMIF(Resultados!$C$141:$C$166,'Temporada 2026'!C19,Resultados!$F$141:$F$166),"")</f>
        <v>0</v>
      </c>
      <c r="O19" s="121">
        <f>IF(C19&lt;&gt;"",SUMIF(Resultados!$C$170:$C$219,'Temporada 2026'!C19,Resultados!$F$170:$F$219),"")</f>
        <v>6</v>
      </c>
      <c r="P19" s="121">
        <f>IF(C19&lt;&gt;"",SUMIF(Resultados!$C$223:$C$268,'Temporada 2026'!C19,Resultados!$F$223:$F$268),"")</f>
        <v>8</v>
      </c>
      <c r="Q19" s="121">
        <f>IF(C19&lt;&gt;"",SUMIF(Resultados!$C$275:$C$300,'Temporada 2026'!C19,Resultados!$F$275:$F$300),"")</f>
        <v>0</v>
      </c>
      <c r="R19" s="121">
        <f>IF(C19&lt;&gt;"",SUMIF(Resultados!$C$303:$C$328,'Temporada 2026'!C19,Resultados!$F$303:$F$328),"")</f>
        <v>1</v>
      </c>
      <c r="S19" s="121">
        <f>IF(C19&lt;&gt;"",SUMIF(Resultados!$C$331:$C$356,'Temporada 2026'!C19,Resultados!$F$331:$F$356),"")</f>
        <v>0</v>
      </c>
      <c r="T19" s="121">
        <f>IF(C19&lt;&gt;"",SUMIF(Resultados!$C$360:$C$409,'Temporada 2026'!C19,Resultados!$F$360:$F$409),"")</f>
        <v>2</v>
      </c>
      <c r="U19" s="121">
        <f>IF(C19&lt;&gt;"",SUMIF(Resultados!$C$412:$C$437,'Temporada 2026'!C19,Resultados!$F$412:$F$437),"")</f>
        <v>1</v>
      </c>
      <c r="V19" s="121">
        <f>IF(C19&lt;&gt;"",SUMIF(Resultados!$C$440:$C$465,'Temporada 2026'!C19,Resultados!$F$440:$F$465),"")</f>
        <v>0</v>
      </c>
      <c r="W19" s="121">
        <f>IF(C19&lt;&gt;"",SUMIF(Resultados!$C$469:$C$518,'Temporada 2026'!C19,Resultados!$F$469:$F$518),"")</f>
        <v>0</v>
      </c>
      <c r="X19" s="121">
        <f>IF(C19&lt;&gt;"",SUMIF(Resultados!$C$521:$C$546,'Temporada 2026'!C19,Resultados!$F$521:$F$546),"")</f>
        <v>2</v>
      </c>
      <c r="Y19" s="121">
        <f>IF(C19&lt;&gt;"",SUMIF(Resultados!$C$549:$C$574,'Temporada 2026'!C19,Resultados!$F$549:$F$574),"")</f>
        <v>6</v>
      </c>
      <c r="Z19" s="121">
        <f>IF(C19&lt;&gt;"",SUMIF(Resultados!$C$577:$C$602,'Temporada 2026'!C19,Resultados!$F$577:$F$602),"")</f>
        <v>0</v>
      </c>
      <c r="AA19" s="121">
        <f>IF(C19&lt;&gt;"",SUMIF(Resultados!$C$606:$C$655,'Temporada 2026'!C19,Resultados!$F$606:$F$655),"")</f>
        <v>0</v>
      </c>
      <c r="AB19" s="121">
        <f>IF(C19&lt;&gt;"",SUMIF(Resultados!$C$658:$C$683,'Temporada 2026'!C19,Resultados!$F$658:$F$683),"")</f>
        <v>0</v>
      </c>
      <c r="AC19" s="121">
        <f>IF(C19&lt;&gt;"",SUMIF(Resultados!$C$686:$C$711,'Temporada 2026'!C19,Resultados!$F$686:$F$711),"")</f>
        <v>0</v>
      </c>
      <c r="AD19" s="121">
        <f>IF(C19&lt;&gt;"",SUMIF(Resultados!$C$714:$C$739,'Temporada 2026'!C19,Resultados!$F$714:$F$739),"")</f>
        <v>0</v>
      </c>
      <c r="AE19" s="121">
        <f>IF(C19&lt;&gt;"",SUMIF(Resultados!$C$742:$C$767,'Temporada 2026'!C19,Resultados!$F$742:$F$767),"")</f>
        <v>0</v>
      </c>
      <c r="AF19" s="121">
        <f>IF(C19&lt;&gt;"",SUMIF(Resultados!$C$770:$C$795,'Temporada 2026'!C19,Resultados!$F$770:$F$795),"")</f>
        <v>0</v>
      </c>
      <c r="AG19" s="121">
        <f>IF(C19&lt;&gt;"",SUMIF(Resultados!$C$798:$C$823,'Temporada 2026'!C19,Resultados!$F$798:$F$823),"")</f>
        <v>0</v>
      </c>
    </row>
    <row r="20" spans="2:33" x14ac:dyDescent="0.2">
      <c r="B20" s="128">
        <f>IF('Equipes e Pilotos'!B15&lt;&gt;"",'Equipes e Pilotos'!B15,"")</f>
        <v>13</v>
      </c>
      <c r="C20" s="122" t="str">
        <f>VLOOKUP(B20,'Dummy Table'!$A$3:$B$30,2,FALSE)</f>
        <v>Oliver Bearman</v>
      </c>
      <c r="D20" s="123" t="str">
        <f>VLOOKUP(B20,'Dummy Table'!$A$3:$C$30,3,FALSE)</f>
        <v>Inglaterra</v>
      </c>
      <c r="E20" s="123" t="str">
        <f>VLOOKUP(B20,'Dummy Table'!$A$3:$D$30,4,FALSE)</f>
        <v>Haas</v>
      </c>
      <c r="F20" s="124" t="str">
        <f>IF(C20&lt;&gt;"",IF(G20+Resultados!$K$35&gt;$G$8,"J","L"),"")</f>
        <v>L</v>
      </c>
      <c r="G20" s="125">
        <f>VLOOKUP(B20,'Dummy Table'!$A$3:$E$30,5,FALSE)</f>
        <v>23</v>
      </c>
      <c r="H20" s="123">
        <f t="shared" si="0"/>
        <v>-317</v>
      </c>
      <c r="I20" s="126">
        <f>IF(B20="","",SUMIF(Resultados!$M$3:$M$30,C20,Resultados!$O$3:$O$30))</f>
        <v>0</v>
      </c>
      <c r="J20" s="121">
        <f>IF(C20&lt;&gt;"",SUMIF(Resultados!$C$4:$C$29,'Temporada 2026'!C20,Resultados!$F$4:$F$29),"")</f>
        <v>6</v>
      </c>
      <c r="K20" s="121">
        <f>IF(C20&lt;&gt;"",SUMIF(Resultados!$C$33:$C$82,'Temporada 2026'!C20,Resultados!$F$33:$F$82),"")</f>
        <v>11</v>
      </c>
      <c r="L20" s="121">
        <f>IF(C20&lt;&gt;"",SUMIF(Resultados!$C$85:$C$110,'Temporada 2026'!C20,Resultados!$F$85:$F$110),"")</f>
        <v>0</v>
      </c>
      <c r="M20" s="121">
        <f>IF(C20&lt;&gt;"",SUMIF(Resultados!$C$113:$C$138,'Temporada 2026'!C20,Resultados!$F$113:$F$138),"")</f>
        <v>0</v>
      </c>
      <c r="N20" s="121">
        <f>IF(C20&lt;&gt;"",SUMIF(Resultados!$C$141:$C$166,'Temporada 2026'!C20,Resultados!$F$141:$F$166),"")</f>
        <v>0</v>
      </c>
      <c r="O20" s="121">
        <f>IF(C20&lt;&gt;"",SUMIF(Resultados!$C$170:$C$219,'Temporada 2026'!C20,Resultados!$F$170:$F$219),"")</f>
        <v>0</v>
      </c>
      <c r="P20" s="121">
        <f>IF(C20&lt;&gt;"",SUMIF(Resultados!$C$223:$C$268,'Temporada 2026'!C20,Resultados!$F$223:$F$268),"")</f>
        <v>1</v>
      </c>
      <c r="Q20" s="121">
        <f>IF(C20&lt;&gt;"",SUMIF(Resultados!$C$275:$C$300,'Temporada 2026'!C20,Resultados!$F$275:$F$300),"")</f>
        <v>0</v>
      </c>
      <c r="R20" s="121">
        <f>IF(C20&lt;&gt;"",SUMIF(Resultados!$C$303:$C$328,'Temporada 2026'!C20,Resultados!$F$303:$F$328),"")</f>
        <v>0</v>
      </c>
      <c r="S20" s="121">
        <f>IF(C20&lt;&gt;"",SUMIF(Resultados!$C$331:$C$356,'Temporada 2026'!C20,Resultados!$F$331:$F$356),"")</f>
        <v>0</v>
      </c>
      <c r="T20" s="121">
        <f>IF(C20&lt;&gt;"",SUMIF(Resultados!$C$360:$C$409,'Temporada 2026'!C20,Resultados!$F$360:$F$409),"")</f>
        <v>0</v>
      </c>
      <c r="U20" s="121">
        <f>IF(C20&lt;&gt;"",SUMIF(Resultados!$C$412:$C$437,'Temporada 2026'!C20,Resultados!$F$412:$F$437),"")</f>
        <v>0</v>
      </c>
      <c r="V20" s="121">
        <f>IF(C20&lt;&gt;"",SUMIF(Resultados!$C$440:$C$465,'Temporada 2026'!C20,Resultados!$F$440:$F$465),"")</f>
        <v>0</v>
      </c>
      <c r="W20" s="121">
        <f>IF(C20&lt;&gt;"",SUMIF(Resultados!$C$469:$C$518,'Temporada 2026'!C20,Resultados!$F$469:$F$518),"")</f>
        <v>0</v>
      </c>
      <c r="X20" s="121">
        <f>IF(C20&lt;&gt;"",SUMIF(Resultados!$C$521:$C$546,'Temporada 2026'!C20,Resultados!$F$521:$F$546),"")</f>
        <v>0</v>
      </c>
      <c r="Y20" s="121">
        <f>IF(C20&lt;&gt;"",SUMIF(Resultados!$C$549:$C$574,'Temporada 2026'!C20,Resultados!$F$549:$F$574),"")</f>
        <v>0</v>
      </c>
      <c r="Z20" s="121">
        <f>IF(C20&lt;&gt;"",SUMIF(Resultados!$C$577:$C$602,'Temporada 2026'!C20,Resultados!$F$577:$F$602),"")</f>
        <v>2</v>
      </c>
      <c r="AA20" s="121">
        <f>IF(C20&lt;&gt;"",SUMIF(Resultados!$C$606:$C$655,'Temporada 2026'!C20,Resultados!$F$606:$F$655),"")</f>
        <v>3</v>
      </c>
      <c r="AB20" s="121">
        <f>IF(C20&lt;&gt;"",SUMIF(Resultados!$C$658:$C$683,'Temporada 2026'!C20,Resultados!$F$658:$F$683),"")</f>
        <v>0</v>
      </c>
      <c r="AC20" s="121">
        <f>IF(C20&lt;&gt;"",SUMIF(Resultados!$C$686:$C$711,'Temporada 2026'!C20,Resultados!$F$686:$F$711),"")</f>
        <v>0</v>
      </c>
      <c r="AD20" s="121">
        <f>IF(C20&lt;&gt;"",SUMIF(Resultados!$C$714:$C$739,'Temporada 2026'!C20,Resultados!$F$714:$F$739),"")</f>
        <v>0</v>
      </c>
      <c r="AE20" s="121">
        <f>IF(C20&lt;&gt;"",SUMIF(Resultados!$C$742:$C$767,'Temporada 2026'!C20,Resultados!$F$742:$F$767),"")</f>
        <v>0</v>
      </c>
      <c r="AF20" s="121">
        <f>IF(C20&lt;&gt;"",SUMIF(Resultados!$C$770:$C$795,'Temporada 2026'!C20,Resultados!$F$770:$F$795),"")</f>
        <v>0</v>
      </c>
      <c r="AG20" s="121">
        <f>IF(C20&lt;&gt;"",SUMIF(Resultados!$C$798:$C$823,'Temporada 2026'!C20,Resultados!$F$798:$F$823),"")</f>
        <v>0</v>
      </c>
    </row>
    <row r="21" spans="2:33" x14ac:dyDescent="0.2">
      <c r="B21" s="128">
        <f>IF('Equipes e Pilotos'!B16&lt;&gt;"",'Equipes e Pilotos'!B16,"")</f>
        <v>14</v>
      </c>
      <c r="C21" s="122" t="str">
        <f>VLOOKUP(B21,'Dummy Table'!$A$3:$B$30,2,FALSE)</f>
        <v>Nico Hulkenberg</v>
      </c>
      <c r="D21" s="123" t="str">
        <f>VLOOKUP(B21,'Dummy Table'!$A$3:$C$30,3,FALSE)</f>
        <v>Alemanha</v>
      </c>
      <c r="E21" s="123" t="str">
        <f>VLOOKUP(B21,'Dummy Table'!$A$3:$D$30,4,FALSE)</f>
        <v>Audi</v>
      </c>
      <c r="F21" s="124" t="str">
        <f>IF(C21&lt;&gt;"",IF(G21+Resultados!$K$35&gt;$G$8,"J","L"),"")</f>
        <v>L</v>
      </c>
      <c r="G21" s="125">
        <f>VLOOKUP(B21,'Dummy Table'!$A$3:$E$30,5,FALSE)</f>
        <v>13</v>
      </c>
      <c r="H21" s="123">
        <f t="shared" si="0"/>
        <v>-327</v>
      </c>
      <c r="I21" s="126">
        <f>IF(B21="","",SUMIF(Resultados!$M$3:$M$30,C21,Resultados!$O$3:$O$30))</f>
        <v>0</v>
      </c>
      <c r="J21" s="121">
        <f>IF(C21&lt;&gt;"",SUMIF(Resultados!$C$4:$C$29,'Temporada 2026'!C21,Resultados!$F$4:$F$29),"")</f>
        <v>0</v>
      </c>
      <c r="K21" s="121">
        <f>IF(C21&lt;&gt;"",SUMIF(Resultados!$C$33:$C$82,'Temporada 2026'!C21,Resultados!$F$33:$F$82),"")</f>
        <v>0</v>
      </c>
      <c r="L21" s="121">
        <f>IF(C21&lt;&gt;"",SUMIF(Resultados!$C$85:$C$110,'Temporada 2026'!C21,Resultados!$F$85:$F$110),"")</f>
        <v>0</v>
      </c>
      <c r="M21" s="121">
        <f>IF(C21&lt;&gt;"",SUMIF(Resultados!$C$113:$C$138,'Temporada 2026'!C21,Resultados!$F$113:$F$138),"")</f>
        <v>0</v>
      </c>
      <c r="N21" s="121">
        <f>IF(C21&lt;&gt;"",SUMIF(Resultados!$C$141:$C$166,'Temporada 2026'!C21,Resultados!$F$141:$F$166),"")</f>
        <v>0</v>
      </c>
      <c r="O21" s="121">
        <f>IF(C21&lt;&gt;"",SUMIF(Resultados!$C$170:$C$219,'Temporada 2026'!C21,Resultados!$F$170:$F$219),"")</f>
        <v>0</v>
      </c>
      <c r="P21" s="121">
        <f>IF(C21&lt;&gt;"",SUMIF(Resultados!$C$223:$C$268,'Temporada 2026'!C21,Resultados!$F$223:$F$268),"")</f>
        <v>0</v>
      </c>
      <c r="Q21" s="121">
        <f>IF(C21&lt;&gt;"",SUMIF(Resultados!$C$275:$C$300,'Temporada 2026'!C21,Resultados!$F$275:$F$300),"")</f>
        <v>0</v>
      </c>
      <c r="R21" s="121">
        <f>IF(C21&lt;&gt;"",SUMIF(Resultados!$C$303:$C$328,'Temporada 2026'!C21,Resultados!$F$303:$F$328),"")</f>
        <v>0</v>
      </c>
      <c r="S21" s="121">
        <f>IF(C21&lt;&gt;"",SUMIF(Resultados!$C$331:$C$356,'Temporada 2026'!C21,Resultados!$F$331:$F$356),"")</f>
        <v>0</v>
      </c>
      <c r="T21" s="121">
        <f>IF(C21&lt;&gt;"",SUMIF(Resultados!$C$360:$C$409,'Temporada 2026'!C21,Resultados!$F$360:$F$409),"")</f>
        <v>0</v>
      </c>
      <c r="U21" s="121">
        <f>IF(C21&lt;&gt;"",SUMIF(Resultados!$C$412:$C$437,'Temporada 2026'!C21,Resultados!$F$412:$F$437),"")</f>
        <v>0</v>
      </c>
      <c r="V21" s="121">
        <f>IF(C21&lt;&gt;"",SUMIF(Resultados!$C$440:$C$465,'Temporada 2026'!C21,Resultados!$F$440:$F$465),"")</f>
        <v>2</v>
      </c>
      <c r="W21" s="121">
        <f>IF(C21&lt;&gt;"",SUMIF(Resultados!$C$469:$C$518,'Temporada 2026'!C21,Resultados!$F$469:$F$518),"")</f>
        <v>4</v>
      </c>
      <c r="X21" s="121">
        <f>IF(C21&lt;&gt;"",SUMIF(Resultados!$C$521:$C$546,'Temporada 2026'!C21,Resultados!$F$521:$F$546),"")</f>
        <v>0</v>
      </c>
      <c r="Y21" s="121">
        <f>IF(C21&lt;&gt;"",SUMIF(Resultados!$C$549:$C$574,'Temporada 2026'!C21,Resultados!$F$549:$F$574),"")</f>
        <v>1</v>
      </c>
      <c r="Z21" s="121">
        <f>IF(C21&lt;&gt;"",SUMIF(Resultados!$C$577:$C$602,'Temporada 2026'!C21,Resultados!$F$577:$F$602),"")</f>
        <v>0</v>
      </c>
      <c r="AA21" s="121">
        <f>IF(C21&lt;&gt;"",SUMIF(Resultados!$C$606:$C$655,'Temporada 2026'!C21,Resultados!$F$606:$F$655),"")</f>
        <v>6</v>
      </c>
      <c r="AB21" s="121">
        <f>IF(C21&lt;&gt;"",SUMIF(Resultados!$C$658:$C$683,'Temporada 2026'!C21,Resultados!$F$658:$F$683),"")</f>
        <v>0</v>
      </c>
      <c r="AC21" s="121">
        <f>IF(C21&lt;&gt;"",SUMIF(Resultados!$C$686:$C$711,'Temporada 2026'!C21,Resultados!$F$686:$F$711),"")</f>
        <v>0</v>
      </c>
      <c r="AD21" s="121">
        <f>IF(C21&lt;&gt;"",SUMIF(Resultados!$C$714:$C$739,'Temporada 2026'!C21,Resultados!$F$714:$F$739),"")</f>
        <v>0</v>
      </c>
      <c r="AE21" s="121">
        <f>IF(C21&lt;&gt;"",SUMIF(Resultados!$C$742:$C$767,'Temporada 2026'!C21,Resultados!$F$742:$F$767),"")</f>
        <v>0</v>
      </c>
      <c r="AF21" s="121">
        <f>IF(C21&lt;&gt;"",SUMIF(Resultados!$C$770:$C$795,'Temporada 2026'!C21,Resultados!$F$770:$F$795),"")</f>
        <v>0</v>
      </c>
      <c r="AG21" s="121">
        <f>IF(C21&lt;&gt;"",SUMIF(Resultados!$C$798:$C$823,'Temporada 2026'!C21,Resultados!$F$798:$F$823),"")</f>
        <v>0</v>
      </c>
    </row>
    <row r="22" spans="2:33" x14ac:dyDescent="0.2">
      <c r="B22" s="128">
        <f>IF('Equipes e Pilotos'!B17&lt;&gt;"",'Equipes e Pilotos'!B17,"")</f>
        <v>15</v>
      </c>
      <c r="C22" s="122" t="str">
        <f>VLOOKUP(B22,'Dummy Table'!$A$3:$B$30,2,FALSE)</f>
        <v>Gabriel Bortoleto</v>
      </c>
      <c r="D22" s="123" t="str">
        <f>VLOOKUP(B22,'Dummy Table'!$A$3:$C$30,3,FALSE)</f>
        <v>Brasil</v>
      </c>
      <c r="E22" s="123" t="str">
        <f>VLOOKUP(B22,'Dummy Table'!$A$3:$D$30,4,FALSE)</f>
        <v>Audi</v>
      </c>
      <c r="F22" s="124" t="str">
        <f>IF(C22&lt;&gt;"",IF(G22+Resultados!$K$35&gt;$G$8,"J","L"),"")</f>
        <v>L</v>
      </c>
      <c r="G22" s="125">
        <f>VLOOKUP(B22,'Dummy Table'!$A$3:$E$30,5,FALSE)</f>
        <v>10</v>
      </c>
      <c r="H22" s="123">
        <f t="shared" si="0"/>
        <v>-330</v>
      </c>
      <c r="I22" s="126">
        <f>IF(B22="","",SUMIF(Resultados!$M$3:$M$30,C22,Resultados!$O$3:$O$30))</f>
        <v>0</v>
      </c>
      <c r="J22" s="121">
        <f>IF(C22&lt;&gt;"",SUMIF(Resultados!$C$4:$C$29,'Temporada 2026'!C22,Resultados!$F$4:$F$29),"")</f>
        <v>2</v>
      </c>
      <c r="K22" s="121">
        <f>IF(C22&lt;&gt;"",SUMIF(Resultados!$C$33:$C$82,'Temporada 2026'!C22,Resultados!$F$33:$F$82),"")</f>
        <v>0</v>
      </c>
      <c r="L22" s="121">
        <f>IF(C22&lt;&gt;"",SUMIF(Resultados!$C$85:$C$110,'Temporada 2026'!C22,Resultados!$F$85:$F$110),"")</f>
        <v>0</v>
      </c>
      <c r="M22" s="121">
        <f>IF(C22&lt;&gt;"",SUMIF(Resultados!$C$113:$C$138,'Temporada 2026'!C22,Resultados!$F$113:$F$138),"")</f>
        <v>0</v>
      </c>
      <c r="N22" s="121">
        <f>IF(C22&lt;&gt;"",SUMIF(Resultados!$C$141:$C$166,'Temporada 2026'!C22,Resultados!$F$141:$F$166),"")</f>
        <v>0</v>
      </c>
      <c r="O22" s="121">
        <f>IF(C22&lt;&gt;"",SUMIF(Resultados!$C$170:$C$219,'Temporada 2026'!C22,Resultados!$F$170:$F$219),"")</f>
        <v>0</v>
      </c>
      <c r="P22" s="121">
        <f>IF(C22&lt;&gt;"",SUMIF(Resultados!$C$223:$C$268,'Temporada 2026'!C22,Resultados!$F$223:$F$268),"")</f>
        <v>0</v>
      </c>
      <c r="Q22" s="121">
        <f>IF(C22&lt;&gt;"",SUMIF(Resultados!$C$275:$C$300,'Temporada 2026'!C22,Resultados!$F$275:$F$300),"")</f>
        <v>0</v>
      </c>
      <c r="R22" s="121">
        <f>IF(C22&lt;&gt;"",SUMIF(Resultados!$C$303:$C$328,'Temporada 2026'!C22,Resultados!$F$303:$F$328),"")</f>
        <v>0</v>
      </c>
      <c r="S22" s="121">
        <f>IF(C22&lt;&gt;"",SUMIF(Resultados!$C$331:$C$356,'Temporada 2026'!C22,Resultados!$F$331:$F$356),"")</f>
        <v>0</v>
      </c>
      <c r="T22" s="121">
        <f>IF(C22&lt;&gt;"",SUMIF(Resultados!$C$360:$C$409,'Temporada 2026'!C22,Resultados!$F$360:$F$409),"")</f>
        <v>4</v>
      </c>
      <c r="U22" s="121">
        <f>IF(C22&lt;&gt;"",SUMIF(Resultados!$C$412:$C$437,'Temporada 2026'!C22,Resultados!$F$412:$F$437),"")</f>
        <v>4</v>
      </c>
      <c r="V22" s="121">
        <f>IF(C22&lt;&gt;"",SUMIF(Resultados!$C$440:$C$465,'Temporada 2026'!C22,Resultados!$F$440:$F$465),"")</f>
        <v>0</v>
      </c>
      <c r="W22" s="121">
        <f>IF(C22&lt;&gt;"",SUMIF(Resultados!$C$469:$C$518,'Temporada 2026'!C22,Resultados!$F$469:$F$518),"")</f>
        <v>0</v>
      </c>
      <c r="X22" s="121">
        <f>IF(C22&lt;&gt;"",SUMIF(Resultados!$C$521:$C$546,'Temporada 2026'!C22,Resultados!$F$521:$F$546),"")</f>
        <v>0</v>
      </c>
      <c r="Y22" s="121">
        <f>IF(C22&lt;&gt;"",SUMIF(Resultados!$C$549:$C$574,'Temporada 2026'!C22,Resultados!$F$549:$F$574),"")</f>
        <v>0</v>
      </c>
      <c r="Z22" s="121">
        <f>IF(C22&lt;&gt;"",SUMIF(Resultados!$C$577:$C$602,'Temporada 2026'!C22,Resultados!$F$577:$F$602),"")</f>
        <v>0</v>
      </c>
      <c r="AA22" s="121">
        <f>IF(C22&lt;&gt;"",SUMIF(Resultados!$C$606:$C$655,'Temporada 2026'!C22,Resultados!$F$606:$F$655),"")</f>
        <v>0</v>
      </c>
      <c r="AB22" s="121">
        <f>IF(C22&lt;&gt;"",SUMIF(Resultados!$C$658:$C$683,'Temporada 2026'!C22,Resultados!$F$658:$F$683),"")</f>
        <v>0</v>
      </c>
      <c r="AC22" s="121">
        <f>IF(C22&lt;&gt;"",SUMIF(Resultados!$C$686:$C$711,'Temporada 2026'!C22,Resultados!$F$686:$F$711),"")</f>
        <v>0</v>
      </c>
      <c r="AD22" s="121">
        <f>IF(C22&lt;&gt;"",SUMIF(Resultados!$C$714:$C$739,'Temporada 2026'!C22,Resultados!$F$714:$F$739),"")</f>
        <v>0</v>
      </c>
      <c r="AE22" s="121">
        <f>IF(C22&lt;&gt;"",SUMIF(Resultados!$C$742:$C$767,'Temporada 2026'!C22,Resultados!$F$742:$F$767),"")</f>
        <v>0</v>
      </c>
      <c r="AF22" s="121">
        <f>IF(C22&lt;&gt;"",SUMIF(Resultados!$C$770:$C$795,'Temporada 2026'!C22,Resultados!$F$770:$F$795),"")</f>
        <v>0</v>
      </c>
      <c r="AG22" s="121">
        <f>IF(C22&lt;&gt;"",SUMIF(Resultados!$C$798:$C$823,'Temporada 2026'!C22,Resultados!$F$798:$F$823),"")</f>
        <v>0</v>
      </c>
    </row>
    <row r="23" spans="2:33" x14ac:dyDescent="0.2">
      <c r="B23" s="128">
        <f>IF('Equipes e Pilotos'!B18&lt;&gt;"",'Equipes e Pilotos'!B18,"")</f>
        <v>16</v>
      </c>
      <c r="C23" s="122" t="str">
        <f>VLOOKUP(B23,'Dummy Table'!$A$3:$B$30,2,FALSE)</f>
        <v>Esteban Ocon</v>
      </c>
      <c r="D23" s="123" t="str">
        <f>VLOOKUP(B23,'Dummy Table'!$A$3:$C$30,3,FALSE)</f>
        <v>França</v>
      </c>
      <c r="E23" s="123" t="str">
        <f>VLOOKUP(B23,'Dummy Table'!$A$3:$D$30,4,FALSE)</f>
        <v>Haas</v>
      </c>
      <c r="F23" s="124" t="str">
        <f>IF(C23&lt;&gt;"",IF(G23+Resultados!$K$35&gt;$G$8,"J","L"),"")</f>
        <v>L</v>
      </c>
      <c r="G23" s="125">
        <f>VLOOKUP(B23,'Dummy Table'!$A$3:$E$30,5,FALSE)</f>
        <v>7</v>
      </c>
      <c r="H23" s="123">
        <f t="shared" si="0"/>
        <v>-333</v>
      </c>
      <c r="I23" s="126">
        <f>IF(B23="","",SUMIF(Resultados!$M$3:$M$30,C23,Resultados!$O$3:$O$30))</f>
        <v>0</v>
      </c>
      <c r="J23" s="121">
        <f>IF(C23&lt;&gt;"",SUMIF(Resultados!$C$4:$C$29,'Temporada 2026'!C23,Resultados!$F$4:$F$29),"")</f>
        <v>0</v>
      </c>
      <c r="K23" s="121">
        <f>IF(C23&lt;&gt;"",SUMIF(Resultados!$C$33:$C$82,'Temporada 2026'!C23,Resultados!$F$33:$F$82),"")</f>
        <v>0</v>
      </c>
      <c r="L23" s="121">
        <f>IF(C23&lt;&gt;"",SUMIF(Resultados!$C$85:$C$110,'Temporada 2026'!C23,Resultados!$F$85:$F$110),"")</f>
        <v>1</v>
      </c>
      <c r="M23" s="121">
        <f>IF(C23&lt;&gt;"",SUMIF(Resultados!$C$113:$C$138,'Temporada 2026'!C23,Resultados!$F$113:$F$138),"")</f>
        <v>0</v>
      </c>
      <c r="N23" s="121">
        <f>IF(C23&lt;&gt;"",SUMIF(Resultados!$C$141:$C$166,'Temporada 2026'!C23,Resultados!$F$141:$F$166),"")</f>
        <v>0</v>
      </c>
      <c r="O23" s="121">
        <f>IF(C23&lt;&gt;"",SUMIF(Resultados!$C$170:$C$219,'Temporada 2026'!C23,Resultados!$F$170:$F$219),"")</f>
        <v>0</v>
      </c>
      <c r="P23" s="121">
        <f>IF(C23&lt;&gt;"",SUMIF(Resultados!$C$223:$C$268,'Temporada 2026'!C23,Resultados!$F$223:$F$268),"")</f>
        <v>0</v>
      </c>
      <c r="Q23" s="121">
        <f>IF(C23&lt;&gt;"",SUMIF(Resultados!$C$275:$C$300,'Temporada 2026'!C23,Resultados!$F$275:$F$300),"")</f>
        <v>2</v>
      </c>
      <c r="R23" s="121">
        <f>IF(C23&lt;&gt;"",SUMIF(Resultados!$C$303:$C$328,'Temporada 2026'!C23,Resultados!$F$303:$F$328),"")</f>
        <v>0</v>
      </c>
      <c r="S23" s="121">
        <f>IF(C23&lt;&gt;"",SUMIF(Resultados!$C$331:$C$356,'Temporada 2026'!C23,Resultados!$F$331:$F$356),"")</f>
        <v>0</v>
      </c>
      <c r="T23" s="121">
        <f>IF(C23&lt;&gt;"",SUMIF(Resultados!$C$360:$C$409,'Temporada 2026'!C23,Resultados!$F$360:$F$409),"")</f>
        <v>0</v>
      </c>
      <c r="U23" s="121">
        <f>IF(C23&lt;&gt;"",SUMIF(Resultados!$C$412:$C$437,'Temporada 2026'!C23,Resultados!$F$412:$F$437),"")</f>
        <v>0</v>
      </c>
      <c r="V23" s="121">
        <f>IF(C23&lt;&gt;"",SUMIF(Resultados!$C$440:$C$465,'Temporada 2026'!C23,Resultados!$F$440:$F$465),"")</f>
        <v>0</v>
      </c>
      <c r="W23" s="121">
        <f>IF(C23&lt;&gt;"",SUMIF(Resultados!$C$469:$C$518,'Temporada 2026'!C23,Resultados!$F$469:$F$518),"")</f>
        <v>0</v>
      </c>
      <c r="X23" s="121">
        <f>IF(C23&lt;&gt;"",SUMIF(Resultados!$C$521:$C$546,'Temporada 2026'!C23,Resultados!$F$521:$F$546),"")</f>
        <v>0</v>
      </c>
      <c r="Y23" s="121">
        <f>IF(C23&lt;&gt;"",SUMIF(Resultados!$C$549:$C$574,'Temporada 2026'!C23,Resultados!$F$549:$F$574),"")</f>
        <v>0</v>
      </c>
      <c r="Z23" s="121">
        <f>IF(C23&lt;&gt;"",SUMIF(Resultados!$C$577:$C$602,'Temporada 2026'!C23,Resultados!$F$577:$F$602),"")</f>
        <v>4</v>
      </c>
      <c r="AA23" s="121">
        <f>IF(C23&lt;&gt;"",SUMIF(Resultados!$C$606:$C$655,'Temporada 2026'!C23,Resultados!$F$606:$F$655),"")</f>
        <v>0</v>
      </c>
      <c r="AB23" s="121">
        <f>IF(C23&lt;&gt;"",SUMIF(Resultados!$C$658:$C$683,'Temporada 2026'!C23,Resultados!$F$658:$F$683),"")</f>
        <v>0</v>
      </c>
      <c r="AC23" s="121">
        <f>IF(C23&lt;&gt;"",SUMIF(Resultados!$C$686:$C$711,'Temporada 2026'!C23,Resultados!$F$686:$F$711),"")</f>
        <v>0</v>
      </c>
      <c r="AD23" s="121">
        <f>IF(C23&lt;&gt;"",SUMIF(Resultados!$C$714:$C$739,'Temporada 2026'!C23,Resultados!$F$714:$F$739),"")</f>
        <v>0</v>
      </c>
      <c r="AE23" s="121">
        <f>IF(C23&lt;&gt;"",SUMIF(Resultados!$C$742:$C$767,'Temporada 2026'!C23,Resultados!$F$742:$F$767),"")</f>
        <v>0</v>
      </c>
      <c r="AF23" s="121">
        <f>IF(C23&lt;&gt;"",SUMIF(Resultados!$C$770:$C$795,'Temporada 2026'!C23,Resultados!$F$770:$F$795),"")</f>
        <v>0</v>
      </c>
      <c r="AG23" s="121">
        <f>IF(C23&lt;&gt;"",SUMIF(Resultados!$C$798:$C$823,'Temporada 2026'!C23,Resultados!$F$798:$F$823),"")</f>
        <v>0</v>
      </c>
    </row>
    <row r="24" spans="2:33" x14ac:dyDescent="0.2">
      <c r="B24" s="128">
        <f>IF('Equipes e Pilotos'!B19&lt;&gt;"",'Equipes e Pilotos'!B19,"")</f>
        <v>17</v>
      </c>
      <c r="C24" s="122" t="str">
        <f>VLOOKUP(B24,'Dummy Table'!$A$3:$B$30,2,FALSE)</f>
        <v>Fernando Alonso</v>
      </c>
      <c r="D24" s="123" t="str">
        <f>VLOOKUP(B24,'Dummy Table'!$A$3:$C$30,3,FALSE)</f>
        <v>Espanha</v>
      </c>
      <c r="E24" s="123" t="str">
        <f>VLOOKUP(B24,'Dummy Table'!$A$3:$D$30,4,FALSE)</f>
        <v>Aston Martin</v>
      </c>
      <c r="F24" s="124" t="str">
        <f>IF(C24&lt;&gt;"",IF(G24+Resultados!$K$35&gt;$G$8,"J","L"),"")</f>
        <v>L</v>
      </c>
      <c r="G24" s="125">
        <f>VLOOKUP(B24,'Dummy Table'!$A$3:$E$30,5,FALSE)</f>
        <v>7</v>
      </c>
      <c r="H24" s="123">
        <f t="shared" si="0"/>
        <v>-333</v>
      </c>
      <c r="I24" s="126">
        <f>IF(B24="","",SUMIF(Resultados!$M$3:$M$30,C24,Resultados!$O$3:$O$30))</f>
        <v>0</v>
      </c>
      <c r="J24" s="121">
        <f>IF(C24&lt;&gt;"",SUMIF(Resultados!$C$4:$C$29,'Temporada 2026'!C24,Resultados!$F$4:$F$29),"")</f>
        <v>0</v>
      </c>
      <c r="K24" s="121">
        <f>IF(C24&lt;&gt;"",SUMIF(Resultados!$C$33:$C$82,'Temporada 2026'!C24,Resultados!$F$33:$F$82),"")</f>
        <v>0</v>
      </c>
      <c r="L24" s="121">
        <f>IF(C24&lt;&gt;"",SUMIF(Resultados!$C$85:$C$110,'Temporada 2026'!C24,Resultados!$F$85:$F$110),"")</f>
        <v>0</v>
      </c>
      <c r="M24" s="121">
        <f>IF(C24&lt;&gt;"",SUMIF(Resultados!$C$113:$C$138,'Temporada 2026'!C24,Resultados!$F$113:$F$138),"")</f>
        <v>4</v>
      </c>
      <c r="N24" s="121">
        <f>IF(C24&lt;&gt;"",SUMIF(Resultados!$C$141:$C$166,'Temporada 2026'!C24,Resultados!$F$141:$F$166),"")</f>
        <v>0</v>
      </c>
      <c r="O24" s="121">
        <f>IF(C24&lt;&gt;"",SUMIF(Resultados!$C$170:$C$219,'Temporada 2026'!C24,Resultados!$F$170:$F$219),"")</f>
        <v>0</v>
      </c>
      <c r="P24" s="121">
        <f>IF(C24&lt;&gt;"",SUMIF(Resultados!$C$223:$C$268,'Temporada 2026'!C24,Resultados!$F$223:$F$268),"")</f>
        <v>0</v>
      </c>
      <c r="Q24" s="121">
        <f>IF(C24&lt;&gt;"",SUMIF(Resultados!$C$275:$C$300,'Temporada 2026'!C24,Resultados!$F$275:$F$300),"")</f>
        <v>1</v>
      </c>
      <c r="R24" s="121">
        <f>IF(C24&lt;&gt;"",SUMIF(Resultados!$C$303:$C$328,'Temporada 2026'!C24,Resultados!$F$303:$F$328),"")</f>
        <v>0</v>
      </c>
      <c r="S24" s="121">
        <f>IF(C24&lt;&gt;"",SUMIF(Resultados!$C$331:$C$356,'Temporada 2026'!C24,Resultados!$F$331:$F$356),"")</f>
        <v>0</v>
      </c>
      <c r="T24" s="121">
        <f>IF(C24&lt;&gt;"",SUMIF(Resultados!$C$360:$C$409,'Temporada 2026'!C24,Resultados!$F$360:$F$409),"")</f>
        <v>0</v>
      </c>
      <c r="U24" s="121">
        <f>IF(C24&lt;&gt;"",SUMIF(Resultados!$C$412:$C$437,'Temporada 2026'!C24,Resultados!$F$412:$F$437),"")</f>
        <v>0</v>
      </c>
      <c r="V24" s="121">
        <f>IF(C24&lt;&gt;"",SUMIF(Resultados!$C$440:$C$465,'Temporada 2026'!C24,Resultados!$F$440:$F$465),"")</f>
        <v>0</v>
      </c>
      <c r="W24" s="121">
        <f>IF(C24&lt;&gt;"",SUMIF(Resultados!$C$469:$C$518,'Temporada 2026'!C24,Resultados!$F$469:$F$518),"")</f>
        <v>2</v>
      </c>
      <c r="X24" s="121">
        <f>IF(C24&lt;&gt;"",SUMIF(Resultados!$C$521:$C$546,'Temporada 2026'!C24,Resultados!$F$521:$F$546),"")</f>
        <v>0</v>
      </c>
      <c r="Y24" s="121">
        <f>IF(C24&lt;&gt;"",SUMIF(Resultados!$C$549:$C$574,'Temporada 2026'!C24,Resultados!$F$549:$F$574),"")</f>
        <v>0</v>
      </c>
      <c r="Z24" s="121">
        <f>IF(C24&lt;&gt;"",SUMIF(Resultados!$C$577:$C$602,'Temporada 2026'!C24,Resultados!$F$577:$F$602),"")</f>
        <v>0</v>
      </c>
      <c r="AA24" s="121">
        <f>IF(C24&lt;&gt;"",SUMIF(Resultados!$C$606:$C$655,'Temporada 2026'!C24,Resultados!$F$606:$F$655),"")</f>
        <v>0</v>
      </c>
      <c r="AB24" s="121">
        <f>IF(C24&lt;&gt;"",SUMIF(Resultados!$C$658:$C$683,'Temporada 2026'!C24,Resultados!$F$658:$F$683),"")</f>
        <v>0</v>
      </c>
      <c r="AC24" s="121">
        <f>IF(C24&lt;&gt;"",SUMIF(Resultados!$C$686:$C$711,'Temporada 2026'!C24,Resultados!$F$686:$F$711),"")</f>
        <v>0</v>
      </c>
      <c r="AD24" s="121">
        <f>IF(C24&lt;&gt;"",SUMIF(Resultados!$C$714:$C$739,'Temporada 2026'!C24,Resultados!$F$714:$F$739),"")</f>
        <v>0</v>
      </c>
      <c r="AE24" s="121">
        <f>IF(C24&lt;&gt;"",SUMIF(Resultados!$C$742:$C$767,'Temporada 2026'!C24,Resultados!$F$742:$F$767),"")</f>
        <v>0</v>
      </c>
      <c r="AF24" s="121">
        <f>IF(C24&lt;&gt;"",SUMIF(Resultados!$C$770:$C$795,'Temporada 2026'!C24,Resultados!$F$770:$F$795),"")</f>
        <v>0</v>
      </c>
      <c r="AG24" s="121">
        <f>IF(C24&lt;&gt;"",SUMIF(Resultados!$C$798:$C$823,'Temporada 2026'!C24,Resultados!$F$798:$F$823),"")</f>
        <v>0</v>
      </c>
    </row>
    <row r="25" spans="2:33" x14ac:dyDescent="0.2">
      <c r="B25" s="128">
        <f>IF('Equipes e Pilotos'!B20&lt;&gt;"",'Equipes e Pilotos'!B20,"")</f>
        <v>18</v>
      </c>
      <c r="C25" s="122" t="str">
        <f>VLOOKUP(B25,'Dummy Table'!$A$3:$B$30,2,FALSE)</f>
        <v>Carlos Sainz</v>
      </c>
      <c r="D25" s="123" t="str">
        <f>VLOOKUP(B25,'Dummy Table'!$A$3:$C$30,3,FALSE)</f>
        <v>Espanha</v>
      </c>
      <c r="E25" s="123" t="str">
        <f>VLOOKUP(B25,'Dummy Table'!$A$3:$D$30,4,FALSE)</f>
        <v>Williams</v>
      </c>
      <c r="F25" s="124" t="str">
        <f>IF(C25&lt;&gt;"",IF(G25+Resultados!$K$35&gt;$G$8,"J","L"),"")</f>
        <v>L</v>
      </c>
      <c r="G25" s="125">
        <f>VLOOKUP(B25,'Dummy Table'!$A$3:$E$30,5,FALSE)</f>
        <v>7</v>
      </c>
      <c r="H25" s="123">
        <f t="shared" si="0"/>
        <v>-333</v>
      </c>
      <c r="I25" s="126">
        <f>IF(B25="","",SUMIF(Resultados!$M$3:$M$30,C25,Resultados!$O$3:$O$30))</f>
        <v>0</v>
      </c>
      <c r="J25" s="121">
        <f>IF(C25&lt;&gt;"",SUMIF(Resultados!$C$4:$C$29,'Temporada 2026'!C25,Resultados!$F$4:$F$29),"")</f>
        <v>0</v>
      </c>
      <c r="K25" s="121">
        <f>IF(C25&lt;&gt;"",SUMIF(Resultados!$C$33:$C$82,'Temporada 2026'!C25,Resultados!$F$33:$F$82),"")</f>
        <v>2</v>
      </c>
      <c r="L25" s="121">
        <f>IF(C25&lt;&gt;"",SUMIF(Resultados!$C$85:$C$110,'Temporada 2026'!C25,Resultados!$F$85:$F$110),"")</f>
        <v>0</v>
      </c>
      <c r="M25" s="121">
        <f>IF(C25&lt;&gt;"",SUMIF(Resultados!$C$113:$C$138,'Temporada 2026'!C25,Resultados!$F$113:$F$138),"")</f>
        <v>0</v>
      </c>
      <c r="N25" s="121">
        <f>IF(C25&lt;&gt;"",SUMIF(Resultados!$C$141:$C$166,'Temporada 2026'!C25,Resultados!$F$141:$F$166),"")</f>
        <v>0</v>
      </c>
      <c r="O25" s="121">
        <f>IF(C25&lt;&gt;"",SUMIF(Resultados!$C$170:$C$219,'Temporada 2026'!C25,Resultados!$F$170:$F$219),"")</f>
        <v>2</v>
      </c>
      <c r="P25" s="121">
        <f>IF(C25&lt;&gt;"",SUMIF(Resultados!$C$223:$C$268,'Temporada 2026'!C25,Resultados!$F$223:$F$268),"")</f>
        <v>2</v>
      </c>
      <c r="Q25" s="121">
        <f>IF(C25&lt;&gt;"",SUMIF(Resultados!$C$275:$C$300,'Temporada 2026'!C25,Resultados!$F$275:$F$300),"")</f>
        <v>0</v>
      </c>
      <c r="R25" s="121">
        <f>IF(C25&lt;&gt;"",SUMIF(Resultados!$C$303:$C$328,'Temporada 2026'!C25,Resultados!$F$303:$F$328),"")</f>
        <v>0</v>
      </c>
      <c r="S25" s="121">
        <f>IF(C25&lt;&gt;"",SUMIF(Resultados!$C$331:$C$356,'Temporada 2026'!C25,Resultados!$F$331:$F$356),"")</f>
        <v>0</v>
      </c>
      <c r="T25" s="121">
        <f>IF(C25&lt;&gt;"",SUMIF(Resultados!$C$360:$C$409,'Temporada 2026'!C25,Resultados!$F$360:$F$409),"")</f>
        <v>0</v>
      </c>
      <c r="U25" s="121">
        <f>IF(C25&lt;&gt;"",SUMIF(Resultados!$C$412:$C$437,'Temporada 2026'!C25,Resultados!$F$412:$F$437),"")</f>
        <v>0</v>
      </c>
      <c r="V25" s="121">
        <f>IF(C25&lt;&gt;"",SUMIF(Resultados!$C$440:$C$465,'Temporada 2026'!C25,Resultados!$F$440:$F$465),"")</f>
        <v>0</v>
      </c>
      <c r="W25" s="121">
        <f>IF(C25&lt;&gt;"",SUMIF(Resultados!$C$469:$C$518,'Temporada 2026'!C25,Resultados!$F$469:$F$518),"")</f>
        <v>0</v>
      </c>
      <c r="X25" s="121">
        <f>IF(C25&lt;&gt;"",SUMIF(Resultados!$C$521:$C$546,'Temporada 2026'!C25,Resultados!$F$521:$F$546),"")</f>
        <v>0</v>
      </c>
      <c r="Y25" s="121">
        <f>IF(C25&lt;&gt;"",SUMIF(Resultados!$C$549:$C$574,'Temporada 2026'!C25,Resultados!$F$549:$F$574),"")</f>
        <v>0</v>
      </c>
      <c r="Z25" s="121">
        <f>IF(C25&lt;&gt;"",SUMIF(Resultados!$C$577:$C$602,'Temporada 2026'!C25,Resultados!$F$577:$F$602),"")</f>
        <v>1</v>
      </c>
      <c r="AA25" s="121">
        <f>IF(C25&lt;&gt;"",SUMIF(Resultados!$C$606:$C$655,'Temporada 2026'!C25,Resultados!$F$606:$F$655),"")</f>
        <v>0</v>
      </c>
      <c r="AB25" s="121">
        <f>IF(C25&lt;&gt;"",SUMIF(Resultados!$C$658:$C$683,'Temporada 2026'!C25,Resultados!$F$658:$F$683),"")</f>
        <v>0</v>
      </c>
      <c r="AC25" s="121">
        <f>IF(C25&lt;&gt;"",SUMIF(Resultados!$C$686:$C$711,'Temporada 2026'!C25,Resultados!$F$686:$F$711),"")</f>
        <v>0</v>
      </c>
      <c r="AD25" s="121">
        <f>IF(C25&lt;&gt;"",SUMIF(Resultados!$C$714:$C$739,'Temporada 2026'!C25,Resultados!$F$714:$F$739),"")</f>
        <v>0</v>
      </c>
      <c r="AE25" s="121">
        <f>IF(C25&lt;&gt;"",SUMIF(Resultados!$C$742:$C$767,'Temporada 2026'!C25,Resultados!$F$742:$F$767),"")</f>
        <v>0</v>
      </c>
      <c r="AF25" s="121">
        <f>IF(C25&lt;&gt;"",SUMIF(Resultados!$C$770:$C$795,'Temporada 2026'!C25,Resultados!$F$770:$F$795),"")</f>
        <v>0</v>
      </c>
      <c r="AG25" s="121">
        <f>IF(C25&lt;&gt;"",SUMIF(Resultados!$C$798:$C$823,'Temporada 2026'!C25,Resultados!$F$798:$F$823),"")</f>
        <v>0</v>
      </c>
    </row>
    <row r="26" spans="2:33" x14ac:dyDescent="0.2">
      <c r="B26" s="128">
        <f>IF('Equipes e Pilotos'!B21&lt;&gt;"",'Equipes e Pilotos'!B21,"")</f>
        <v>19</v>
      </c>
      <c r="C26" s="122" t="str">
        <f>VLOOKUP(B26,'Dummy Table'!$A$3:$B$30,2,FALSE)</f>
        <v>Alexander Albon</v>
      </c>
      <c r="D26" s="123" t="str">
        <f>VLOOKUP(B26,'Dummy Table'!$A$3:$C$30,3,FALSE)</f>
        <v>Tailandia</v>
      </c>
      <c r="E26" s="123" t="str">
        <f>VLOOKUP(B26,'Dummy Table'!$A$3:$D$30,4,FALSE)</f>
        <v>Williams</v>
      </c>
      <c r="F26" s="124" t="str">
        <f>IF(C26&lt;&gt;"",IF(G26+Resultados!$K$35&gt;$G$8,"J","L"),"")</f>
        <v>L</v>
      </c>
      <c r="G26" s="125">
        <f>VLOOKUP(B26,'Dummy Table'!$A$3:$E$30,5,FALSE)</f>
        <v>5</v>
      </c>
      <c r="H26" s="123">
        <f t="shared" si="0"/>
        <v>-335</v>
      </c>
      <c r="I26" s="126">
        <f>IF(B26="","",SUMIF(Resultados!$M$3:$M$30,C26,Resultados!$O$3:$O$30))</f>
        <v>0</v>
      </c>
      <c r="J26" s="121">
        <f>IF(C26&lt;&gt;"",SUMIF(Resultados!$C$4:$C$29,'Temporada 2026'!C26,Resultados!$F$4:$F$29),"")</f>
        <v>0</v>
      </c>
      <c r="K26" s="121">
        <f>IF(C26&lt;&gt;"",SUMIF(Resultados!$C$33:$C$82,'Temporada 2026'!C26,Resultados!$F$33:$F$82),"")</f>
        <v>0</v>
      </c>
      <c r="L26" s="121">
        <f>IF(C26&lt;&gt;"",SUMIF(Resultados!$C$85:$C$110,'Temporada 2026'!C26,Resultados!$F$85:$F$110),"")</f>
        <v>0</v>
      </c>
      <c r="M26" s="121">
        <f>IF(C26&lt;&gt;"",SUMIF(Resultados!$C$113:$C$138,'Temporada 2026'!C26,Resultados!$F$113:$F$138),"")</f>
        <v>0</v>
      </c>
      <c r="N26" s="121">
        <f>IF(C26&lt;&gt;"",SUMIF(Resultados!$C$141:$C$166,'Temporada 2026'!C26,Resultados!$F$141:$F$166),"")</f>
        <v>0</v>
      </c>
      <c r="O26" s="121">
        <f>IF(C26&lt;&gt;"",SUMIF(Resultados!$C$170:$C$219,'Temporada 2026'!C26,Resultados!$F$170:$F$219),"")</f>
        <v>1</v>
      </c>
      <c r="P26" s="121">
        <f>IF(C26&lt;&gt;"",SUMIF(Resultados!$C$223:$C$268,'Temporada 2026'!C26,Resultados!$F$223:$F$268),"")</f>
        <v>0</v>
      </c>
      <c r="Q26" s="121">
        <f>IF(C26&lt;&gt;"",SUMIF(Resultados!$C$275:$C$300,'Temporada 2026'!C26,Resultados!$F$275:$F$300),"")</f>
        <v>4</v>
      </c>
      <c r="R26" s="121">
        <f>IF(C26&lt;&gt;"",SUMIF(Resultados!$C$303:$C$328,'Temporada 2026'!C26,Resultados!$F$303:$F$328),"")</f>
        <v>0</v>
      </c>
      <c r="S26" s="121">
        <f>IF(C26&lt;&gt;"",SUMIF(Resultados!$C$331:$C$356,'Temporada 2026'!C26,Resultados!$F$331:$F$356),"")</f>
        <v>0</v>
      </c>
      <c r="T26" s="121">
        <f>IF(C26&lt;&gt;"",SUMIF(Resultados!$C$360:$C$409,'Temporada 2026'!C26,Resultados!$F$360:$F$409),"")</f>
        <v>0</v>
      </c>
      <c r="U26" s="121">
        <f>IF(C26&lt;&gt;"",SUMIF(Resultados!$C$412:$C$437,'Temporada 2026'!C26,Resultados!$F$412:$F$437),"")</f>
        <v>0</v>
      </c>
      <c r="V26" s="121">
        <f>IF(C26&lt;&gt;"",SUMIF(Resultados!$C$440:$C$465,'Temporada 2026'!C26,Resultados!$F$440:$F$465),"")</f>
        <v>0</v>
      </c>
      <c r="W26" s="121">
        <f>IF(C26&lt;&gt;"",SUMIF(Resultados!$C$469:$C$518,'Temporada 2026'!C26,Resultados!$F$469:$F$518),"")</f>
        <v>0</v>
      </c>
      <c r="X26" s="121">
        <f>IF(C26&lt;&gt;"",SUMIF(Resultados!$C$521:$C$546,'Temporada 2026'!C26,Resultados!$F$521:$F$546),"")</f>
        <v>0</v>
      </c>
      <c r="Y26" s="121">
        <f>IF(C26&lt;&gt;"",SUMIF(Resultados!$C$549:$C$574,'Temporada 2026'!C26,Resultados!$F$549:$F$574),"")</f>
        <v>0</v>
      </c>
      <c r="Z26" s="121">
        <f>IF(C26&lt;&gt;"",SUMIF(Resultados!$C$577:$C$602,'Temporada 2026'!C26,Resultados!$F$577:$F$602),"")</f>
        <v>0</v>
      </c>
      <c r="AA26" s="121">
        <f>IF(C26&lt;&gt;"",SUMIF(Resultados!$C$606:$C$655,'Temporada 2026'!C26,Resultados!$F$606:$F$655),"")</f>
        <v>0</v>
      </c>
      <c r="AB26" s="121">
        <f>IF(C26&lt;&gt;"",SUMIF(Resultados!$C$658:$C$683,'Temporada 2026'!C26,Resultados!$F$658:$F$683),"")</f>
        <v>0</v>
      </c>
      <c r="AC26" s="121">
        <f>IF(C26&lt;&gt;"",SUMIF(Resultados!$C$686:$C$711,'Temporada 2026'!C26,Resultados!$F$686:$F$711),"")</f>
        <v>0</v>
      </c>
      <c r="AD26" s="121">
        <f>IF(C26&lt;&gt;"",SUMIF(Resultados!$C$714:$C$739,'Temporada 2026'!C26,Resultados!$F$714:$F$739),"")</f>
        <v>0</v>
      </c>
      <c r="AE26" s="121">
        <f>IF(C26&lt;&gt;"",SUMIF(Resultados!$C$742:$C$767,'Temporada 2026'!C26,Resultados!$F$742:$F$767),"")</f>
        <v>0</v>
      </c>
      <c r="AF26" s="121">
        <f>IF(C26&lt;&gt;"",SUMIF(Resultados!$C$770:$C$795,'Temporada 2026'!C26,Resultados!$F$770:$F$795),"")</f>
        <v>0</v>
      </c>
      <c r="AG26" s="121">
        <f>IF(C26&lt;&gt;"",SUMIF(Resultados!$C$798:$C$823,'Temporada 2026'!C26,Resultados!$F$798:$F$823),"")</f>
        <v>0</v>
      </c>
    </row>
    <row r="27" spans="2:33" x14ac:dyDescent="0.2">
      <c r="B27" s="128">
        <f>IF('Equipes e Pilotos'!B22&lt;&gt;"",'Equipes e Pilotos'!B22,"")</f>
        <v>20</v>
      </c>
      <c r="C27" s="122" t="str">
        <f>VLOOKUP(B27,'Dummy Table'!$A$3:$B$30,2,FALSE)</f>
        <v>Yuki Tsunoda</v>
      </c>
      <c r="D27" s="123" t="str">
        <f>VLOOKUP(B27,'Dummy Table'!$A$3:$C$30,3,FALSE)</f>
        <v>Japão</v>
      </c>
      <c r="E27" s="123" t="str">
        <f>VLOOKUP(B27,'Dummy Table'!$A$3:$D$30,4,FALSE)</f>
        <v>Racing Bulls</v>
      </c>
      <c r="F27" s="124" t="str">
        <f>IF(C27&lt;&gt;"",IF(G27+Resultados!$K$35&gt;$G$8,"J","L"),"")</f>
        <v>L</v>
      </c>
      <c r="G27" s="125">
        <f>VLOOKUP(B27,'Dummy Table'!$A$3:$E$30,5,FALSE)</f>
        <v>1</v>
      </c>
      <c r="H27" s="123">
        <f t="shared" si="0"/>
        <v>-339</v>
      </c>
      <c r="I27" s="126">
        <f>IF(B27="","",SUMIF(Resultados!$M$3:$M$30,C27,Resultados!$O$3:$O$30))</f>
        <v>0</v>
      </c>
      <c r="J27" s="121">
        <f>IF(C27&lt;&gt;"",SUMIF(Resultados!$C$4:$C$29,'Temporada 2026'!C27,Resultados!$F$4:$F$29),"")</f>
        <v>0</v>
      </c>
      <c r="K27" s="121">
        <f>IF(C27&lt;&gt;"",SUMIF(Resultados!$C$33:$C$82,'Temporada 2026'!C27,Resultados!$F$33:$F$82),"")</f>
        <v>0</v>
      </c>
      <c r="L27" s="121">
        <f>IF(C27&lt;&gt;"",SUMIF(Resultados!$C$85:$C$110,'Temporada 2026'!C27,Resultados!$F$85:$F$110),"")</f>
        <v>0</v>
      </c>
      <c r="M27" s="121">
        <f>IF(C27&lt;&gt;"",SUMIF(Resultados!$C$113:$C$138,'Temporada 2026'!C27,Resultados!$F$113:$F$138),"")</f>
        <v>0</v>
      </c>
      <c r="N27" s="121">
        <f>IF(C27&lt;&gt;"",SUMIF(Resultados!$C$141:$C$166,'Temporada 2026'!C27,Resultados!$F$141:$F$166),"")</f>
        <v>0</v>
      </c>
      <c r="O27" s="121">
        <f>IF(C27&lt;&gt;"",SUMIF(Resultados!$C$170:$C$219,'Temporada 2026'!C27,Resultados!$F$170:$F$219),"")</f>
        <v>0</v>
      </c>
      <c r="P27" s="121">
        <f>IF(C27&lt;&gt;"",SUMIF(Resultados!$C$223:$C$268,'Temporada 2026'!C27,Resultados!$F$223:$F$268),"")</f>
        <v>0</v>
      </c>
      <c r="Q27" s="121">
        <f>IF(C27&lt;&gt;"",SUMIF(Resultados!$C$275:$C$300,'Temporada 2026'!C27,Resultados!$F$275:$F$300),"")</f>
        <v>0</v>
      </c>
      <c r="R27" s="121">
        <f>IF(C27&lt;&gt;"",SUMIF(Resultados!$C$303:$C$328,'Temporada 2026'!C27,Resultados!$F$303:$F$328),"")</f>
        <v>0</v>
      </c>
      <c r="S27" s="121">
        <f>IF(C27&lt;&gt;"",SUMIF(Resultados!$C$331:$C$356,'Temporada 2026'!C27,Resultados!$F$331:$F$356),"")</f>
        <v>0</v>
      </c>
      <c r="T27" s="121">
        <f>IF(C27&lt;&gt;"",SUMIF(Resultados!$C$360:$C$409,'Temporada 2026'!C27,Resultados!$F$360:$F$409),"")</f>
        <v>0</v>
      </c>
      <c r="U27" s="121">
        <f>IF(C27&lt;&gt;"",SUMIF(Resultados!$C$412:$C$437,'Temporada 2026'!C27,Resultados!$F$412:$F$437),"")</f>
        <v>0</v>
      </c>
      <c r="V27" s="121">
        <f>IF(C27&lt;&gt;"",SUMIF(Resultados!$C$440:$C$465,'Temporada 2026'!C27,Resultados!$F$440:$F$465),"")</f>
        <v>0</v>
      </c>
      <c r="W27" s="121">
        <f>IF(C27&lt;&gt;"",SUMIF(Resultados!$C$469:$C$518,'Temporada 2026'!C27,Resultados!$F$469:$F$518),"")</f>
        <v>0</v>
      </c>
      <c r="X27" s="121">
        <f>IF(C27&lt;&gt;"",SUMIF(Resultados!$C$521:$C$546,'Temporada 2026'!C27,Resultados!$F$521:$F$546),"")</f>
        <v>1</v>
      </c>
      <c r="Y27" s="121">
        <f>IF(C27&lt;&gt;"",SUMIF(Resultados!$C$549:$C$574,'Temporada 2026'!C27,Resultados!$F$549:$F$574),"")</f>
        <v>0</v>
      </c>
      <c r="Z27" s="121">
        <f>IF(C27&lt;&gt;"",SUMIF(Resultados!$C$577:$C$602,'Temporada 2026'!C27,Resultados!$F$577:$F$602),"")</f>
        <v>0</v>
      </c>
      <c r="AA27" s="121">
        <f>IF(C27&lt;&gt;"",SUMIF(Resultados!$C$606:$C$655,'Temporada 2026'!C27,Resultados!$F$606:$F$655),"")</f>
        <v>0</v>
      </c>
      <c r="AB27" s="121">
        <f>IF(C27&lt;&gt;"",SUMIF(Resultados!$C$658:$C$683,'Temporada 2026'!C27,Resultados!$F$658:$F$683),"")</f>
        <v>0</v>
      </c>
      <c r="AC27" s="121">
        <f>IF(C27&lt;&gt;"",SUMIF(Resultados!$C$686:$C$711,'Temporada 2026'!C27,Resultados!$F$686:$F$711),"")</f>
        <v>0</v>
      </c>
      <c r="AD27" s="121">
        <f>IF(C27&lt;&gt;"",SUMIF(Resultados!$C$714:$C$739,'Temporada 2026'!C27,Resultados!$F$714:$F$739),"")</f>
        <v>0</v>
      </c>
      <c r="AE27" s="121">
        <f>IF(C27&lt;&gt;"",SUMIF(Resultados!$C$742:$C$767,'Temporada 2026'!C27,Resultados!$F$742:$F$767),"")</f>
        <v>0</v>
      </c>
      <c r="AF27" s="121">
        <f>IF(C27&lt;&gt;"",SUMIF(Resultados!$C$770:$C$795,'Temporada 2026'!C27,Resultados!$F$770:$F$795),"")</f>
        <v>0</v>
      </c>
      <c r="AG27" s="121">
        <f>IF(C27&lt;&gt;"",SUMIF(Resultados!$C$798:$C$823,'Temporada 2026'!C27,Resultados!$F$798:$F$823),"")</f>
        <v>0</v>
      </c>
    </row>
    <row r="28" spans="2:33" x14ac:dyDescent="0.2">
      <c r="B28" s="128">
        <f>IF('Equipes e Pilotos'!B23&lt;&gt;"",'Equipes e Pilotos'!B23,"")</f>
        <v>21</v>
      </c>
      <c r="C28" s="122" t="str">
        <f>VLOOKUP(B28,'Dummy Table'!$A$3:$B$30,2,FALSE)</f>
        <v>Lance Stroll</v>
      </c>
      <c r="D28" s="123" t="str">
        <f>VLOOKUP(B28,'Dummy Table'!$A$3:$C$30,3,FALSE)</f>
        <v>Canadá</v>
      </c>
      <c r="E28" s="123" t="str">
        <f>VLOOKUP(B28,'Dummy Table'!$A$3:$D$30,4,FALSE)</f>
        <v>Aston Martin</v>
      </c>
      <c r="F28" s="124" t="str">
        <f>IF(C28&lt;&gt;"",IF(G28+Resultados!$K$35&gt;$G$8,"J","L"),"")</f>
        <v>L</v>
      </c>
      <c r="G28" s="125">
        <f>VLOOKUP(B28,'Dummy Table'!$A$3:$E$30,5,FALSE)</f>
        <v>0</v>
      </c>
      <c r="H28" s="123">
        <f t="shared" si="0"/>
        <v>-340</v>
      </c>
      <c r="I28" s="126">
        <f>IF(B28="","",SUMIF(Resultados!$M$3:$M$30,C28,Resultados!$O$3:$O$30))</f>
        <v>0</v>
      </c>
      <c r="J28" s="121">
        <f>IF(C28&lt;&gt;"",SUMIF(Resultados!$C$4:$C$29,'Temporada 2026'!C28,Resultados!$F$4:$F$29),"")</f>
        <v>0</v>
      </c>
      <c r="K28" s="121">
        <f>IF(C28&lt;&gt;"",SUMIF(Resultados!$C$33:$C$82,'Temporada 2026'!C28,Resultados!$F$33:$F$82),"")</f>
        <v>0</v>
      </c>
      <c r="L28" s="121">
        <f>IF(C28&lt;&gt;"",SUMIF(Resultados!$C$85:$C$110,'Temporada 2026'!C28,Resultados!$F$85:$F$110),"")</f>
        <v>0</v>
      </c>
      <c r="M28" s="121">
        <f>IF(C28&lt;&gt;"",SUMIF(Resultados!$C$113:$C$138,'Temporada 2026'!C28,Resultados!$F$113:$F$138),"")</f>
        <v>0</v>
      </c>
      <c r="N28" s="121">
        <f>IF(C28&lt;&gt;"",SUMIF(Resultados!$C$141:$C$166,'Temporada 2026'!C28,Resultados!$F$141:$F$166),"")</f>
        <v>0</v>
      </c>
      <c r="O28" s="121">
        <f>IF(C28&lt;&gt;"",SUMIF(Resultados!$C$170:$C$219,'Temporada 2026'!C28,Resultados!$F$170:$F$219),"")</f>
        <v>0</v>
      </c>
      <c r="P28" s="121">
        <f>IF(C28&lt;&gt;"",SUMIF(Resultados!$C$223:$C$268,'Temporada 2026'!C28,Resultados!$F$223:$F$268),"")</f>
        <v>0</v>
      </c>
      <c r="Q28" s="121">
        <f>IF(C28&lt;&gt;"",SUMIF(Resultados!$C$275:$C$300,'Temporada 2026'!C28,Resultados!$F$275:$F$300),"")</f>
        <v>0</v>
      </c>
      <c r="R28" s="121">
        <f>IF(C28&lt;&gt;"",SUMIF(Resultados!$C$303:$C$328,'Temporada 2026'!C28,Resultados!$F$303:$F$328),"")</f>
        <v>0</v>
      </c>
      <c r="S28" s="121">
        <f>IF(C28&lt;&gt;"",SUMIF(Resultados!$C$331:$C$356,'Temporada 2026'!C28,Resultados!$F$331:$F$356),"")</f>
        <v>0</v>
      </c>
      <c r="T28" s="121">
        <f>IF(C28&lt;&gt;"",SUMIF(Resultados!$C$360:$C$409,'Temporada 2026'!C28,Resultados!$F$360:$F$409),"")</f>
        <v>0</v>
      </c>
      <c r="U28" s="121">
        <f>IF(C28&lt;&gt;"",SUMIF(Resultados!$C$412:$C$437,'Temporada 2026'!C28,Resultados!$F$412:$F$437),"")</f>
        <v>0</v>
      </c>
      <c r="V28" s="121">
        <f>IF(C28&lt;&gt;"",SUMIF(Resultados!$C$440:$C$465,'Temporada 2026'!C28,Resultados!$F$440:$F$465),"")</f>
        <v>0</v>
      </c>
      <c r="W28" s="121">
        <f>IF(C28&lt;&gt;"",SUMIF(Resultados!$C$469:$C$518,'Temporada 2026'!C28,Resultados!$F$469:$F$518),"")</f>
        <v>0</v>
      </c>
      <c r="X28" s="121">
        <f>IF(C28&lt;&gt;"",SUMIF(Resultados!$C$521:$C$546,'Temporada 2026'!C28,Resultados!$F$521:$F$546),"")</f>
        <v>0</v>
      </c>
      <c r="Y28" s="121">
        <f>IF(C28&lt;&gt;"",SUMIF(Resultados!$C$549:$C$574,'Temporada 2026'!C28,Resultados!$F$549:$F$574),"")</f>
        <v>0</v>
      </c>
      <c r="Z28" s="121">
        <f>IF(C28&lt;&gt;"",SUMIF(Resultados!$C$577:$C$602,'Temporada 2026'!C28,Resultados!$F$577:$F$602),"")</f>
        <v>0</v>
      </c>
      <c r="AA28" s="121">
        <f>IF(C28&lt;&gt;"",SUMIF(Resultados!$C$606:$C$655,'Temporada 2026'!C28,Resultados!$F$606:$F$655),"")</f>
        <v>0</v>
      </c>
      <c r="AB28" s="121">
        <f>IF(C28&lt;&gt;"",SUMIF(Resultados!$C$658:$C$683,'Temporada 2026'!C28,Resultados!$F$658:$F$683),"")</f>
        <v>0</v>
      </c>
      <c r="AC28" s="121">
        <f>IF(C28&lt;&gt;"",SUMIF(Resultados!$C$686:$C$711,'Temporada 2026'!C28,Resultados!$F$686:$F$711),"")</f>
        <v>0</v>
      </c>
      <c r="AD28" s="121">
        <f>IF(C28&lt;&gt;"",SUMIF(Resultados!$C$714:$C$739,'Temporada 2026'!C28,Resultados!$F$714:$F$739),"")</f>
        <v>0</v>
      </c>
      <c r="AE28" s="121">
        <f>IF(C28&lt;&gt;"",SUMIF(Resultados!$C$742:$C$767,'Temporada 2026'!C28,Resultados!$F$742:$F$767),"")</f>
        <v>0</v>
      </c>
      <c r="AF28" s="121">
        <f>IF(C28&lt;&gt;"",SUMIF(Resultados!$C$770:$C$795,'Temporada 2026'!C28,Resultados!$F$770:$F$795),"")</f>
        <v>0</v>
      </c>
      <c r="AG28" s="121">
        <f>IF(C28&lt;&gt;"",SUMIF(Resultados!$C$798:$C$823,'Temporada 2026'!C28,Resultados!$F$798:$F$823),"")</f>
        <v>0</v>
      </c>
    </row>
    <row r="29" spans="2:33" x14ac:dyDescent="0.2">
      <c r="B29" s="128">
        <f>IF('Equipes e Pilotos'!B24&lt;&gt;"",'Equipes e Pilotos'!B24,"")</f>
        <v>22</v>
      </c>
      <c r="C29" s="122" t="str">
        <f>VLOOKUP(B29,'Dummy Table'!$A$3:$B$30,2,FALSE)</f>
        <v>Valtteri Bottas</v>
      </c>
      <c r="D29" s="123" t="str">
        <f>VLOOKUP(B29,'Dummy Table'!$A$3:$C$30,3,FALSE)</f>
        <v>Finlândia</v>
      </c>
      <c r="E29" s="123" t="str">
        <f>VLOOKUP(B29,'Dummy Table'!$A$3:$D$30,4,FALSE)</f>
        <v>Cadillac</v>
      </c>
      <c r="F29" s="124" t="str">
        <f>IF(C29&lt;&gt;"",IF(G29+Resultados!$K$35&gt;$G$8,"J","L"),"")</f>
        <v>L</v>
      </c>
      <c r="G29" s="125">
        <f>VLOOKUP(B29,'Dummy Table'!$A$3:$E$30,5,FALSE)</f>
        <v>0</v>
      </c>
      <c r="H29" s="123">
        <f t="shared" si="0"/>
        <v>-340</v>
      </c>
      <c r="I29" s="126">
        <f>IF(B29="","",SUMIF(Resultados!$M$3:$M$30,C29,Resultados!$O$3:$O$30))</f>
        <v>0</v>
      </c>
      <c r="J29" s="121">
        <f>IF(C29&lt;&gt;"",SUMIF(Resultados!$C$4:$C$29,'Temporada 2026'!C29,Resultados!$F$4:$F$29),"")</f>
        <v>0</v>
      </c>
      <c r="K29" s="121">
        <f>IF(C29&lt;&gt;"",SUMIF(Resultados!$C$33:$C$82,'Temporada 2026'!C29,Resultados!$F$33:$F$82),"")</f>
        <v>0</v>
      </c>
      <c r="L29" s="121">
        <f>IF(C29&lt;&gt;"",SUMIF(Resultados!$C$85:$C$110,'Temporada 2026'!C29,Resultados!$F$85:$F$110),"")</f>
        <v>0</v>
      </c>
      <c r="M29" s="121">
        <f>IF(C29&lt;&gt;"",SUMIF(Resultados!$C$113:$C$138,'Temporada 2026'!C29,Resultados!$F$113:$F$138),"")</f>
        <v>0</v>
      </c>
      <c r="N29" s="121">
        <f>IF(C29&lt;&gt;"",SUMIF(Resultados!$C$141:$C$166,'Temporada 2026'!C29,Resultados!$F$141:$F$166),"")</f>
        <v>0</v>
      </c>
      <c r="O29" s="121">
        <f>IF(C29&lt;&gt;"",SUMIF(Resultados!$C$170:$C$219,'Temporada 2026'!C29,Resultados!$F$170:$F$219),"")</f>
        <v>0</v>
      </c>
      <c r="P29" s="121">
        <f>IF(C29&lt;&gt;"",SUMIF(Resultados!$C$223:$C$268,'Temporada 2026'!C29,Resultados!$F$223:$F$268),"")</f>
        <v>0</v>
      </c>
      <c r="Q29" s="121">
        <f>IF(C29&lt;&gt;"",SUMIF(Resultados!$C$275:$C$300,'Temporada 2026'!C29,Resultados!$F$275:$F$300),"")</f>
        <v>0</v>
      </c>
      <c r="R29" s="121">
        <f>IF(C29&lt;&gt;"",SUMIF(Resultados!$C$303:$C$328,'Temporada 2026'!C29,Resultados!$F$303:$F$328),"")</f>
        <v>0</v>
      </c>
      <c r="S29" s="121">
        <f>IF(C29&lt;&gt;"",SUMIF(Resultados!$C$331:$C$356,'Temporada 2026'!C29,Resultados!$F$331:$F$356),"")</f>
        <v>0</v>
      </c>
      <c r="T29" s="121">
        <f>IF(C29&lt;&gt;"",SUMIF(Resultados!$C$360:$C$409,'Temporada 2026'!C29,Resultados!$F$360:$F$409),"")</f>
        <v>0</v>
      </c>
      <c r="U29" s="121">
        <f>IF(C29&lt;&gt;"",SUMIF(Resultados!$C$412:$C$437,'Temporada 2026'!C29,Resultados!$F$412:$F$437),"")</f>
        <v>0</v>
      </c>
      <c r="V29" s="121">
        <f>IF(C29&lt;&gt;"",SUMIF(Resultados!$C$440:$C$465,'Temporada 2026'!C29,Resultados!$F$440:$F$465),"")</f>
        <v>0</v>
      </c>
      <c r="W29" s="121">
        <f>IF(C29&lt;&gt;"",SUMIF(Resultados!$C$469:$C$518,'Temporada 2026'!C29,Resultados!$F$469:$F$518),"")</f>
        <v>0</v>
      </c>
      <c r="X29" s="121">
        <f>IF(C29&lt;&gt;"",SUMIF(Resultados!$C$521:$C$546,'Temporada 2026'!C29,Resultados!$F$521:$F$546),"")</f>
        <v>0</v>
      </c>
      <c r="Y29" s="121">
        <f>IF(C29&lt;&gt;"",SUMIF(Resultados!$C$549:$C$574,'Temporada 2026'!C29,Resultados!$F$549:$F$574),"")</f>
        <v>0</v>
      </c>
      <c r="Z29" s="121">
        <f>IF(C29&lt;&gt;"",SUMIF(Resultados!$C$577:$C$602,'Temporada 2026'!C29,Resultados!$F$577:$F$602),"")</f>
        <v>0</v>
      </c>
      <c r="AA29" s="121">
        <f>IF(C29&lt;&gt;"",SUMIF(Resultados!$C$606:$C$655,'Temporada 2026'!C29,Resultados!$F$606:$F$655),"")</f>
        <v>0</v>
      </c>
      <c r="AB29" s="121">
        <f>IF(C29&lt;&gt;"",SUMIF(Resultados!$C$658:$C$683,'Temporada 2026'!C29,Resultados!$F$658:$F$683),"")</f>
        <v>0</v>
      </c>
      <c r="AC29" s="121">
        <f>IF(C29&lt;&gt;"",SUMIF(Resultados!$C$686:$C$711,'Temporada 2026'!C29,Resultados!$F$686:$F$711),"")</f>
        <v>0</v>
      </c>
      <c r="AD29" s="121">
        <f>IF(C29&lt;&gt;"",SUMIF(Resultados!$C$714:$C$739,'Temporada 2026'!C29,Resultados!$F$714:$F$739),"")</f>
        <v>0</v>
      </c>
      <c r="AE29" s="121">
        <f>IF(C29&lt;&gt;"",SUMIF(Resultados!$C$742:$C$767,'Temporada 2026'!C29,Resultados!$F$742:$F$767),"")</f>
        <v>0</v>
      </c>
      <c r="AF29" s="121">
        <f>IF(C29&lt;&gt;"",SUMIF(Resultados!$C$770:$C$795,'Temporada 2026'!C29,Resultados!$F$770:$F$795),"")</f>
        <v>0</v>
      </c>
      <c r="AG29" s="121">
        <f>IF(C29&lt;&gt;"",SUMIF(Resultados!$C$798:$C$823,'Temporada 2026'!C29,Resultados!$F$798:$F$823),"")</f>
        <v>0</v>
      </c>
    </row>
    <row r="30" spans="2:33" x14ac:dyDescent="0.2">
      <c r="B30" s="128">
        <f>IF('Equipes e Pilotos'!B25&lt;&gt;"",'Equipes e Pilotos'!B25,"")</f>
        <v>23</v>
      </c>
      <c r="C30" s="122" t="str">
        <f>VLOOKUP(B30,'Dummy Table'!$A$3:$B$30,2,FALSE)</f>
        <v>Sergio Perez</v>
      </c>
      <c r="D30" s="123" t="str">
        <f>VLOOKUP(B30,'Dummy Table'!$A$3:$C$30,3,FALSE)</f>
        <v>México</v>
      </c>
      <c r="E30" s="123" t="str">
        <f>VLOOKUP(B30,'Dummy Table'!$A$3:$D$30,4,FALSE)</f>
        <v>Cadillac</v>
      </c>
      <c r="F30" s="124" t="str">
        <f>IF(C30&lt;&gt;"",IF(G30+Resultados!$K$35&gt;$G$8,"J","L"),"")</f>
        <v>L</v>
      </c>
      <c r="G30" s="125">
        <f>VLOOKUP(B30,'Dummy Table'!$A$3:$E$30,5,FALSE)</f>
        <v>0</v>
      </c>
      <c r="H30" s="123">
        <f t="shared" si="0"/>
        <v>-340</v>
      </c>
      <c r="I30" s="126">
        <f>IF(B30="","",SUMIF(Resultados!$M$3:$M$30,C30,Resultados!$O$3:$O$30))</f>
        <v>0</v>
      </c>
      <c r="J30" s="121">
        <f>IF(C30&lt;&gt;"",SUMIF(Resultados!$C$4:$C$29,'Temporada 2026'!C30,Resultados!$F$4:$F$29),"")</f>
        <v>0</v>
      </c>
      <c r="K30" s="121">
        <f>IF(C30&lt;&gt;"",SUMIF(Resultados!$C$33:$C$82,'Temporada 2026'!C30,Resultados!$F$33:$F$82),"")</f>
        <v>0</v>
      </c>
      <c r="L30" s="121">
        <f>IF(C30&lt;&gt;"",SUMIF(Resultados!$C$85:$C$110,'Temporada 2026'!C30,Resultados!$F$85:$F$110),"")</f>
        <v>0</v>
      </c>
      <c r="M30" s="121">
        <f>IF(C30&lt;&gt;"",SUMIF(Resultados!$C$113:$C$138,'Temporada 2026'!C30,Resultados!$F$113:$F$138),"")</f>
        <v>0</v>
      </c>
      <c r="N30" s="121">
        <f>IF(C30&lt;&gt;"",SUMIF(Resultados!$C$141:$C$166,'Temporada 2026'!C30,Resultados!$F$141:$F$166),"")</f>
        <v>0</v>
      </c>
      <c r="O30" s="121">
        <f>IF(C30&lt;&gt;"",SUMIF(Resultados!$C$170:$C$219,'Temporada 2026'!C30,Resultados!$F$170:$F$219),"")</f>
        <v>0</v>
      </c>
      <c r="P30" s="121">
        <f>IF(C30&lt;&gt;"",SUMIF(Resultados!$C$223:$C$268,'Temporada 2026'!C30,Resultados!$F$223:$F$268),"")</f>
        <v>0</v>
      </c>
      <c r="Q30" s="121">
        <f>IF(C30&lt;&gt;"",SUMIF(Resultados!$C$275:$C$300,'Temporada 2026'!C30,Resultados!$F$275:$F$300),"")</f>
        <v>0</v>
      </c>
      <c r="R30" s="121">
        <f>IF(C30&lt;&gt;"",SUMIF(Resultados!$C$303:$C$328,'Temporada 2026'!C30,Resultados!$F$303:$F$328),"")</f>
        <v>0</v>
      </c>
      <c r="S30" s="121">
        <f>IF(C30&lt;&gt;"",SUMIF(Resultados!$C$331:$C$356,'Temporada 2026'!C30,Resultados!$F$331:$F$356),"")</f>
        <v>0</v>
      </c>
      <c r="T30" s="121">
        <f>IF(C30&lt;&gt;"",SUMIF(Resultados!$C$360:$C$409,'Temporada 2026'!C30,Resultados!$F$360:$F$409),"")</f>
        <v>0</v>
      </c>
      <c r="U30" s="121">
        <f>IF(C30&lt;&gt;"",SUMIF(Resultados!$C$412:$C$437,'Temporada 2026'!C30,Resultados!$F$412:$F$437),"")</f>
        <v>0</v>
      </c>
      <c r="V30" s="121">
        <f>IF(C30&lt;&gt;"",SUMIF(Resultados!$C$440:$C$465,'Temporada 2026'!C30,Resultados!$F$440:$F$465),"")</f>
        <v>0</v>
      </c>
      <c r="W30" s="121">
        <f>IF(C30&lt;&gt;"",SUMIF(Resultados!$C$469:$C$518,'Temporada 2026'!C30,Resultados!$F$469:$F$518),"")</f>
        <v>0</v>
      </c>
      <c r="X30" s="121">
        <f>IF(C30&lt;&gt;"",SUMIF(Resultados!$C$521:$C$546,'Temporada 2026'!C30,Resultados!$F$521:$F$546),"")</f>
        <v>0</v>
      </c>
      <c r="Y30" s="121">
        <f>IF(C30&lt;&gt;"",SUMIF(Resultados!$C$549:$C$574,'Temporada 2026'!C30,Resultados!$F$549:$F$574),"")</f>
        <v>0</v>
      </c>
      <c r="Z30" s="121">
        <f>IF(C30&lt;&gt;"",SUMIF(Resultados!$C$577:$C$602,'Temporada 2026'!C30,Resultados!$F$577:$F$602),"")</f>
        <v>0</v>
      </c>
      <c r="AA30" s="121">
        <f>IF(C30&lt;&gt;"",SUMIF(Resultados!$C$606:$C$655,'Temporada 2026'!C30,Resultados!$F$606:$F$655),"")</f>
        <v>0</v>
      </c>
      <c r="AB30" s="121">
        <f>IF(C30&lt;&gt;"",SUMIF(Resultados!$C$658:$C$683,'Temporada 2026'!C30,Resultados!$F$658:$F$683),"")</f>
        <v>0</v>
      </c>
      <c r="AC30" s="121">
        <f>IF(C30&lt;&gt;"",SUMIF(Resultados!$C$686:$C$711,'Temporada 2026'!C30,Resultados!$F$686:$F$711),"")</f>
        <v>0</v>
      </c>
      <c r="AD30" s="121">
        <f>IF(C30&lt;&gt;"",SUMIF(Resultados!$C$714:$C$739,'Temporada 2026'!C30,Resultados!$F$714:$F$739),"")</f>
        <v>0</v>
      </c>
      <c r="AE30" s="121">
        <f>IF(C30&lt;&gt;"",SUMIF(Resultados!$C$742:$C$767,'Temporada 2026'!C30,Resultados!$F$742:$F$767),"")</f>
        <v>0</v>
      </c>
      <c r="AF30" s="121">
        <f>IF(C30&lt;&gt;"",SUMIF(Resultados!$C$770:$C$795,'Temporada 2026'!C30,Resultados!$F$770:$F$795),"")</f>
        <v>0</v>
      </c>
      <c r="AG30" s="121">
        <f>IF(C30&lt;&gt;"",SUMIF(Resultados!$C$798:$C$823,'Temporada 2026'!C30,Resultados!$F$798:$F$823),"")</f>
        <v>0</v>
      </c>
    </row>
    <row r="31" spans="2:33" x14ac:dyDescent="0.2">
      <c r="B31" s="128" t="str">
        <f>IF('Equipes e Pilotos'!B14&lt;&gt;"",'Equipes e Pilotos'!B26,"")</f>
        <v/>
      </c>
      <c r="C31" s="122" t="str">
        <f>VLOOKUP(B31,'Dummy Table'!$A$3:$B$30,2,FALSE)</f>
        <v/>
      </c>
      <c r="D31" s="123" t="str">
        <f>VLOOKUP(B31,'Dummy Table'!$A$3:$C$30,3,FALSE)</f>
        <v/>
      </c>
      <c r="E31" s="123" t="str">
        <f>VLOOKUP(B31,'Dummy Table'!$A$3:$D$30,4,FALSE)</f>
        <v/>
      </c>
      <c r="F31" s="124" t="str">
        <f>IF(C31&lt;&gt;"",IF(G31+Resultados!$K$35&gt;$G$8,"J","L"),"")</f>
        <v/>
      </c>
      <c r="G31" s="125" t="str">
        <f>VLOOKUP(B31,'Dummy Table'!$A$3:$E$30,5,FALSE)</f>
        <v/>
      </c>
      <c r="H31" s="123" t="str">
        <f t="shared" si="0"/>
        <v/>
      </c>
      <c r="I31" s="126" t="str">
        <f>IF(B31="","",SUMIF(Resultados!$M$3:$M$30,C31,Resultados!$O$3:$O$30))</f>
        <v/>
      </c>
      <c r="J31" s="121" t="str">
        <f>IF(C31&lt;&gt;"",SUMIF(Resultados!$C$4:$C$29,'Temporada 2026'!C31,Resultados!$F$4:$F$29),"")</f>
        <v/>
      </c>
      <c r="K31" s="121" t="str">
        <f>IF(C31&lt;&gt;"",SUMIF(Resultados!$C$33:$C$82,'Temporada 2026'!C31,Resultados!$F$33:$F$82),"")</f>
        <v/>
      </c>
      <c r="L31" s="121" t="str">
        <f>IF(C31&lt;&gt;"",SUMIF(Resultados!$C$85:$C$110,'Temporada 2026'!C31,Resultados!$F$85:$F$110),"")</f>
        <v/>
      </c>
      <c r="M31" s="121" t="str">
        <f>IF(C31&lt;&gt;"",SUMIF(Resultados!$C$113:$C$138,'Temporada 2026'!C31,Resultados!$F$113:$F$138),"")</f>
        <v/>
      </c>
      <c r="N31" s="121" t="str">
        <f>IF(C31&lt;&gt;"",SUMIF(Resultados!$C$141:$C$166,'Temporada 2026'!C31,Resultados!$F$141:$F$166),"")</f>
        <v/>
      </c>
      <c r="O31" s="121" t="str">
        <f>IF(C31&lt;&gt;"",SUMIF(Resultados!$C$170:$C$219,'Temporada 2026'!C31,Resultados!$F$170:$F$219),"")</f>
        <v/>
      </c>
      <c r="P31" s="121" t="str">
        <f>IF(C31&lt;&gt;"",SUMIF(Resultados!$C$223:$C$268,'Temporada 2026'!C31,Resultados!$F$223:$F$268),"")</f>
        <v/>
      </c>
      <c r="Q31" s="121" t="str">
        <f>IF(C31&lt;&gt;"",SUMIF(Resultados!$C$275:$C$300,'Temporada 2026'!C31,Resultados!$F$275:$F$300),"")</f>
        <v/>
      </c>
      <c r="R31" s="121" t="str">
        <f>IF(C31&lt;&gt;"",SUMIF(Resultados!$C$303:$C$328,'Temporada 2026'!C31,Resultados!$F$303:$F$328),"")</f>
        <v/>
      </c>
      <c r="S31" s="121" t="str">
        <f>IF(C31&lt;&gt;"",SUMIF(Resultados!$C$331:$C$356,'Temporada 2026'!C31,Resultados!$F$331:$F$356),"")</f>
        <v/>
      </c>
      <c r="T31" s="121" t="str">
        <f>IF(C31&lt;&gt;"",SUMIF(Resultados!$C$360:$C$409,'Temporada 2026'!C31,Resultados!$F$360:$F$409),"")</f>
        <v/>
      </c>
      <c r="U31" s="121" t="str">
        <f>IF(C31&lt;&gt;"",SUMIF(Resultados!$C$412:$C$437,'Temporada 2026'!C31,Resultados!$F$412:$F$437),"")</f>
        <v/>
      </c>
      <c r="V31" s="121" t="str">
        <f>IF(C31&lt;&gt;"",SUMIF(Resultados!$C$440:$C$465,'Temporada 2026'!C31,Resultados!$F$440:$F$465),"")</f>
        <v/>
      </c>
      <c r="W31" s="121" t="str">
        <f>IF(C31&lt;&gt;"",SUMIF(Resultados!$C$469:$C$518,'Temporada 2026'!C31,Resultados!$F$469:$F$518),"")</f>
        <v/>
      </c>
      <c r="X31" s="121" t="str">
        <f>IF(C31&lt;&gt;"",SUMIF(Resultados!$C$521:$C$546,'Temporada 2026'!C31,Resultados!$F$521:$F$546),"")</f>
        <v/>
      </c>
      <c r="Y31" s="121" t="str">
        <f>IF(C31&lt;&gt;"",SUMIF(Resultados!$C$549:$C$574,'Temporada 2026'!C31,Resultados!$F$549:$F$574),"")</f>
        <v/>
      </c>
      <c r="Z31" s="121" t="str">
        <f>IF(C31&lt;&gt;"",SUMIF(Resultados!$C$577:$C$602,'Temporada 2026'!C31,Resultados!$F$577:$F$602),"")</f>
        <v/>
      </c>
      <c r="AA31" s="121" t="str">
        <f>IF(C31&lt;&gt;"",SUMIF(Resultados!$C$606:$C$655,'Temporada 2026'!C31,Resultados!$F$606:$F$655),"")</f>
        <v/>
      </c>
      <c r="AB31" s="121" t="str">
        <f>IF(C31&lt;&gt;"",SUMIF(Resultados!$C$658:$C$683,'Temporada 2026'!C31,Resultados!$F$658:$F$683),"")</f>
        <v/>
      </c>
      <c r="AC31" s="121" t="str">
        <f>IF(C31&lt;&gt;"",SUMIF(Resultados!$C$686:$C$711,'Temporada 2026'!C31,Resultados!$F$686:$F$711),"")</f>
        <v/>
      </c>
      <c r="AD31" s="121" t="str">
        <f>IF(C31&lt;&gt;"",SUMIF(Resultados!$C$714:$C$739,'Temporada 2026'!C31,Resultados!$F$714:$F$739),"")</f>
        <v/>
      </c>
      <c r="AE31" s="121" t="str">
        <f>IF(C31&lt;&gt;"",SUMIF(Resultados!$C$742:$C$767,'Temporada 2026'!C31,Resultados!$F$742:$F$767),"")</f>
        <v/>
      </c>
      <c r="AF31" s="121" t="str">
        <f>IF(C31&lt;&gt;"",SUMIF(Resultados!$C$770:$C$795,'Temporada 2026'!C31,Resultados!$F$770:$F$795),"")</f>
        <v/>
      </c>
      <c r="AG31" s="121" t="str">
        <f>IF(C31&lt;&gt;"",SUMIF(Resultados!$C$798:$C$823,'Temporada 2026'!C31,Resultados!$F$798:$F$823),"")</f>
        <v/>
      </c>
    </row>
    <row r="32" spans="2:33" hidden="1" x14ac:dyDescent="0.2">
      <c r="B32" s="116" t="str">
        <f>IF('Equipes e Pilotos'!B27&lt;&gt;"",'Equipes e Pilotos'!B27,"")</f>
        <v/>
      </c>
      <c r="C32" s="97" t="str">
        <f>VLOOKUP(B32,'Dummy Table'!$A$3:$B$30,2,FALSE)</f>
        <v/>
      </c>
      <c r="D32" s="117" t="str">
        <f>VLOOKUP(B32,'Dummy Table'!$A$3:$C$30,3,FALSE)</f>
        <v/>
      </c>
      <c r="E32" s="117" t="str">
        <f>VLOOKUP(B32,'Dummy Table'!$A$3:$D$30,4,FALSE)</f>
        <v/>
      </c>
      <c r="F32" s="118" t="str">
        <f>IF(C32&lt;&gt;"",IF(G32+Resultados!$K$35&gt;$G$8,"J",""),"")</f>
        <v/>
      </c>
      <c r="G32" s="117" t="str">
        <f>VLOOKUP(B32,'Dummy Table'!$A$3:$E$30,5,FALSE)</f>
        <v/>
      </c>
      <c r="H32" s="117"/>
      <c r="I32" s="116" t="str">
        <f>IF(B32="","",COUNTIF(J32:AC32,25))</f>
        <v/>
      </c>
      <c r="J32" s="116" t="str">
        <f>IF(C32&lt;&gt;"",SUMIF(Resultados!$C$4:$C$27,'Temporada 2026'!C32,Resultados!$F$4:$F$27),"")</f>
        <v/>
      </c>
      <c r="K32" s="116" t="str">
        <f>IF(C32&lt;&gt;"",SUMIF(Resultados!$C$57:$C$66,'Temporada 2026'!C32,Resultados!$F$57:$F$66),"")</f>
        <v/>
      </c>
      <c r="L32" s="116" t="str">
        <f>IF(C32&lt;&gt;"",SUMIF(Resultados!$C$85:$C$108,'Temporada 2026'!C32,Resultados!$F$85:$F$108),"")</f>
        <v/>
      </c>
      <c r="M32" s="116" t="str">
        <f>IF(C32&lt;&gt;"",SUMIF(Resultados!$C$113:$C$136,'Temporada 2026'!C32,Resultados!$F$113:$F$136),"")</f>
        <v/>
      </c>
      <c r="N32" s="116" t="str">
        <f>IF(C32&lt;&gt;"",SUMIF(Resultados!$C$141:$C$164,'Temporada 2026'!C32,Resultados!$F$141:$F$164),"")</f>
        <v/>
      </c>
      <c r="O32" s="116" t="str">
        <f>IF(C32&lt;&gt;"",SUMIF(Resultados!$C$194:$C$217,'Temporada 2026'!C32,Resultados!$F$194:$F$217),"")</f>
        <v/>
      </c>
      <c r="P32" s="116" t="str">
        <f>IF(C32&lt;&gt;"",SUMIF(Resultados!$C$247:$C$270,'Temporada 2026'!C32,Resultados!$F$247:$F$270),"")</f>
        <v/>
      </c>
      <c r="Q32" s="116" t="str">
        <f>IF(C32&lt;&gt;"",SUMIF(Resultados!$C$275:$C$298,'Temporada 2026'!C32,Resultados!$F$275:$F$298),"")</f>
        <v/>
      </c>
      <c r="R32" s="116" t="str">
        <f>IF(C32&lt;&gt;"",SUMIF(Resultados!$C$303:$C$326,'Temporada 2026'!C32,Resultados!$F$303:$F$326),"")</f>
        <v/>
      </c>
      <c r="S32" s="116" t="str">
        <f>IF(C32&lt;&gt;"",SUMIF(Resultados!$C$331:$C$354,'Temporada 2026'!C32,Resultados!$F$331:$F$354),"")</f>
        <v/>
      </c>
      <c r="T32" s="116" t="str">
        <f>IF(C32&lt;&gt;"",SUMIF(Resultados!$C$384:$C$407,'Temporada 2026'!C32,Resultados!$F$384:$F$407),"")</f>
        <v/>
      </c>
      <c r="U32" s="116" t="str">
        <f>IF(C32&lt;&gt;"",SUMIF(Resultados!$C$412:$C$435,'Temporada 2026'!C32,Resultados!$F$412:$F$435),"")</f>
        <v/>
      </c>
      <c r="V32" s="116" t="str">
        <f>IF(C32&lt;&gt;"",SUMIF(Resultados!$C$440:$C$463,'Temporada 2026'!C32,Resultados!$F$440:$F$463),"")</f>
        <v/>
      </c>
      <c r="W32" s="116" t="str">
        <f>IF(C32&lt;&gt;"",SUMIF(Resultados!$C$493:$C$516,'Temporada 2026'!C32,Resultados!$F$493:$F$516),"")</f>
        <v/>
      </c>
      <c r="X32" s="116" t="str">
        <f>IF(C32&lt;&gt;"",SUMIF(Resultados!$C$521:$C$544,'Temporada 2026'!C32,Resultados!$F$521:$F$544),"")</f>
        <v/>
      </c>
      <c r="Y32" s="116" t="str">
        <f>IF(C32&lt;&gt;"",SUMIF(Resultados!$C$549:$C$572,'Temporada 2026'!C32,Resultados!$F$549:$F$572),"")</f>
        <v/>
      </c>
      <c r="Z32" s="116" t="str">
        <f>IF(C32&lt;&gt;"",SUMIF(Resultados!$C$577:$C$600,'Temporada 2026'!C32,Resultados!$F$577:$F$600),"")</f>
        <v/>
      </c>
      <c r="AA32" s="116" t="str">
        <f>IF(C32&lt;&gt;"",SUMIF(Resultados!#REF!,'Temporada 2026'!C32,Resultados!#REF!),"")</f>
        <v/>
      </c>
      <c r="AB32" s="116" t="str">
        <f>IF(C32&lt;&gt;"",SUMIF(Resultados!#REF!,'Temporada 2026'!C32,Resultados!#REF!),"")</f>
        <v/>
      </c>
      <c r="AC32" s="116" t="str">
        <f>IF(C32&lt;&gt;"",SUMIF(Resultados!#REF!,'Temporada 2026'!C32,Resultados!#REF!),"")</f>
        <v/>
      </c>
      <c r="AD32" s="116" t="str">
        <f>IF(C32&lt;&gt;"",SUMIF(Resultados!#REF!,'Temporada 2026'!D32,Resultados!#REF!),"")</f>
        <v/>
      </c>
    </row>
    <row r="33" spans="2:33" hidden="1" x14ac:dyDescent="0.2">
      <c r="B33" s="116" t="str">
        <f>IF('Equipes e Pilotos'!B28&lt;&gt;"",'Equipes e Pilotos'!B28,"")</f>
        <v/>
      </c>
      <c r="C33" s="97" t="str">
        <f>VLOOKUP(B33,'Dummy Table'!$A$3:$B$30,2,FALSE)</f>
        <v/>
      </c>
      <c r="D33" s="117" t="str">
        <f>VLOOKUP(B33,'Dummy Table'!$A$3:$C$30,3,FALSE)</f>
        <v/>
      </c>
      <c r="E33" s="117" t="str">
        <f>VLOOKUP(B33,'Dummy Table'!$A$3:$D$30,4,FALSE)</f>
        <v/>
      </c>
      <c r="F33" s="118" t="str">
        <f>IF(C33&lt;&gt;"",IF(G33+Resultados!$K$35&gt;$G$8,"J",""),"")</f>
        <v/>
      </c>
      <c r="G33" s="117" t="str">
        <f>VLOOKUP(B33,'Dummy Table'!$A$3:$E$30,5,FALSE)</f>
        <v/>
      </c>
      <c r="H33" s="117"/>
      <c r="I33" s="116" t="str">
        <f>IF(B33="","",COUNTIF(J33:AC33,25))</f>
        <v/>
      </c>
      <c r="J33" s="116" t="str">
        <f>IF(C33&lt;&gt;"",SUMIF(Resultados!$C$4:$C$27,'Temporada 2026'!C33,Resultados!$F$4:$F$27),"")</f>
        <v/>
      </c>
      <c r="K33" s="116" t="str">
        <f>IF(C33&lt;&gt;"",SUMIF(Resultados!$C$57:$C$66,'Temporada 2026'!C33,Resultados!$F$57:$F$66),"")</f>
        <v/>
      </c>
      <c r="L33" s="116" t="str">
        <f>IF(C33&lt;&gt;"",SUMIF(Resultados!$C$85:$C$108,'Temporada 2026'!C33,Resultados!$F$85:$F$108),"")</f>
        <v/>
      </c>
      <c r="M33" s="116" t="str">
        <f>IF(C33&lt;&gt;"",SUMIF(Resultados!$C$113:$C$136,'Temporada 2026'!C33,Resultados!$F$113:$F$136),"")</f>
        <v/>
      </c>
      <c r="N33" s="116" t="str">
        <f>IF(C33&lt;&gt;"",SUMIF(Resultados!$C$141:$C$164,'Temporada 2026'!C33,Resultados!$F$141:$F$164),"")</f>
        <v/>
      </c>
      <c r="O33" s="116" t="str">
        <f>IF(C33&lt;&gt;"",SUMIF(Resultados!$C$194:$C$217,'Temporada 2026'!C33,Resultados!$F$194:$F$217),"")</f>
        <v/>
      </c>
      <c r="P33" s="116" t="str">
        <f>IF(C33&lt;&gt;"",SUMIF(Resultados!$C$247:$C$270,'Temporada 2026'!C33,Resultados!$F$247:$F$270),"")</f>
        <v/>
      </c>
      <c r="Q33" s="116" t="str">
        <f>IF(C33&lt;&gt;"",SUMIF(Resultados!$C$275:$C$298,'Temporada 2026'!C33,Resultados!$F$275:$F$298),"")</f>
        <v/>
      </c>
      <c r="R33" s="116" t="str">
        <f>IF(C33&lt;&gt;"",SUMIF(Resultados!$C$303:$C$326,'Temporada 2026'!C33,Resultados!$F$303:$F$326),"")</f>
        <v/>
      </c>
      <c r="S33" s="116" t="str">
        <f>IF(C33&lt;&gt;"",SUMIF(Resultados!$C$331:$C$354,'Temporada 2026'!C33,Resultados!$F$331:$F$354),"")</f>
        <v/>
      </c>
      <c r="T33" s="116" t="str">
        <f>IF(C33&lt;&gt;"",SUMIF(Resultados!$C$384:$C$407,'Temporada 2026'!C33,Resultados!$F$384:$F$407),"")</f>
        <v/>
      </c>
      <c r="U33" s="116" t="str">
        <f>IF(C33&lt;&gt;"",SUMIF(Resultados!$C$412:$C$435,'Temporada 2026'!C33,Resultados!$F$412:$F$435),"")</f>
        <v/>
      </c>
      <c r="V33" s="116" t="str">
        <f>IF(C33&lt;&gt;"",SUMIF(Resultados!$C$440:$C$463,'Temporada 2026'!C33,Resultados!$F$440:$F$463),"")</f>
        <v/>
      </c>
      <c r="W33" s="116" t="str">
        <f>IF(C33&lt;&gt;"",SUMIF(Resultados!$C$493:$C$516,'Temporada 2026'!C33,Resultados!$F$493:$F$516),"")</f>
        <v/>
      </c>
      <c r="X33" s="116" t="str">
        <f>IF(C33&lt;&gt;"",SUMIF(Resultados!$C$521:$C$544,'Temporada 2026'!C33,Resultados!$F$521:$F$544),"")</f>
        <v/>
      </c>
      <c r="Y33" s="116" t="str">
        <f>IF(C33&lt;&gt;"",SUMIF(Resultados!$C$549:$C$572,'Temporada 2026'!C33,Resultados!$F$549:$F$572),"")</f>
        <v/>
      </c>
      <c r="Z33" s="116" t="str">
        <f>IF(C33&lt;&gt;"",SUMIF(Resultados!$C$577:$C$600,'Temporada 2026'!C33,Resultados!$F$577:$F$600),"")</f>
        <v/>
      </c>
      <c r="AA33" s="116" t="str">
        <f>IF(C33&lt;&gt;"",SUMIF(Resultados!#REF!,'Temporada 2026'!C33,Resultados!#REF!),"")</f>
        <v/>
      </c>
      <c r="AB33" s="116" t="str">
        <f>IF(C33&lt;&gt;"",SUMIF(Resultados!#REF!,'Temporada 2026'!C33,Resultados!#REF!),"")</f>
        <v/>
      </c>
      <c r="AC33" s="116" t="str">
        <f>IF(C33&lt;&gt;"",SUMIF(Resultados!#REF!,'Temporada 2026'!C33,Resultados!#REF!),"")</f>
        <v/>
      </c>
      <c r="AD33" s="116" t="str">
        <f>IF(C33&lt;&gt;"",SUMIF(Resultados!#REF!,'Temporada 2026'!D33,Resultados!#REF!),"")</f>
        <v/>
      </c>
    </row>
    <row r="34" spans="2:33" hidden="1" x14ac:dyDescent="0.2">
      <c r="B34" s="116" t="str">
        <f>IF('Equipes e Pilotos'!B29&lt;&gt;"",'Equipes e Pilotos'!B29,"")</f>
        <v/>
      </c>
      <c r="C34" s="97" t="str">
        <f>VLOOKUP(B34,'Dummy Table'!$A$3:$B$30,2,FALSE)</f>
        <v/>
      </c>
      <c r="D34" s="117" t="str">
        <f>VLOOKUP(B34,'Dummy Table'!$A$3:$C$30,3,FALSE)</f>
        <v/>
      </c>
      <c r="E34" s="117" t="str">
        <f>VLOOKUP(B34,'Dummy Table'!$A$3:$D$30,4,FALSE)</f>
        <v/>
      </c>
      <c r="F34" s="118" t="str">
        <f>IF(C34&lt;&gt;"",IF(G34+Resultados!$K$35&gt;$G$8,"J",""),"")</f>
        <v/>
      </c>
      <c r="G34" s="117" t="str">
        <f>VLOOKUP(B34,'Dummy Table'!$A$3:$E$30,5,FALSE)</f>
        <v/>
      </c>
      <c r="H34" s="117"/>
      <c r="I34" s="116" t="str">
        <f>IF(B34="","",COUNTIF(J34:AC34,25))</f>
        <v/>
      </c>
      <c r="J34" s="116" t="str">
        <f>IF(C34&lt;&gt;"",SUMIF(Resultados!$C$4:$C$27,'Temporada 2026'!C34,Resultados!$F$4:$F$27),"")</f>
        <v/>
      </c>
      <c r="K34" s="116" t="str">
        <f>IF(C34&lt;&gt;"",SUMIF(Resultados!$C$57:$C$66,'Temporada 2026'!C34,Resultados!$F$57:$F$66),"")</f>
        <v/>
      </c>
      <c r="L34" s="116" t="str">
        <f>IF(C34&lt;&gt;"",SUMIF(Resultados!$C$85:$C$108,'Temporada 2026'!C34,Resultados!$F$85:$F$108),"")</f>
        <v/>
      </c>
      <c r="M34" s="116" t="str">
        <f>IF(C34&lt;&gt;"",SUMIF(Resultados!$C$113:$C$136,'Temporada 2026'!C34,Resultados!$F$113:$F$136),"")</f>
        <v/>
      </c>
      <c r="N34" s="116" t="str">
        <f>IF(C34&lt;&gt;"",SUMIF(Resultados!$C$141:$C$164,'Temporada 2026'!C34,Resultados!$F$141:$F$164),"")</f>
        <v/>
      </c>
      <c r="O34" s="116" t="str">
        <f>IF(C34&lt;&gt;"",SUMIF(Resultados!$C$194:$C$217,'Temporada 2026'!C34,Resultados!$F$194:$F$217),"")</f>
        <v/>
      </c>
      <c r="P34" s="116" t="str">
        <f>IF(C34&lt;&gt;"",SUMIF(Resultados!$C$247:$C$270,'Temporada 2026'!C34,Resultados!$F$247:$F$270),"")</f>
        <v/>
      </c>
      <c r="Q34" s="116" t="str">
        <f>IF(C34&lt;&gt;"",SUMIF(Resultados!$C$275:$C$298,'Temporada 2026'!C34,Resultados!$F$275:$F$298),"")</f>
        <v/>
      </c>
      <c r="R34" s="116" t="str">
        <f>IF(C34&lt;&gt;"",SUMIF(Resultados!$C$303:$C$326,'Temporada 2026'!C34,Resultados!$F$303:$F$326),"")</f>
        <v/>
      </c>
      <c r="S34" s="116" t="str">
        <f>IF(C34&lt;&gt;"",SUMIF(Resultados!$C$331:$C$354,'Temporada 2026'!C34,Resultados!$F$331:$F$354),"")</f>
        <v/>
      </c>
      <c r="T34" s="116" t="str">
        <f>IF(C34&lt;&gt;"",SUMIF(Resultados!$C$384:$C$407,'Temporada 2026'!C34,Resultados!$F$384:$F$407),"")</f>
        <v/>
      </c>
      <c r="U34" s="116" t="str">
        <f>IF(C34&lt;&gt;"",SUMIF(Resultados!$C$412:$C$435,'Temporada 2026'!C34,Resultados!$F$412:$F$435),"")</f>
        <v/>
      </c>
      <c r="V34" s="116" t="str">
        <f>IF(C34&lt;&gt;"",SUMIF(Resultados!$C$440:$C$463,'Temporada 2026'!C34,Resultados!$F$440:$F$463),"")</f>
        <v/>
      </c>
      <c r="W34" s="116" t="str">
        <f>IF(C34&lt;&gt;"",SUMIF(Resultados!$C$493:$C$516,'Temporada 2026'!C34,Resultados!$F$493:$F$516),"")</f>
        <v/>
      </c>
      <c r="X34" s="116" t="str">
        <f>IF(C34&lt;&gt;"",SUMIF(Resultados!$C$521:$C$544,'Temporada 2026'!C34,Resultados!$F$521:$F$544),"")</f>
        <v/>
      </c>
      <c r="Y34" s="116" t="str">
        <f>IF(C34&lt;&gt;"",SUMIF(Resultados!$C$549:$C$572,'Temporada 2026'!C34,Resultados!$F$549:$F$572),"")</f>
        <v/>
      </c>
      <c r="Z34" s="116" t="str">
        <f>IF(C34&lt;&gt;"",SUMIF(Resultados!$C$577:$C$600,'Temporada 2026'!C34,Resultados!$F$577:$F$600),"")</f>
        <v/>
      </c>
      <c r="AA34" s="116" t="str">
        <f>IF(C34&lt;&gt;"",SUMIF(Resultados!#REF!,'Temporada 2026'!C34,Resultados!#REF!),"")</f>
        <v/>
      </c>
      <c r="AB34" s="116" t="str">
        <f>IF(C34&lt;&gt;"",SUMIF(Resultados!#REF!,'Temporada 2026'!C34,Resultados!#REF!),"")</f>
        <v/>
      </c>
      <c r="AC34" s="116" t="str">
        <f>IF(C34&lt;&gt;"",SUMIF(Resultados!#REF!,'Temporada 2026'!C34,Resultados!#REF!),"")</f>
        <v/>
      </c>
      <c r="AD34" s="116" t="str">
        <f>IF(C34&lt;&gt;"",SUMIF(Resultados!#REF!,'Temporada 2026'!D34,Resultados!#REF!),"")</f>
        <v/>
      </c>
    </row>
    <row r="35" spans="2:33" hidden="1" x14ac:dyDescent="0.2">
      <c r="B35" s="116" t="str">
        <f>IF('Equipes e Pilotos'!B30&lt;&gt;"",'Equipes e Pilotos'!B30,"")</f>
        <v/>
      </c>
      <c r="C35" s="97" t="str">
        <f>VLOOKUP(B35,'Dummy Table'!$A$3:$B$30,2,FALSE)</f>
        <v/>
      </c>
      <c r="D35" s="117" t="str">
        <f>VLOOKUP(B35,'Dummy Table'!$A$3:$C$30,3,FALSE)</f>
        <v/>
      </c>
      <c r="E35" s="117" t="str">
        <f>VLOOKUP(B35,'Dummy Table'!$A$3:$D$30,4,FALSE)</f>
        <v/>
      </c>
      <c r="F35" s="118" t="str">
        <f>IF(C35&lt;&gt;"",IF(G35+Resultados!$K$35&gt;$G$8,"J",""),"")</f>
        <v/>
      </c>
      <c r="G35" s="117" t="str">
        <f>VLOOKUP(B35,'Dummy Table'!$A$3:$E$30,5,FALSE)</f>
        <v/>
      </c>
      <c r="H35" s="117"/>
      <c r="I35" s="116" t="str">
        <f>IF(B35="","",COUNTIF(J35:AC35,25))</f>
        <v/>
      </c>
      <c r="J35" s="116" t="str">
        <f>IF(C35&lt;&gt;"",SUMIF(Resultados!$C$4:$C$27,'Temporada 2026'!C35,Resultados!$F$4:$F$27),"")</f>
        <v/>
      </c>
      <c r="K35" s="116" t="str">
        <f>IF(C35&lt;&gt;"",SUMIF(Resultados!$C$57:$C$66,'Temporada 2026'!C35,Resultados!$F$57:$F$66),"")</f>
        <v/>
      </c>
      <c r="L35" s="116" t="str">
        <f>IF(C35&lt;&gt;"",SUMIF(Resultados!$C$85:$C$108,'Temporada 2026'!C35,Resultados!$F$85:$F$108),"")</f>
        <v/>
      </c>
      <c r="M35" s="116" t="str">
        <f>IF(C35&lt;&gt;"",SUMIF(Resultados!$C$113:$C$136,'Temporada 2026'!C35,Resultados!$F$113:$F$136),"")</f>
        <v/>
      </c>
      <c r="N35" s="116" t="str">
        <f>IF(C35&lt;&gt;"",SUMIF(Resultados!$C$141:$C$164,'Temporada 2026'!C35,Resultados!$F$141:$F$164),"")</f>
        <v/>
      </c>
      <c r="O35" s="116" t="str">
        <f>IF(C35&lt;&gt;"",SUMIF(Resultados!$C$194:$C$217,'Temporada 2026'!C35,Resultados!$F$194:$F$217),"")</f>
        <v/>
      </c>
      <c r="P35" s="116" t="str">
        <f>IF(C35&lt;&gt;"",SUMIF(Resultados!$C$247:$C$270,'Temporada 2026'!C35,Resultados!$F$247:$F$270),"")</f>
        <v/>
      </c>
      <c r="Q35" s="116" t="str">
        <f>IF(C35&lt;&gt;"",SUMIF(Resultados!$C$275:$C$298,'Temporada 2026'!C35,Resultados!$F$275:$F$298),"")</f>
        <v/>
      </c>
      <c r="R35" s="116" t="str">
        <f>IF(C35&lt;&gt;"",SUMIF(Resultados!$C$303:$C$326,'Temporada 2026'!C35,Resultados!$F$303:$F$326),"")</f>
        <v/>
      </c>
      <c r="S35" s="116" t="str">
        <f>IF(C35&lt;&gt;"",SUMIF(Resultados!$C$331:$C$354,'Temporada 2026'!C35,Resultados!$F$331:$F$354),"")</f>
        <v/>
      </c>
      <c r="T35" s="116" t="str">
        <f>IF(C35&lt;&gt;"",SUMIF(Resultados!$C$384:$C$407,'Temporada 2026'!C35,Resultados!$F$384:$F$407),"")</f>
        <v/>
      </c>
      <c r="U35" s="116" t="str">
        <f>IF(C35&lt;&gt;"",SUMIF(Resultados!$C$412:$C$435,'Temporada 2026'!C35,Resultados!$F$412:$F$435),"")</f>
        <v/>
      </c>
      <c r="V35" s="116" t="str">
        <f>IF(C35&lt;&gt;"",SUMIF(Resultados!$C$440:$C$463,'Temporada 2026'!C35,Resultados!$F$440:$F$463),"")</f>
        <v/>
      </c>
      <c r="W35" s="116" t="str">
        <f>IF(C35&lt;&gt;"",SUMIF(Resultados!$C$493:$C$516,'Temporada 2026'!C35,Resultados!$F$493:$F$516),"")</f>
        <v/>
      </c>
      <c r="X35" s="116" t="str">
        <f>IF(C35&lt;&gt;"",SUMIF(Resultados!$C$521:$C$544,'Temporada 2026'!C35,Resultados!$F$521:$F$544),"")</f>
        <v/>
      </c>
      <c r="Y35" s="116" t="str">
        <f>IF(C35&lt;&gt;"",SUMIF(Resultados!$C$549:$C$572,'Temporada 2026'!C35,Resultados!$F$549:$F$572),"")</f>
        <v/>
      </c>
      <c r="Z35" s="116" t="str">
        <f>IF(C35&lt;&gt;"",SUMIF(Resultados!$C$577:$C$600,'Temporada 2026'!C35,Resultados!$F$577:$F$600),"")</f>
        <v/>
      </c>
      <c r="AA35" s="116" t="str">
        <f>IF(C35&lt;&gt;"",SUMIF(Resultados!#REF!,'Temporada 2026'!C35,Resultados!#REF!),"")</f>
        <v/>
      </c>
      <c r="AB35" s="116" t="str">
        <f>IF(C35&lt;&gt;"",SUMIF(Resultados!#REF!,'Temporada 2026'!C35,Resultados!#REF!),"")</f>
        <v/>
      </c>
      <c r="AC35" s="116" t="str">
        <f>IF(C35&lt;&gt;"",SUMIF(Resultados!#REF!,'Temporada 2026'!C35,Resultados!#REF!),"")</f>
        <v/>
      </c>
      <c r="AD35" s="116" t="str">
        <f>IF(C35&lt;&gt;"",SUMIF(Resultados!#REF!,'Temporada 2026'!D35,Resultados!#REF!),"")</f>
        <v/>
      </c>
    </row>
    <row r="36" spans="2:33" s="119" customFormat="1" ht="15" customHeight="1" x14ac:dyDescent="0.25">
      <c r="B36" s="157" t="s">
        <v>356</v>
      </c>
      <c r="C36" s="157"/>
      <c r="D36" s="157"/>
      <c r="E36" s="157"/>
      <c r="F36" s="150"/>
      <c r="G36" s="150"/>
      <c r="H36" s="150"/>
      <c r="I36" s="150"/>
      <c r="J36" s="150"/>
      <c r="K36" s="150"/>
      <c r="L36" s="150"/>
      <c r="M36" s="150"/>
      <c r="N36" s="150"/>
      <c r="O36" s="150"/>
      <c r="P36" s="150"/>
      <c r="Q36" s="150"/>
      <c r="R36" s="151" t="s">
        <v>432</v>
      </c>
      <c r="S36" s="151"/>
      <c r="T36" s="150"/>
      <c r="U36" s="150"/>
      <c r="V36" s="150"/>
      <c r="W36" s="150"/>
      <c r="X36" s="150"/>
      <c r="Y36" s="150"/>
      <c r="Z36" s="150"/>
      <c r="AA36" s="150"/>
      <c r="AB36" s="150"/>
      <c r="AC36" s="150"/>
      <c r="AD36" s="150"/>
      <c r="AE36" s="150"/>
      <c r="AF36" s="150"/>
      <c r="AG36" s="150"/>
    </row>
    <row r="37" spans="2:33" x14ac:dyDescent="0.2">
      <c r="B37" s="158" t="s">
        <v>244</v>
      </c>
      <c r="C37" s="158" t="s">
        <v>233</v>
      </c>
      <c r="D37" s="158" t="s">
        <v>16</v>
      </c>
      <c r="E37" s="158" t="s">
        <v>236</v>
      </c>
      <c r="F37" s="158" t="s">
        <v>245</v>
      </c>
      <c r="G37" s="158" t="s">
        <v>246</v>
      </c>
      <c r="H37" s="120"/>
      <c r="I37" s="158" t="s">
        <v>253</v>
      </c>
      <c r="J37" s="159" t="s">
        <v>232</v>
      </c>
      <c r="K37" s="159"/>
      <c r="L37" s="159"/>
      <c r="M37" s="159"/>
      <c r="N37" s="159"/>
      <c r="O37" s="159"/>
      <c r="P37" s="159"/>
      <c r="Q37" s="159"/>
      <c r="R37" s="159"/>
      <c r="S37" s="159"/>
      <c r="T37" s="159"/>
      <c r="U37" s="159"/>
      <c r="V37" s="159"/>
      <c r="W37" s="159"/>
      <c r="X37" s="159"/>
      <c r="Y37" s="159"/>
      <c r="Z37" s="159"/>
      <c r="AA37" s="159"/>
      <c r="AB37" s="159"/>
      <c r="AC37" s="159"/>
      <c r="AD37" s="159"/>
      <c r="AE37" s="159"/>
      <c r="AF37" s="159"/>
      <c r="AG37" s="159"/>
    </row>
    <row r="38" spans="2:33" x14ac:dyDescent="0.2">
      <c r="B38" s="158"/>
      <c r="C38" s="158"/>
      <c r="D38" s="158"/>
      <c r="E38" s="158"/>
      <c r="F38" s="158"/>
      <c r="G38" s="158"/>
      <c r="H38" s="120"/>
      <c r="I38" s="158"/>
      <c r="J38" s="120">
        <v>1</v>
      </c>
      <c r="K38" s="131">
        <v>2</v>
      </c>
      <c r="L38" s="120">
        <v>3</v>
      </c>
      <c r="M38" s="120">
        <v>4</v>
      </c>
      <c r="N38" s="120">
        <v>5</v>
      </c>
      <c r="O38" s="131">
        <v>6</v>
      </c>
      <c r="P38" s="131">
        <v>7</v>
      </c>
      <c r="Q38" s="120">
        <v>8</v>
      </c>
      <c r="R38" s="120">
        <v>9</v>
      </c>
      <c r="S38" s="120">
        <v>10</v>
      </c>
      <c r="T38" s="131">
        <v>11</v>
      </c>
      <c r="U38" s="120">
        <v>12</v>
      </c>
      <c r="V38" s="120">
        <v>13</v>
      </c>
      <c r="W38" s="131">
        <v>14</v>
      </c>
      <c r="X38" s="120">
        <v>15</v>
      </c>
      <c r="Y38" s="120">
        <v>16</v>
      </c>
      <c r="Z38" s="120">
        <v>17</v>
      </c>
      <c r="AA38" s="131">
        <v>18</v>
      </c>
      <c r="AB38" s="120">
        <v>19</v>
      </c>
      <c r="AC38" s="120">
        <v>20</v>
      </c>
      <c r="AD38" s="120">
        <v>21</v>
      </c>
      <c r="AE38" s="120">
        <v>22</v>
      </c>
      <c r="AF38" s="120">
        <v>23</v>
      </c>
      <c r="AG38" s="120">
        <v>24</v>
      </c>
    </row>
    <row r="39" spans="2:33" x14ac:dyDescent="0.2">
      <c r="B39" s="127">
        <f>IF('Equipes e Pilotos'!H3&lt;&gt;"",'Equipes e Pilotos'!H3,"")</f>
        <v>1</v>
      </c>
      <c r="C39" s="122" t="str">
        <f>VLOOKUP(B39,'Dummy Table'!$A$34:$B$47,2,FALSE)</f>
        <v>Mercedes</v>
      </c>
      <c r="D39" s="123" t="str">
        <f>VLOOKUP(B39,'Dummy Table'!$A$34:$C$47,3,FALSE)</f>
        <v>Alemanha</v>
      </c>
      <c r="E39" s="123" t="str">
        <f>VLOOKUP(B39,'Dummy Table'!$A$34:$D$47,4,FALSE)</f>
        <v>Mercedes</v>
      </c>
      <c r="F39" s="124" t="str">
        <f>IF(C39&lt;&gt;"",IF(G39+Resultados!$K$30&gt;$G$39,"J","L"),"")</f>
        <v>J</v>
      </c>
      <c r="G39" s="125">
        <f>VLOOKUP(B39,'Dummy Table'!$A$34:$E$47,5,FALSE)</f>
        <v>578</v>
      </c>
      <c r="H39" s="125"/>
      <c r="I39" s="126">
        <f>IF(B39="","",SUMIF(Resultados!$N$3:$N$30,C39,Resultados!$O$3:$O$30))</f>
        <v>11</v>
      </c>
      <c r="J39" s="121">
        <f>IF(C39&lt;&gt;"",SUMIF(Resultados!$E$4:$E$29,'Temporada 2026'!C39,Resultados!$F$4:$F$29),"")</f>
        <v>43</v>
      </c>
      <c r="K39" s="121">
        <f>IF(C39&lt;&gt;"",SUMIF(Resultados!$E$33:$E$82,'Temporada 2026'!C39,Resultados!$F$33:$F$82),"")</f>
        <v>55</v>
      </c>
      <c r="L39" s="121">
        <f>IF(C39&lt;&gt;"",SUMIF(Resultados!$E$85:$E$110,'Temporada 2026'!C39,Resultados!$F$85:$F$110),"")</f>
        <v>37</v>
      </c>
      <c r="M39" s="121">
        <f>IF(C39&lt;&gt;"",SUMIF(Resultados!$E$113:$E$138,'Temporada 2026'!C39,Resultados!$F$113:$F$138),"")</f>
        <v>18</v>
      </c>
      <c r="N39" s="121">
        <f>IF(C39&lt;&gt;"",SUMIF(Resultados!$E$141:$E$166,'Temporada 2026'!C39,Resultados!$F$141:$F$166),"")</f>
        <v>0</v>
      </c>
      <c r="O39" s="121">
        <f>IF(C39&lt;&gt;"",SUMIF(Resultados!$E$170:$E$219,'Temporada 2026'!C39,Resultados!$F$170:$F$219),"")</f>
        <v>45</v>
      </c>
      <c r="P39" s="121">
        <f>IF(C39&lt;&gt;"",SUMIF(Resultados!$E$247:$E$272,'Temporada 2026'!C39,Resultados!$F$247:$F$272),"")</f>
        <v>25</v>
      </c>
      <c r="Q39" s="121">
        <f>IF(C39&lt;&gt;"",SUMIF(Resultados!$E$275:$E$300,'Temporada 2026'!C39,Resultados!$F$275:$F$300),"")</f>
        <v>25</v>
      </c>
      <c r="R39" s="121">
        <f>IF(C39&lt;&gt;"",SUMIF(Resultados!$E$303:$E$328,'Temporada 2026'!C39,Resultados!$F$303:$F$328),"")</f>
        <v>18</v>
      </c>
      <c r="S39" s="121">
        <f>IF(C39&lt;&gt;"",SUMIF(Resultados!$E$331:$E$356,'Temporada 2026'!C39,Resultados!$F$331:$F$356),"")</f>
        <v>40</v>
      </c>
      <c r="T39" s="121">
        <f>IF(C39&lt;&gt;"",SUMIF(Resultados!$E$360:$E$409,'Temporada 2026'!C39,Resultados!$F$360:$F$409),"")</f>
        <v>31</v>
      </c>
      <c r="U39" s="121">
        <f>IF(C39&lt;&gt;"",SUMIF(Resultados!$E$412:$E$437,'Temporada 2026'!C39,Resultados!$F$412:$F$437),"")</f>
        <v>25</v>
      </c>
      <c r="V39" s="121">
        <f>IF(C39&lt;&gt;"",SUMIF(Resultados!$E$440:$E$465,'Temporada 2026'!C39,Resultados!$F$440:$F$465),"")</f>
        <v>21</v>
      </c>
      <c r="W39" s="121">
        <f>IF(C39&lt;&gt;"",SUMIF(Resultados!$E$469:$E$518,'Temporada 2026'!C39,Resultados!$F$469:$F$518),"")</f>
        <v>46</v>
      </c>
      <c r="X39" s="121">
        <f>IF(C39&lt;&gt;"",SUMIF(Resultados!$E$521:$E$546,'Temporada 2026'!C39,Resultados!$F$521:$F$546),"")</f>
        <v>43</v>
      </c>
      <c r="Y39" s="121">
        <f>IF(C39&lt;&gt;"",SUMIF(Resultados!$E$549:$E$574,'Temporada 2026'!C39,Resultados!$F$549:$F$574),"")</f>
        <v>35</v>
      </c>
      <c r="Z39" s="121">
        <f>IF(C39&lt;&gt;"",SUMIF(Resultados!$E$577:$E$602,'Temporada 2026'!C39,Resultados!$F$577:$F$602),"")</f>
        <v>35</v>
      </c>
      <c r="AA39" s="121">
        <f>IF(C39&lt;&gt;"",SUMIF(Resultados!$E$606:$E$655,'Temporada 2026'!C39,Resultados!$F$606:$F$655),"")</f>
        <v>22</v>
      </c>
      <c r="AB39" s="121">
        <f>IF(C39&lt;&gt;"",SUMIF(Resultados!$E$658:$E$683,'Temporada 2026'!C39,Resultados!$F$658:$F$683),"")</f>
        <v>0</v>
      </c>
      <c r="AC39" s="121">
        <f>IF(C39&lt;&gt;"",SUMIF(Resultados!$E$686:$E$711,'Temporada 2026'!C39,Resultados!$F$686:$F$711),"")</f>
        <v>0</v>
      </c>
      <c r="AD39" s="121">
        <f>IF(C39&lt;&gt;"",SUMIF(Resultados!$E$714:$E$739,'Temporada 2026'!C39,Resultados!$F$714:$F$739),"")</f>
        <v>0</v>
      </c>
      <c r="AE39" s="121">
        <f>IF(C39&lt;&gt;"",SUMIF(Resultados!$E$742:$E$767,'Temporada 2026'!C39,Resultados!$F$742:$F$767),"")</f>
        <v>0</v>
      </c>
      <c r="AF39" s="121">
        <f>IF(C39&lt;&gt;"",SUMIF(Resultados!$E$770:$E$795,'Temporada 2026'!C39,Resultados!$F$770:$F$795),"")</f>
        <v>0</v>
      </c>
      <c r="AG39" s="121">
        <f>IF(C39&lt;&gt;"",SUMIF(Resultados!$E$798:$E$823,'Temporada 2026'!C39,Resultados!$F$798:$F$823),"")</f>
        <v>0</v>
      </c>
    </row>
    <row r="40" spans="2:33" x14ac:dyDescent="0.2">
      <c r="B40" s="127">
        <f>IF('Equipes e Pilotos'!H4&lt;&gt;"",'Equipes e Pilotos'!H4,"")</f>
        <v>2</v>
      </c>
      <c r="C40" s="122" t="str">
        <f>VLOOKUP(B40,'Dummy Table'!$A$34:$B$47,2,FALSE)</f>
        <v>Ferrari</v>
      </c>
      <c r="D40" s="123" t="str">
        <f>VLOOKUP(B40,'Dummy Table'!$A$34:$C$47,3,FALSE)</f>
        <v>Itália</v>
      </c>
      <c r="E40" s="123" t="str">
        <f>VLOOKUP(B40,'Dummy Table'!$A$34:$D$47,4,FALSE)</f>
        <v>Ferrari</v>
      </c>
      <c r="F40" s="124" t="str">
        <f>IF(C40&lt;&gt;"",IF(G40+Resultados!$K$30&gt;$G$39,"J","L"),"")</f>
        <v>J</v>
      </c>
      <c r="G40" s="125">
        <f>VLOOKUP(B40,'Dummy Table'!$A$34:$E$47,5,FALSE)</f>
        <v>444</v>
      </c>
      <c r="H40" s="123">
        <f>IF(C40&lt;&gt;"",G40-G$39,"")</f>
        <v>-134</v>
      </c>
      <c r="I40" s="126">
        <f>IF(B40="","",SUMIF(Resultados!$N$3:$N$30,C40,Resultados!$O$3:$O$30))</f>
        <v>2</v>
      </c>
      <c r="J40" s="121">
        <f>IF(C40&lt;&gt;"",SUMIF(Resultados!$E$4:$E$29,'Temporada 2026'!C40,Resultados!$F$4:$F$29),"")</f>
        <v>27</v>
      </c>
      <c r="K40" s="121">
        <f>IF(C40&lt;&gt;"",SUMIF(Resultados!$E$33:$E$82,'Temporada 2026'!C40,Resultados!$F$33:$F$82),"")</f>
        <v>40</v>
      </c>
      <c r="L40" s="121">
        <f>IF(C40&lt;&gt;"",SUMIF(Resultados!$E$85:$E$110,'Temporada 2026'!C40,Resultados!$F$85:$F$110),"")</f>
        <v>23</v>
      </c>
      <c r="M40" s="121">
        <f>IF(C40&lt;&gt;"",SUMIF(Resultados!$E$113:$E$138,'Temporada 2026'!C40,Resultados!$F$113:$F$138),"")</f>
        <v>27</v>
      </c>
      <c r="N40" s="121">
        <f>IF(C40&lt;&gt;"",SUMIF(Resultados!$E$141:$E$166,'Temporada 2026'!C40,Resultados!$F$141:$F$166),"")</f>
        <v>0</v>
      </c>
      <c r="O40" s="121">
        <f>IF(C40&lt;&gt;"",SUMIF(Resultados!$E$170:$E$219,'Temporada 2026'!C40,Resultados!$F$170:$F$219),"")</f>
        <v>20</v>
      </c>
      <c r="P40" s="121">
        <f>IF(C40&lt;&gt;"",SUMIF(Resultados!$E$247:$E$272,'Temporada 2026'!C40,Resultados!$F$247:$F$272),"")</f>
        <v>30</v>
      </c>
      <c r="Q40" s="121">
        <f>IF(C40&lt;&gt;"",SUMIF(Resultados!$E$275:$E$300,'Temporada 2026'!C40,Resultados!$F$275:$F$300),"")</f>
        <v>18</v>
      </c>
      <c r="R40" s="121">
        <f>IF(C40&lt;&gt;"",SUMIF(Resultados!$E$303:$E$328,'Temporada 2026'!C40,Resultados!$F$303:$F$328),"")</f>
        <v>25</v>
      </c>
      <c r="S40" s="121">
        <f>IF(C40&lt;&gt;"",SUMIF(Resultados!$E$331:$E$356,'Temporada 2026'!C40,Resultados!$F$331:$F$356),"")</f>
        <v>14</v>
      </c>
      <c r="T40" s="121">
        <f>IF(C40&lt;&gt;"",SUMIF(Resultados!$E$360:$E$409,'Temporada 2026'!C40,Resultados!$F$360:$F$409),"")</f>
        <v>51</v>
      </c>
      <c r="U40" s="121">
        <f>IF(C40&lt;&gt;"",SUMIF(Resultados!$E$412:$E$437,'Temporada 2026'!C40,Resultados!$F$412:$F$437),"")</f>
        <v>30</v>
      </c>
      <c r="V40" s="121">
        <f>IF(C40&lt;&gt;"",SUMIF(Resultados!$E$440:$E$465,'Temporada 2026'!C40,Resultados!$F$440:$F$465),"")</f>
        <v>22</v>
      </c>
      <c r="W40" s="121">
        <f>IF(C40&lt;&gt;"",SUMIF(Resultados!$E$469:$E$518,'Temporada 2026'!C40,Resultados!$F$469:$F$518),"")</f>
        <v>31</v>
      </c>
      <c r="X40" s="121">
        <f>IF(C40&lt;&gt;"",SUMIF(Resultados!$E$521:$E$546,'Temporada 2026'!C40,Resultados!$F$521:$F$546),"")</f>
        <v>8</v>
      </c>
      <c r="Y40" s="121">
        <f>IF(C40&lt;&gt;"",SUMIF(Resultados!$E$549:$E$574,'Temporada 2026'!C40,Resultados!$F$549:$F$574),"")</f>
        <v>12</v>
      </c>
      <c r="Z40" s="121">
        <f>IF(C40&lt;&gt;"",SUMIF(Resultados!$E$577:$E$602,'Temporada 2026'!C40,Resultados!$F$577:$F$602),"")</f>
        <v>20</v>
      </c>
      <c r="AA40" s="121">
        <f>IF(C40&lt;&gt;"",SUMIF(Resultados!$E$606:$E$655,'Temporada 2026'!C40,Resultados!$F$606:$F$655),"")</f>
        <v>39</v>
      </c>
      <c r="AB40" s="121">
        <f>IF(C40&lt;&gt;"",SUMIF(Resultados!$E$658:$E$683,'Temporada 2026'!C40,Resultados!$F$658:$F$683),"")</f>
        <v>0</v>
      </c>
      <c r="AC40" s="121">
        <f>IF(C40&lt;&gt;"",SUMIF(Resultados!$E$686:$E$711,'Temporada 2026'!C40,Resultados!$F$686:$F$711),"")</f>
        <v>0</v>
      </c>
      <c r="AD40" s="121">
        <f>IF(C40&lt;&gt;"",SUMIF(Resultados!$E$714:$E$739,'Temporada 2026'!C40,Resultados!$F$714:$F$739),"")</f>
        <v>0</v>
      </c>
      <c r="AE40" s="121">
        <f>IF(C40&lt;&gt;"",SUMIF(Resultados!$E$742:$E$767,'Temporada 2026'!C40,Resultados!$F$742:$F$767),"")</f>
        <v>0</v>
      </c>
      <c r="AF40" s="121">
        <f>IF(C40&lt;&gt;"",SUMIF(Resultados!$E$770:$E$795,'Temporada 2026'!C40,Resultados!$F$770:$F$795),"")</f>
        <v>0</v>
      </c>
      <c r="AG40" s="121">
        <f>IF(C40&lt;&gt;"",SUMIF(Resultados!$E$798:$E$823,'Temporada 2026'!C40,Resultados!$F$798:$F$823),"")</f>
        <v>0</v>
      </c>
    </row>
    <row r="41" spans="2:33" x14ac:dyDescent="0.2">
      <c r="B41" s="127">
        <f>IF('Equipes e Pilotos'!H5&lt;&gt;"",'Equipes e Pilotos'!H5,"")</f>
        <v>3</v>
      </c>
      <c r="C41" s="122" t="str">
        <f>VLOOKUP(B41,'Dummy Table'!$A$34:$B$47,2,FALSE)</f>
        <v>McLaren</v>
      </c>
      <c r="D41" s="123" t="str">
        <f>VLOOKUP(B41,'Dummy Table'!$A$34:$C$47,3,FALSE)</f>
        <v>Inglaterra</v>
      </c>
      <c r="E41" s="123" t="str">
        <f>VLOOKUP(B41,'Dummy Table'!$A$34:$D$47,4,FALSE)</f>
        <v>Mercedes</v>
      </c>
      <c r="F41" s="124" t="str">
        <f>IF(C41&lt;&gt;"",IF(G41+Resultados!$K$30&gt;$G$39,"J","L"),"")</f>
        <v>J</v>
      </c>
      <c r="G41" s="125">
        <f>VLOOKUP(B41,'Dummy Table'!$A$34:$E$47,5,FALSE)</f>
        <v>339</v>
      </c>
      <c r="H41" s="123">
        <f t="shared" ref="H41:H51" si="1">IF(C41&lt;&gt;"",G41-G$39,"")</f>
        <v>-239</v>
      </c>
      <c r="I41" s="126">
        <f>IF(B41="","",SUMIF(Resultados!$N$3:$N$30,C41,Resultados!$O$3:$O$30))</f>
        <v>2</v>
      </c>
      <c r="J41" s="121">
        <f>IF(C41&lt;&gt;"",SUMIF(Resultados!$E$4:$E$29,'Temporada 2026'!C41,Resultados!$F$4:$F$29),"")</f>
        <v>10</v>
      </c>
      <c r="K41" s="121">
        <f>IF(C41&lt;&gt;"",SUMIF(Resultados!$E$33:$E$82,'Temporada 2026'!C41,Resultados!$F$33:$F$82),"")</f>
        <v>8</v>
      </c>
      <c r="L41" s="121">
        <f>IF(C41&lt;&gt;"",SUMIF(Resultados!$E$85:$E$110,'Temporada 2026'!C41,Resultados!$F$85:$F$110),"")</f>
        <v>28</v>
      </c>
      <c r="M41" s="121">
        <f>IF(C41&lt;&gt;"",SUMIF(Resultados!$E$113:$E$138,'Temporada 2026'!C41,Resultados!$F$113:$F$138),"")</f>
        <v>10</v>
      </c>
      <c r="N41" s="121">
        <f>IF(C41&lt;&gt;"",SUMIF(Resultados!$E$141:$E$166,'Temporada 2026'!C41,Resultados!$F$141:$F$166),"")</f>
        <v>0</v>
      </c>
      <c r="O41" s="121">
        <f>IF(C41&lt;&gt;"",SUMIF(Resultados!$E$170:$E$219,'Temporada 2026'!C41,Resultados!$F$170:$F$219),"")</f>
        <v>48</v>
      </c>
      <c r="P41" s="121">
        <f>IF(C41&lt;&gt;"",SUMIF(Resultados!$E$247:$E$272,'Temporada 2026'!C41,Resultados!$F$247:$F$272),"")</f>
        <v>0</v>
      </c>
      <c r="Q41" s="121">
        <f>IF(C41&lt;&gt;"",SUMIF(Resultados!$E$275:$E$300,'Temporada 2026'!C41,Resultados!$F$275:$F$300),"")</f>
        <v>12</v>
      </c>
      <c r="R41" s="121">
        <f>IF(C41&lt;&gt;"",SUMIF(Resultados!$E$303:$E$328,'Temporada 2026'!C41,Resultados!$F$303:$F$328),"")</f>
        <v>25</v>
      </c>
      <c r="S41" s="121">
        <f>IF(C41&lt;&gt;"",SUMIF(Resultados!$E$331:$E$356,'Temporada 2026'!C41,Resultados!$F$331:$F$356),"")</f>
        <v>18</v>
      </c>
      <c r="T41" s="121">
        <f>IF(C41&lt;&gt;"",SUMIF(Resultados!$E$360:$E$409,'Temporada 2026'!C41,Resultados!$F$360:$F$409),"")</f>
        <v>20</v>
      </c>
      <c r="U41" s="121">
        <f>IF(C41&lt;&gt;"",SUMIF(Resultados!$E$412:$E$437,'Temporada 2026'!C41,Resultados!$F$412:$F$437),"")</f>
        <v>16</v>
      </c>
      <c r="V41" s="121">
        <f>IF(C41&lt;&gt;"",SUMIF(Resultados!$E$440:$E$465,'Temporada 2026'!C41,Resultados!$F$440:$F$465),"")</f>
        <v>25</v>
      </c>
      <c r="W41" s="121">
        <f>IF(C41&lt;&gt;"",SUMIF(Resultados!$E$469:$E$518,'Temporada 2026'!C41,Resultados!$F$469:$F$518),"")</f>
        <v>43</v>
      </c>
      <c r="X41" s="121">
        <f>IF(C41&lt;&gt;"",SUMIF(Resultados!$E$521:$E$546,'Temporada 2026'!C41,Resultados!$F$521:$F$546),"")</f>
        <v>22</v>
      </c>
      <c r="Y41" s="121">
        <f>IF(C41&lt;&gt;"",SUMIF(Resultados!$E$549:$E$574,'Temporada 2026'!C41,Resultados!$F$549:$F$574),"")</f>
        <v>19</v>
      </c>
      <c r="Z41" s="121">
        <f>IF(C41&lt;&gt;"",SUMIF(Resultados!$E$577:$E$602,'Temporada 2026'!C41,Resultados!$F$577:$F$602),"")</f>
        <v>0</v>
      </c>
      <c r="AA41" s="121">
        <f>IF(C41&lt;&gt;"",SUMIF(Resultados!$E$606:$E$655,'Temporada 2026'!C41,Resultados!$F$606:$F$655),"")</f>
        <v>23</v>
      </c>
      <c r="AB41" s="121">
        <f>IF(C41&lt;&gt;"",SUMIF(Resultados!$E$658:$E$683,'Temporada 2026'!C41,Resultados!$F$658:$F$683),"")</f>
        <v>0</v>
      </c>
      <c r="AC41" s="121">
        <f>IF(C41&lt;&gt;"",SUMIF(Resultados!$E$686:$E$711,'Temporada 2026'!C41,Resultados!$F$686:$F$711),"")</f>
        <v>0</v>
      </c>
      <c r="AD41" s="121">
        <f>IF(C41&lt;&gt;"",SUMIF(Resultados!$E$714:$E$739,'Temporada 2026'!C41,Resultados!$F$714:$F$739),"")</f>
        <v>0</v>
      </c>
      <c r="AE41" s="121">
        <f>IF(C41&lt;&gt;"",SUMIF(Resultados!$E$742:$E$767,'Temporada 2026'!C41,Resultados!$F$742:$F$767),"")</f>
        <v>0</v>
      </c>
      <c r="AF41" s="121">
        <f>IF(C41&lt;&gt;"",SUMIF(Resultados!$E$770:$E$795,'Temporada 2026'!C41,Resultados!$F$770:$F$795),"")</f>
        <v>0</v>
      </c>
      <c r="AG41" s="121">
        <f>IF(C41&lt;&gt;"",SUMIF(Resultados!$E$798:$E$823,'Temporada 2026'!C41,Resultados!$F$798:$F$823),"")</f>
        <v>0</v>
      </c>
    </row>
    <row r="42" spans="2:33" x14ac:dyDescent="0.2">
      <c r="B42" s="127">
        <f>IF('Equipes e Pilotos'!H6&lt;&gt;"",'Equipes e Pilotos'!H6,"")</f>
        <v>4</v>
      </c>
      <c r="C42" s="122" t="str">
        <f>VLOOKUP(B42,'Dummy Table'!$A$34:$B$47,2,FALSE)</f>
        <v>Red Bull</v>
      </c>
      <c r="D42" s="123" t="str">
        <f>VLOOKUP(B42,'Dummy Table'!$A$34:$C$47,3,FALSE)</f>
        <v>Áustria</v>
      </c>
      <c r="E42" s="123" t="str">
        <f>VLOOKUP(B42,'Dummy Table'!$A$34:$D$47,4,FALSE)</f>
        <v>RB Ford</v>
      </c>
      <c r="F42" s="124" t="str">
        <f>IF(C42&lt;&gt;"",IF(G42+Resultados!$K$30&gt;$G$39,"J","L"),"")</f>
        <v>J</v>
      </c>
      <c r="G42" s="125">
        <f>VLOOKUP(B42,'Dummy Table'!$A$34:$E$47,5,FALSE)</f>
        <v>324</v>
      </c>
      <c r="H42" s="123">
        <f t="shared" si="1"/>
        <v>-254</v>
      </c>
      <c r="I42" s="126">
        <f>IF(B42="","",SUMIF(Resultados!$N$3:$N$30,C42,Resultados!$O$3:$O$30))</f>
        <v>2</v>
      </c>
      <c r="J42" s="121">
        <f>IF(C42&lt;&gt;"",SUMIF(Resultados!$E$4:$E$29,'Temporada 2026'!C42,Resultados!$F$4:$F$29),"")</f>
        <v>8</v>
      </c>
      <c r="K42" s="121">
        <f>IF(C42&lt;&gt;"",SUMIF(Resultados!$E$33:$E$82,'Temporada 2026'!C42,Resultados!$F$33:$F$82),"")</f>
        <v>4</v>
      </c>
      <c r="L42" s="121">
        <f>IF(C42&lt;&gt;"",SUMIF(Resultados!$E$85:$E$110,'Temporada 2026'!C42,Resultados!$F$85:$F$110),"")</f>
        <v>4</v>
      </c>
      <c r="M42" s="121">
        <f>IF(C42&lt;&gt;"",SUMIF(Resultados!$E$113:$E$138,'Temporada 2026'!C42,Resultados!$F$113:$F$138),"")</f>
        <v>35</v>
      </c>
      <c r="N42" s="121">
        <f>IF(C42&lt;&gt;"",SUMIF(Resultados!$E$141:$E$166,'Temporada 2026'!C42,Resultados!$F$141:$F$166),"")</f>
        <v>0</v>
      </c>
      <c r="O42" s="121">
        <f>IF(C42&lt;&gt;"",SUMIF(Resultados!$E$170:$E$219,'Temporada 2026'!C42,Resultados!$F$170:$F$219),"")</f>
        <v>14</v>
      </c>
      <c r="P42" s="121">
        <f>IF(C42&lt;&gt;"",SUMIF(Resultados!$E$247:$E$272,'Temporada 2026'!C42,Resultados!$F$247:$F$272),"")</f>
        <v>25</v>
      </c>
      <c r="Q42" s="121">
        <f>IF(C42&lt;&gt;"",SUMIF(Resultados!$E$275:$E$300,'Temporada 2026'!C42,Resultados!$F$275:$F$300),"")</f>
        <v>15</v>
      </c>
      <c r="R42" s="121">
        <f>IF(C42&lt;&gt;"",SUMIF(Resultados!$E$303:$E$328,'Temporada 2026'!C42,Resultados!$F$303:$F$328),"")</f>
        <v>20</v>
      </c>
      <c r="S42" s="121">
        <f>IF(C42&lt;&gt;"",SUMIF(Resultados!$E$331:$E$356,'Temporada 2026'!C42,Resultados!$F$331:$F$356),"")</f>
        <v>26</v>
      </c>
      <c r="T42" s="121">
        <f>IF(C42&lt;&gt;"",SUMIF(Resultados!$E$360:$E$409,'Temporada 2026'!C42,Resultados!$F$360:$F$409),"")</f>
        <v>13</v>
      </c>
      <c r="U42" s="121">
        <f>IF(C42&lt;&gt;"",SUMIF(Resultados!$E$412:$E$437,'Temporada 2026'!C42,Resultados!$F$412:$F$437),"")</f>
        <v>23</v>
      </c>
      <c r="V42" s="121">
        <f>IF(C42&lt;&gt;"",SUMIF(Resultados!$E$440:$E$465,'Temporada 2026'!C42,Resultados!$F$440:$F$465),"")</f>
        <v>26</v>
      </c>
      <c r="W42" s="121">
        <f>IF(C42&lt;&gt;"",SUMIF(Resultados!$E$469:$E$518,'Temporada 2026'!C42,Resultados!$F$469:$F$518),"")</f>
        <v>3</v>
      </c>
      <c r="X42" s="121">
        <f>IF(C42&lt;&gt;"",SUMIF(Resultados!$E$521:$E$546,'Temporada 2026'!C42,Resultados!$F$521:$F$546),"")</f>
        <v>15</v>
      </c>
      <c r="Y42" s="121">
        <f>IF(C42&lt;&gt;"",SUMIF(Resultados!$E$549:$E$574,'Temporada 2026'!C42,Resultados!$F$549:$F$574),"")</f>
        <v>18</v>
      </c>
      <c r="Z42" s="121">
        <f>IF(C42&lt;&gt;"",SUMIF(Resultados!$E$577:$E$602,'Temporada 2026'!C42,Resultados!$F$577:$F$602),"")</f>
        <v>33</v>
      </c>
      <c r="AA42" s="121">
        <f>IF(C42&lt;&gt;"",SUMIF(Resultados!$E$606:$E$655,'Temporada 2026'!C42,Resultados!$F$606:$F$655),"")</f>
        <v>34</v>
      </c>
      <c r="AB42" s="121">
        <f>IF(C42&lt;&gt;"",SUMIF(Resultados!$E$658:$E$683,'Temporada 2026'!C42,Resultados!$F$658:$F$683),"")</f>
        <v>0</v>
      </c>
      <c r="AC42" s="121">
        <f>IF(C42&lt;&gt;"",SUMIF(Resultados!$E$686:$E$711,'Temporada 2026'!C42,Resultados!$F$686:$F$711),"")</f>
        <v>0</v>
      </c>
      <c r="AD42" s="121">
        <f>IF(C42&lt;&gt;"",SUMIF(Resultados!$E$714:$E$739,'Temporada 2026'!C42,Resultados!$F$714:$F$739),"")</f>
        <v>0</v>
      </c>
      <c r="AE42" s="121">
        <f>IF(C42&lt;&gt;"",SUMIF(Resultados!$E$742:$E$767,'Temporada 2026'!C42,Resultados!$F$742:$F$767),"")</f>
        <v>0</v>
      </c>
      <c r="AF42" s="121">
        <f>IF(C42&lt;&gt;"",SUMIF(Resultados!$E$770:$E$795,'Temporada 2026'!C42,Resultados!$F$770:$F$795),"")</f>
        <v>0</v>
      </c>
      <c r="AG42" s="121">
        <f>IF(C42&lt;&gt;"",SUMIF(Resultados!$E$798:$E$823,'Temporada 2026'!C42,Resultados!$F$798:$F$823),"")</f>
        <v>0</v>
      </c>
    </row>
    <row r="43" spans="2:33" x14ac:dyDescent="0.2">
      <c r="B43" s="127">
        <f>IF('Equipes e Pilotos'!H7&lt;&gt;"",'Equipes e Pilotos'!H7,"")</f>
        <v>5</v>
      </c>
      <c r="C43" s="122" t="str">
        <f>VLOOKUP(B43,'Dummy Table'!$A$34:$B$47,2,FALSE)</f>
        <v>Racing Bulls</v>
      </c>
      <c r="D43" s="123" t="str">
        <f>VLOOKUP(B43,'Dummy Table'!$A$34:$C$47,3,FALSE)</f>
        <v>Itália</v>
      </c>
      <c r="E43" s="123" t="str">
        <f>VLOOKUP(B43,'Dummy Table'!$A$34:$D$47,4,FALSE)</f>
        <v>RB Ford</v>
      </c>
      <c r="F43" s="124" t="str">
        <f>IF(C43&lt;&gt;"",IF(G43+Resultados!$K$30&gt;$G$39,"J","L"),"")</f>
        <v>L</v>
      </c>
      <c r="G43" s="125">
        <f>VLOOKUP(B43,'Dummy Table'!$A$34:$E$47,5,FALSE)</f>
        <v>108</v>
      </c>
      <c r="H43" s="123">
        <f t="shared" si="1"/>
        <v>-470</v>
      </c>
      <c r="I43" s="126">
        <f>IF(B43="","",SUMIF(Resultados!$N$3:$N$30,C43,Resultados!$O$3:$O$30))</f>
        <v>0</v>
      </c>
      <c r="J43" s="121">
        <f>IF(C43&lt;&gt;"",SUMIF(Resultados!$E$4:$E$29,'Temporada 2026'!C43,Resultados!$F$4:$F$29),"")</f>
        <v>4</v>
      </c>
      <c r="K43" s="121">
        <f>IF(C43&lt;&gt;"",SUMIF(Resultados!$E$33:$E$82,'Temporada 2026'!C43,Resultados!$F$33:$F$82),"")</f>
        <v>8</v>
      </c>
      <c r="L43" s="121">
        <f>IF(C43&lt;&gt;"",SUMIF(Resultados!$E$85:$E$110,'Temporada 2026'!C43,Resultados!$F$85:$F$110),"")</f>
        <v>2</v>
      </c>
      <c r="M43" s="121">
        <f>IF(C43&lt;&gt;"",SUMIF(Resultados!$E$113:$E$138,'Temporada 2026'!C43,Resultados!$F$113:$F$138),"")</f>
        <v>7</v>
      </c>
      <c r="N43" s="121">
        <f>IF(C43&lt;&gt;"",SUMIF(Resultados!$E$141:$E$166,'Temporada 2026'!C43,Resultados!$F$141:$F$166),"")</f>
        <v>0</v>
      </c>
      <c r="O43" s="121">
        <f>IF(C43&lt;&gt;"",SUMIF(Resultados!$E$170:$E$219,'Temporada 2026'!C43,Resultados!$F$170:$F$219),"")</f>
        <v>0</v>
      </c>
      <c r="P43" s="121">
        <f>IF(C43&lt;&gt;"",SUMIF(Resultados!$E$247:$E$272,'Temporada 2026'!C43,Resultados!$F$247:$F$272),"")</f>
        <v>6</v>
      </c>
      <c r="Q43" s="121">
        <f>IF(C43&lt;&gt;"",SUMIF(Resultados!$E$275:$E$300,'Temporada 2026'!C43,Resultados!$F$275:$F$300),"")</f>
        <v>18</v>
      </c>
      <c r="R43" s="121">
        <f>IF(C43&lt;&gt;"",SUMIF(Resultados!$E$303:$E$328,'Temporada 2026'!C43,Resultados!$F$303:$F$328),"")</f>
        <v>6</v>
      </c>
      <c r="S43" s="121">
        <f>IF(C43&lt;&gt;"",SUMIF(Resultados!$E$331:$E$356,'Temporada 2026'!C43,Resultados!$F$331:$F$356),"")</f>
        <v>3</v>
      </c>
      <c r="T43" s="121">
        <f>IF(C43&lt;&gt;"",SUMIF(Resultados!$E$360:$E$409,'Temporada 2026'!C43,Resultados!$F$360:$F$409),"")</f>
        <v>15</v>
      </c>
      <c r="U43" s="121">
        <f>IF(C43&lt;&gt;"",SUMIF(Resultados!$E$412:$E$437,'Temporada 2026'!C43,Resultados!$F$412:$F$437),"")</f>
        <v>2</v>
      </c>
      <c r="V43" s="121">
        <f>IF(C43&lt;&gt;"",SUMIF(Resultados!$E$440:$E$465,'Temporada 2026'!C43,Resultados!$F$440:$F$465),"")</f>
        <v>5</v>
      </c>
      <c r="W43" s="121">
        <f>IF(C43&lt;&gt;"",SUMIF(Resultados!$E$469:$E$518,'Temporada 2026'!C43,Resultados!$F$469:$F$518),"")</f>
        <v>6</v>
      </c>
      <c r="X43" s="121">
        <f>IF(C43&lt;&gt;"",SUMIF(Resultados!$E$521:$E$546,'Temporada 2026'!C43,Resultados!$F$521:$F$546),"")</f>
        <v>5</v>
      </c>
      <c r="Y43" s="121">
        <f>IF(C43&lt;&gt;"",SUMIF(Resultados!$E$549:$E$574,'Temporada 2026'!C43,Resultados!$F$549:$F$574),"")</f>
        <v>10</v>
      </c>
      <c r="Z43" s="121">
        <f>IF(C43&lt;&gt;"",SUMIF(Resultados!$E$577:$E$602,'Temporada 2026'!C43,Resultados!$F$577:$F$602),"")</f>
        <v>6</v>
      </c>
      <c r="AA43" s="121">
        <f>IF(C43&lt;&gt;"",SUMIF(Resultados!$E$606:$E$655,'Temporada 2026'!C43,Resultados!$F$606:$F$655),"")</f>
        <v>10</v>
      </c>
      <c r="AB43" s="121">
        <f>IF(C43&lt;&gt;"",SUMIF(Resultados!$E$658:$E$683,'Temporada 2026'!C43,Resultados!$F$658:$F$683),"")</f>
        <v>0</v>
      </c>
      <c r="AC43" s="121">
        <f>IF(C43&lt;&gt;"",SUMIF(Resultados!$E$686:$E$711,'Temporada 2026'!C43,Resultados!$F$686:$F$711),"")</f>
        <v>0</v>
      </c>
      <c r="AD43" s="121">
        <f>IF(C43&lt;&gt;"",SUMIF(Resultados!$E$714:$E$739,'Temporada 2026'!C43,Resultados!$F$714:$F$739),"")</f>
        <v>0</v>
      </c>
      <c r="AE43" s="121">
        <f>IF(C43&lt;&gt;"",SUMIF(Resultados!$E$742:$E$767,'Temporada 2026'!C43,Resultados!$F$742:$F$767),"")</f>
        <v>0</v>
      </c>
      <c r="AF43" s="121">
        <f>IF(C43&lt;&gt;"",SUMIF(Resultados!$E$770:$E$795,'Temporada 2026'!C43,Resultados!$F$770:$F$795),"")</f>
        <v>0</v>
      </c>
      <c r="AG43" s="121">
        <f>IF(C43&lt;&gt;"",SUMIF(Resultados!$E$798:$E$823,'Temporada 2026'!C43,Resultados!$F$798:$F$823),"")</f>
        <v>0</v>
      </c>
    </row>
    <row r="44" spans="2:33" x14ac:dyDescent="0.2">
      <c r="B44" s="127">
        <f>IF('Equipes e Pilotos'!H8&lt;&gt;"",'Equipes e Pilotos'!H8,"")</f>
        <v>6</v>
      </c>
      <c r="C44" s="122" t="str">
        <f>VLOOKUP(B44,'Dummy Table'!$A$34:$B$47,2,FALSE)</f>
        <v>Alpine</v>
      </c>
      <c r="D44" s="123" t="str">
        <f>VLOOKUP(B44,'Dummy Table'!$A$34:$C$47,3,FALSE)</f>
        <v>França</v>
      </c>
      <c r="E44" s="123" t="str">
        <f>VLOOKUP(B44,'Dummy Table'!$A$34:$D$47,4,FALSE)</f>
        <v>Renault</v>
      </c>
      <c r="F44" s="124" t="str">
        <f>IF(C44&lt;&gt;"",IF(G44+Resultados!$K$30&gt;$G$39,"J","L"),"")</f>
        <v>L</v>
      </c>
      <c r="G44" s="125">
        <f>VLOOKUP(B44,'Dummy Table'!$A$34:$E$47,5,FALSE)</f>
        <v>68</v>
      </c>
      <c r="H44" s="123">
        <f t="shared" si="1"/>
        <v>-510</v>
      </c>
      <c r="I44" s="126">
        <f>IF(B44="","",SUMIF(Resultados!$N$3:$N$30,C44,Resultados!$O$3:$O$30))</f>
        <v>0</v>
      </c>
      <c r="J44" s="121">
        <f>IF(C44&lt;&gt;"",SUMIF(Resultados!$E$4:$E$29,'Temporada 2026'!C44,Resultados!$F$4:$F$29),"")</f>
        <v>1</v>
      </c>
      <c r="K44" s="121">
        <f>IF(C44&lt;&gt;"",SUMIF(Resultados!$E$33:$E$82,'Temporada 2026'!C44,Resultados!$F$33:$F$82),"")</f>
        <v>9</v>
      </c>
      <c r="L44" s="121">
        <f>IF(C44&lt;&gt;"",SUMIF(Resultados!$E$85:$E$110,'Temporada 2026'!C44,Resultados!$F$85:$F$110),"")</f>
        <v>6</v>
      </c>
      <c r="M44" s="121">
        <f>IF(C44&lt;&gt;"",SUMIF(Resultados!$E$113:$E$138,'Temporada 2026'!C44,Resultados!$F$113:$F$138),"")</f>
        <v>0</v>
      </c>
      <c r="N44" s="121">
        <f>IF(C44&lt;&gt;"",SUMIF(Resultados!$E$141:$E$166,'Temporada 2026'!C44,Resultados!$F$141:$F$166),"")</f>
        <v>0</v>
      </c>
      <c r="O44" s="121">
        <f>IF(C44&lt;&gt;"",SUMIF(Resultados!$E$170:$E$219,'Temporada 2026'!C44,Resultados!$F$170:$F$219),"")</f>
        <v>7</v>
      </c>
      <c r="P44" s="121">
        <f>IF(C44&lt;&gt;"",SUMIF(Resultados!$E$247:$E$272,'Temporada 2026'!C44,Resultados!$F$247:$F$272),"")</f>
        <v>12</v>
      </c>
      <c r="Q44" s="121">
        <f>IF(C44&lt;&gt;"",SUMIF(Resultados!$E$275:$E$300,'Temporada 2026'!C44,Resultados!$F$275:$F$300),"")</f>
        <v>6</v>
      </c>
      <c r="R44" s="121">
        <f>IF(C44&lt;&gt;"",SUMIF(Resultados!$E$303:$E$328,'Temporada 2026'!C44,Resultados!$F$303:$F$328),"")</f>
        <v>7</v>
      </c>
      <c r="S44" s="121">
        <f>IF(C44&lt;&gt;"",SUMIF(Resultados!$E$331:$E$356,'Temporada 2026'!C44,Resultados!$F$331:$F$356),"")</f>
        <v>0</v>
      </c>
      <c r="T44" s="121">
        <f>IF(C44&lt;&gt;"",SUMIF(Resultados!$E$360:$E$409,'Temporada 2026'!C44,Resultados!$F$360:$F$409),"")</f>
        <v>3</v>
      </c>
      <c r="U44" s="121">
        <f>IF(C44&lt;&gt;"",SUMIF(Resultados!$E$412:$E$437,'Temporada 2026'!C44,Resultados!$F$412:$F$437),"")</f>
        <v>1</v>
      </c>
      <c r="V44" s="121">
        <f>IF(C44&lt;&gt;"",SUMIF(Resultados!$E$440:$E$465,'Temporada 2026'!C44,Resultados!$F$440:$F$465),"")</f>
        <v>0</v>
      </c>
      <c r="W44" s="121">
        <f>IF(C44&lt;&gt;"",SUMIF(Resultados!$E$469:$E$518,'Temporada 2026'!C44,Resultados!$F$469:$F$518),"")</f>
        <v>2</v>
      </c>
      <c r="X44" s="121">
        <f>IF(C44&lt;&gt;"",SUMIF(Resultados!$E$521:$E$546,'Temporada 2026'!C44,Resultados!$F$521:$F$546),"")</f>
        <v>8</v>
      </c>
      <c r="Y44" s="121">
        <f>IF(C44&lt;&gt;"",SUMIF(Resultados!$E$549:$E$574,'Temporada 2026'!C44,Resultados!$F$549:$F$574),"")</f>
        <v>6</v>
      </c>
      <c r="Z44" s="121">
        <f>IF(C44&lt;&gt;"",SUMIF(Resultados!$E$577:$E$602,'Temporada 2026'!C44,Resultados!$F$577:$F$602),"")</f>
        <v>0</v>
      </c>
      <c r="AA44" s="121">
        <f>IF(C44&lt;&gt;"",SUMIF(Resultados!$E$606:$E$655,'Temporada 2026'!C44,Resultados!$F$606:$F$655),"")</f>
        <v>0</v>
      </c>
      <c r="AB44" s="121">
        <f>IF(C44&lt;&gt;"",SUMIF(Resultados!$E$658:$E$683,'Temporada 2026'!C44,Resultados!$F$658:$F$683),"")</f>
        <v>0</v>
      </c>
      <c r="AC44" s="121">
        <f>IF(C44&lt;&gt;"",SUMIF(Resultados!$E$686:$E$711,'Temporada 2026'!C44,Resultados!$F$686:$F$711),"")</f>
        <v>0</v>
      </c>
      <c r="AD44" s="121">
        <f>IF(C44&lt;&gt;"",SUMIF(Resultados!$E$714:$E$739,'Temporada 2026'!C44,Resultados!$F$714:$F$739),"")</f>
        <v>0</v>
      </c>
      <c r="AE44" s="121">
        <f>IF(C44&lt;&gt;"",SUMIF(Resultados!$E$742:$E$767,'Temporada 2026'!C44,Resultados!$F$742:$F$767),"")</f>
        <v>0</v>
      </c>
      <c r="AF44" s="121">
        <f>IF(C44&lt;&gt;"",SUMIF(Resultados!$E$770:$E$795,'Temporada 2026'!C44,Resultados!$F$770:$F$795),"")</f>
        <v>0</v>
      </c>
      <c r="AG44" s="121">
        <f>IF(C44&lt;&gt;"",SUMIF(Resultados!$E$798:$E$823,'Temporada 2026'!C44,Resultados!$F$798:$F$823),"")</f>
        <v>0</v>
      </c>
    </row>
    <row r="45" spans="2:33" x14ac:dyDescent="0.2">
      <c r="B45" s="127">
        <f>IF('Equipes e Pilotos'!H9&lt;&gt;"",'Equipes e Pilotos'!H9,"")</f>
        <v>7</v>
      </c>
      <c r="C45" s="122" t="str">
        <f>VLOOKUP(B45,'Dummy Table'!$A$34:$B$47,2,FALSE)</f>
        <v>Haas</v>
      </c>
      <c r="D45" s="123" t="str">
        <f>VLOOKUP(B45,'Dummy Table'!$A$34:$C$47,3,FALSE)</f>
        <v>USA</v>
      </c>
      <c r="E45" s="123" t="str">
        <f>VLOOKUP(B45,'Dummy Table'!$A$34:$D$47,4,FALSE)</f>
        <v>Ferrari</v>
      </c>
      <c r="F45" s="124" t="str">
        <f>IF(C45&lt;&gt;"",IF(G45+Resultados!$K$30&gt;$G$39,"J","L"),"")</f>
        <v>L</v>
      </c>
      <c r="G45" s="125">
        <f>VLOOKUP(B45,'Dummy Table'!$A$34:$E$47,5,FALSE)</f>
        <v>30</v>
      </c>
      <c r="H45" s="123">
        <f t="shared" si="1"/>
        <v>-548</v>
      </c>
      <c r="I45" s="126">
        <f>IF(B45="","",SUMIF(Resultados!$N$3:$N$30,C45,Resultados!$O$3:$O$30))</f>
        <v>0</v>
      </c>
      <c r="J45" s="121">
        <f>IF(C45&lt;&gt;"",SUMIF(Resultados!$E$4:$E$29,'Temporada 2026'!C45,Resultados!$F$4:$F$29),"")</f>
        <v>6</v>
      </c>
      <c r="K45" s="121">
        <f>IF(C45&lt;&gt;"",SUMIF(Resultados!$E$33:$E$82,'Temporada 2026'!C45,Resultados!$F$33:$F$82),"")</f>
        <v>11</v>
      </c>
      <c r="L45" s="121">
        <f>IF(C45&lt;&gt;"",SUMIF(Resultados!$E$85:$E$110,'Temporada 2026'!C45,Resultados!$F$85:$F$110),"")</f>
        <v>1</v>
      </c>
      <c r="M45" s="121">
        <f>IF(C45&lt;&gt;"",SUMIF(Resultados!$E$113:$E$138,'Temporada 2026'!C45,Resultados!$F$113:$F$138),"")</f>
        <v>0</v>
      </c>
      <c r="N45" s="121">
        <f>IF(C45&lt;&gt;"",SUMIF(Resultados!$E$141:$E$166,'Temporada 2026'!C45,Resultados!$F$141:$F$166),"")</f>
        <v>0</v>
      </c>
      <c r="O45" s="121">
        <f>IF(C45&lt;&gt;"",SUMIF(Resultados!$E$170:$E$219,'Temporada 2026'!C45,Resultados!$F$170:$F$219),"")</f>
        <v>0</v>
      </c>
      <c r="P45" s="121">
        <f>IF(C45&lt;&gt;"",SUMIF(Resultados!$E$247:$E$272,'Temporada 2026'!C45,Resultados!$F$247:$F$272),"")</f>
        <v>1</v>
      </c>
      <c r="Q45" s="121">
        <f>IF(C45&lt;&gt;"",SUMIF(Resultados!$E$275:$E$300,'Temporada 2026'!C45,Resultados!$F$275:$F$300),"")</f>
        <v>2</v>
      </c>
      <c r="R45" s="121">
        <f>IF(C45&lt;&gt;"",SUMIF(Resultados!$E$303:$E$328,'Temporada 2026'!C45,Resultados!$F$303:$F$328),"")</f>
        <v>0</v>
      </c>
      <c r="S45" s="121">
        <f>IF(C45&lt;&gt;"",SUMIF(Resultados!$E$331:$E$356,'Temporada 2026'!C45,Resultados!$F$331:$F$356),"")</f>
        <v>0</v>
      </c>
      <c r="T45" s="121">
        <f>IF(C45&lt;&gt;"",SUMIF(Resultados!$E$360:$E$409,'Temporada 2026'!C45,Resultados!$F$360:$F$409),"")</f>
        <v>0</v>
      </c>
      <c r="U45" s="121">
        <f>IF(C45&lt;&gt;"",SUMIF(Resultados!$E$412:$E$437,'Temporada 2026'!C45,Resultados!$F$412:$F$437),"")</f>
        <v>0</v>
      </c>
      <c r="V45" s="121">
        <f>IF(C45&lt;&gt;"",SUMIF(Resultados!$E$440:$E$465,'Temporada 2026'!C45,Resultados!$F$440:$F$465),"")</f>
        <v>0</v>
      </c>
      <c r="W45" s="121">
        <f>IF(C45&lt;&gt;"",SUMIF(Resultados!$E$469:$E$518,'Temporada 2026'!C45,Resultados!$F$469:$F$518),"")</f>
        <v>0</v>
      </c>
      <c r="X45" s="121">
        <f>IF(C45&lt;&gt;"",SUMIF(Resultados!$E$521:$E$546,'Temporada 2026'!C45,Resultados!$F$521:$F$546),"")</f>
        <v>0</v>
      </c>
      <c r="Y45" s="121">
        <f>IF(C45&lt;&gt;"",SUMIF(Resultados!$E$549:$E$574,'Temporada 2026'!C45,Resultados!$F$549:$F$574),"")</f>
        <v>0</v>
      </c>
      <c r="Z45" s="121">
        <f>IF(C45&lt;&gt;"",SUMIF(Resultados!$E$577:$E$602,'Temporada 2026'!C45,Resultados!$F$577:$F$602),"")</f>
        <v>6</v>
      </c>
      <c r="AA45" s="121">
        <f>IF(C45&lt;&gt;"",SUMIF(Resultados!$E$606:$E$655,'Temporada 2026'!C45,Resultados!$F$606:$F$655),"")</f>
        <v>3</v>
      </c>
      <c r="AB45" s="121">
        <f>IF(C45&lt;&gt;"",SUMIF(Resultados!$E$658:$E$683,'Temporada 2026'!C45,Resultados!$F$658:$F$683),"")</f>
        <v>0</v>
      </c>
      <c r="AC45" s="121">
        <f>IF(C45&lt;&gt;"",SUMIF(Resultados!$E$686:$E$711,'Temporada 2026'!C45,Resultados!$F$686:$F$711),"")</f>
        <v>0</v>
      </c>
      <c r="AD45" s="121">
        <f>IF(C45&lt;&gt;"",SUMIF(Resultados!$E$714:$E$739,'Temporada 2026'!C45,Resultados!$F$714:$F$739),"")</f>
        <v>0</v>
      </c>
      <c r="AE45" s="121">
        <f>IF(C45&lt;&gt;"",SUMIF(Resultados!$E$742:$E$767,'Temporada 2026'!C45,Resultados!$F$742:$F$767),"")</f>
        <v>0</v>
      </c>
      <c r="AF45" s="121">
        <f>IF(C45&lt;&gt;"",SUMIF(Resultados!$E$770:$E$795,'Temporada 2026'!C45,Resultados!$F$770:$F$795),"")</f>
        <v>0</v>
      </c>
      <c r="AG45" s="121">
        <f>IF(C45&lt;&gt;"",SUMIF(Resultados!$E$798:$E$823,'Temporada 2026'!C45,Resultados!$F$798:$F$823),"")</f>
        <v>0</v>
      </c>
    </row>
    <row r="46" spans="2:33" x14ac:dyDescent="0.2">
      <c r="B46" s="127">
        <f>IF('Equipes e Pilotos'!H10&lt;&gt;"",'Equipes e Pilotos'!H10,"")</f>
        <v>8</v>
      </c>
      <c r="C46" s="122" t="str">
        <f>VLOOKUP(B46,'Dummy Table'!$A$34:$B$47,2,FALSE)</f>
        <v>Audi</v>
      </c>
      <c r="D46" s="123" t="str">
        <f>VLOOKUP(B46,'Dummy Table'!$A$34:$C$47,3,FALSE)</f>
        <v>Alemanha</v>
      </c>
      <c r="E46" s="123" t="str">
        <f>VLOOKUP(B46,'Dummy Table'!$A$34:$D$47,4,FALSE)</f>
        <v>Audi</v>
      </c>
      <c r="F46" s="124" t="str">
        <f>IF(C46&lt;&gt;"",IF(G46+Resultados!$K$30&gt;$G$39,"J","L"),"")</f>
        <v>L</v>
      </c>
      <c r="G46" s="125">
        <f>VLOOKUP(B46,'Dummy Table'!$A$34:$E$47,5,FALSE)</f>
        <v>23</v>
      </c>
      <c r="H46" s="123">
        <f t="shared" si="1"/>
        <v>-555</v>
      </c>
      <c r="I46" s="126">
        <f>IF(B46="","",SUMIF(Resultados!$N$3:$N$30,C46,Resultados!$O$3:$O$30))</f>
        <v>0</v>
      </c>
      <c r="J46" s="121">
        <f>IF(C46&lt;&gt;"",SUMIF(Resultados!$E$4:$E$29,'Temporada 2026'!C46,Resultados!$F$4:$F$29),"")</f>
        <v>2</v>
      </c>
      <c r="K46" s="121">
        <f>IF(C46&lt;&gt;"",SUMIF(Resultados!$E$33:$E$82,'Temporada 2026'!C46,Resultados!$F$33:$F$82),"")</f>
        <v>0</v>
      </c>
      <c r="L46" s="121">
        <f>IF(C46&lt;&gt;"",SUMIF(Resultados!$E$85:$E$110,'Temporada 2026'!C46,Resultados!$F$85:$F$110),"")</f>
        <v>0</v>
      </c>
      <c r="M46" s="121">
        <f>IF(C46&lt;&gt;"",SUMIF(Resultados!$E$113:$E$138,'Temporada 2026'!C46,Resultados!$F$113:$F$138),"")</f>
        <v>0</v>
      </c>
      <c r="N46" s="121">
        <f>IF(C46&lt;&gt;"",SUMIF(Resultados!$E$141:$E$166,'Temporada 2026'!C46,Resultados!$F$141:$F$166),"")</f>
        <v>0</v>
      </c>
      <c r="O46" s="121">
        <f>IF(C46&lt;&gt;"",SUMIF(Resultados!$E$170:$E$219,'Temporada 2026'!C46,Resultados!$F$170:$F$219),"")</f>
        <v>0</v>
      </c>
      <c r="P46" s="121">
        <f>IF(C46&lt;&gt;"",SUMIF(Resultados!$E$247:$E$272,'Temporada 2026'!C46,Resultados!$F$247:$F$272),"")</f>
        <v>0</v>
      </c>
      <c r="Q46" s="121">
        <f>IF(C46&lt;&gt;"",SUMIF(Resultados!$E$275:$E$300,'Temporada 2026'!C46,Resultados!$F$275:$F$300),"")</f>
        <v>0</v>
      </c>
      <c r="R46" s="121">
        <f>IF(C46&lt;&gt;"",SUMIF(Resultados!$E$303:$E$328,'Temporada 2026'!C46,Resultados!$F$303:$F$328),"")</f>
        <v>0</v>
      </c>
      <c r="S46" s="121">
        <f>IF(C46&lt;&gt;"",SUMIF(Resultados!$E$331:$E$356,'Temporada 2026'!C46,Resultados!$F$331:$F$356),"")</f>
        <v>0</v>
      </c>
      <c r="T46" s="121">
        <f>IF(C46&lt;&gt;"",SUMIF(Resultados!$E$360:$E$409,'Temporada 2026'!C46,Resultados!$F$360:$F$409),"")</f>
        <v>4</v>
      </c>
      <c r="U46" s="121">
        <f>IF(C46&lt;&gt;"",SUMIF(Resultados!$E$412:$E$437,'Temporada 2026'!C46,Resultados!$F$412:$F$437),"")</f>
        <v>4</v>
      </c>
      <c r="V46" s="121">
        <f>IF(C46&lt;&gt;"",SUMIF(Resultados!$E$440:$E$465,'Temporada 2026'!C46,Resultados!$F$440:$F$465),"")</f>
        <v>2</v>
      </c>
      <c r="W46" s="121">
        <f>IF(C46&lt;&gt;"",SUMIF(Resultados!$E$469:$E$518,'Temporada 2026'!C46,Resultados!$F$469:$F$518),"")</f>
        <v>4</v>
      </c>
      <c r="X46" s="121">
        <f>IF(C46&lt;&gt;"",SUMIF(Resultados!$E$521:$E$546,'Temporada 2026'!C46,Resultados!$F$521:$F$546),"")</f>
        <v>0</v>
      </c>
      <c r="Y46" s="121">
        <f>IF(C46&lt;&gt;"",SUMIF(Resultados!$E$549:$E$574,'Temporada 2026'!C46,Resultados!$F$549:$F$574),"")</f>
        <v>1</v>
      </c>
      <c r="Z46" s="121">
        <f>IF(C46&lt;&gt;"",SUMIF(Resultados!$E$577:$E$602,'Temporada 2026'!C46,Resultados!$F$577:$F$602),"")</f>
        <v>0</v>
      </c>
      <c r="AA46" s="121">
        <f>IF(C46&lt;&gt;"",SUMIF(Resultados!$E$606:$E$655,'Temporada 2026'!C46,Resultados!$F$606:$F$655),"")</f>
        <v>6</v>
      </c>
      <c r="AB46" s="121">
        <f>IF(C46&lt;&gt;"",SUMIF(Resultados!$E$658:$E$683,'Temporada 2026'!C46,Resultados!$F$658:$F$683),"")</f>
        <v>0</v>
      </c>
      <c r="AC46" s="121">
        <f>IF(C46&lt;&gt;"",SUMIF(Resultados!$E$686:$E$711,'Temporada 2026'!C46,Resultados!$F$686:$F$711),"")</f>
        <v>0</v>
      </c>
      <c r="AD46" s="121">
        <f>IF(C46&lt;&gt;"",SUMIF(Resultados!$E$714:$E$739,'Temporada 2026'!C46,Resultados!$F$714:$F$739),"")</f>
        <v>0</v>
      </c>
      <c r="AE46" s="121">
        <f>IF(C46&lt;&gt;"",SUMIF(Resultados!$E$742:$E$767,'Temporada 2026'!C46,Resultados!$F$742:$F$767),"")</f>
        <v>0</v>
      </c>
      <c r="AF46" s="121">
        <f>IF(C46&lt;&gt;"",SUMIF(Resultados!$E$770:$E$795,'Temporada 2026'!C46,Resultados!$F$770:$F$795),"")</f>
        <v>0</v>
      </c>
      <c r="AG46" s="121">
        <f>IF(C46&lt;&gt;"",SUMIF(Resultados!$E$798:$E$823,'Temporada 2026'!C46,Resultados!$F$798:$F$823),"")</f>
        <v>0</v>
      </c>
    </row>
    <row r="47" spans="2:33" x14ac:dyDescent="0.2">
      <c r="B47" s="127">
        <f>IF('Equipes e Pilotos'!H11&lt;&gt;"",'Equipes e Pilotos'!H11,"")</f>
        <v>9</v>
      </c>
      <c r="C47" s="122" t="str">
        <f>VLOOKUP(B47,'Dummy Table'!$A$34:$B$47,2,FALSE)</f>
        <v>Williams</v>
      </c>
      <c r="D47" s="123" t="str">
        <f>VLOOKUP(B47,'Dummy Table'!$A$34:$C$47,3,FALSE)</f>
        <v>Inglaterra</v>
      </c>
      <c r="E47" s="123" t="str">
        <f>VLOOKUP(B47,'Dummy Table'!$A$34:$D$47,4,FALSE)</f>
        <v>Mercedes</v>
      </c>
      <c r="F47" s="124" t="str">
        <f>IF(C47&lt;&gt;"",IF(G47+Resultados!$K$30&gt;$G$39,"J","L"),"")</f>
        <v>L</v>
      </c>
      <c r="G47" s="125">
        <f>VLOOKUP(B47,'Dummy Table'!$A$34:$E$47,5,FALSE)</f>
        <v>12</v>
      </c>
      <c r="H47" s="123">
        <f t="shared" si="1"/>
        <v>-566</v>
      </c>
      <c r="I47" s="126">
        <f>IF(B47="","",SUMIF(Resultados!$N$3:$N$30,C47,Resultados!$O$3:$O$30))</f>
        <v>0</v>
      </c>
      <c r="J47" s="121">
        <f>IF(C47&lt;&gt;"",SUMIF(Resultados!$E$4:$E$29,'Temporada 2026'!C47,Resultados!$F$4:$F$29),"")</f>
        <v>0</v>
      </c>
      <c r="K47" s="121">
        <f>IF(C47&lt;&gt;"",SUMIF(Resultados!$E$33:$E$82,'Temporada 2026'!C47,Resultados!$F$33:$F$82),"")</f>
        <v>2</v>
      </c>
      <c r="L47" s="121">
        <f>IF(C47&lt;&gt;"",SUMIF(Resultados!$E$85:$E$110,'Temporada 2026'!C47,Resultados!$F$85:$F$110),"")</f>
        <v>0</v>
      </c>
      <c r="M47" s="121">
        <f>IF(C47&lt;&gt;"",SUMIF(Resultados!$E$113:$E$138,'Temporada 2026'!C47,Resultados!$F$113:$F$138),"")</f>
        <v>0</v>
      </c>
      <c r="N47" s="121">
        <f>IF(C47&lt;&gt;"",SUMIF(Resultados!$E$141:$E$166,'Temporada 2026'!C47,Resultados!$F$141:$F$166),"")</f>
        <v>0</v>
      </c>
      <c r="O47" s="121">
        <f>IF(C47&lt;&gt;"",SUMIF(Resultados!$E$170:$E$219,'Temporada 2026'!C47,Resultados!$F$170:$F$219),"")</f>
        <v>3</v>
      </c>
      <c r="P47" s="121">
        <f>IF(C47&lt;&gt;"",SUMIF(Resultados!$E$247:$E$272,'Temporada 2026'!C47,Resultados!$F$247:$F$272),"")</f>
        <v>2</v>
      </c>
      <c r="Q47" s="121">
        <f>IF(C47&lt;&gt;"",SUMIF(Resultados!$E$275:$E$300,'Temporada 2026'!C47,Resultados!$F$275:$F$300),"")</f>
        <v>4</v>
      </c>
      <c r="R47" s="121">
        <f>IF(C47&lt;&gt;"",SUMIF(Resultados!$E$303:$E$328,'Temporada 2026'!C47,Resultados!$F$303:$F$328),"")</f>
        <v>0</v>
      </c>
      <c r="S47" s="121">
        <f>IF(C47&lt;&gt;"",SUMIF(Resultados!$E$331:$E$356,'Temporada 2026'!C47,Resultados!$F$331:$F$356),"")</f>
        <v>0</v>
      </c>
      <c r="T47" s="121">
        <f>IF(C47&lt;&gt;"",SUMIF(Resultados!$E$360:$E$409,'Temporada 2026'!C47,Resultados!$F$360:$F$409),"")</f>
        <v>0</v>
      </c>
      <c r="U47" s="121">
        <f>IF(C47&lt;&gt;"",SUMIF(Resultados!$E$412:$E$437,'Temporada 2026'!C47,Resultados!$F$412:$F$437),"")</f>
        <v>0</v>
      </c>
      <c r="V47" s="121">
        <f>IF(C47&lt;&gt;"",SUMIF(Resultados!$E$440:$E$465,'Temporada 2026'!C47,Resultados!$F$440:$F$465),"")</f>
        <v>0</v>
      </c>
      <c r="W47" s="121">
        <f>IF(C47&lt;&gt;"",SUMIF(Resultados!$E$469:$E$518,'Temporada 2026'!C47,Resultados!$F$469:$F$518),"")</f>
        <v>0</v>
      </c>
      <c r="X47" s="121">
        <f>IF(C47&lt;&gt;"",SUMIF(Resultados!$E$521:$E$546,'Temporada 2026'!C47,Resultados!$F$521:$F$546),"")</f>
        <v>0</v>
      </c>
      <c r="Y47" s="121">
        <f>IF(C47&lt;&gt;"",SUMIF(Resultados!$E$549:$E$574,'Temporada 2026'!C47,Resultados!$F$549:$F$574),"")</f>
        <v>0</v>
      </c>
      <c r="Z47" s="121">
        <f>IF(C47&lt;&gt;"",SUMIF(Resultados!$E$577:$E$602,'Temporada 2026'!C47,Resultados!$F$577:$F$602),"")</f>
        <v>1</v>
      </c>
      <c r="AA47" s="121">
        <f>IF(C47&lt;&gt;"",SUMIF(Resultados!$E$606:$E$655,'Temporada 2026'!C47,Resultados!$F$606:$F$655),"")</f>
        <v>0</v>
      </c>
      <c r="AB47" s="121">
        <f>IF(C47&lt;&gt;"",SUMIF(Resultados!$E$658:$E$683,'Temporada 2026'!C47,Resultados!$F$658:$F$683),"")</f>
        <v>0</v>
      </c>
      <c r="AC47" s="121">
        <f>IF(C47&lt;&gt;"",SUMIF(Resultados!$E$686:$E$711,'Temporada 2026'!C47,Resultados!$F$686:$F$711),"")</f>
        <v>0</v>
      </c>
      <c r="AD47" s="121">
        <f>IF(C47&lt;&gt;"",SUMIF(Resultados!$E$714:$E$739,'Temporada 2026'!C47,Resultados!$F$714:$F$739),"")</f>
        <v>0</v>
      </c>
      <c r="AE47" s="121">
        <f>IF(C47&lt;&gt;"",SUMIF(Resultados!$E$742:$E$767,'Temporada 2026'!C47,Resultados!$F$742:$F$767),"")</f>
        <v>0</v>
      </c>
      <c r="AF47" s="121">
        <f>IF(C47&lt;&gt;"",SUMIF(Resultados!$E$770:$E$795,'Temporada 2026'!C47,Resultados!$F$770:$F$795),"")</f>
        <v>0</v>
      </c>
      <c r="AG47" s="121">
        <f>IF(C47&lt;&gt;"",SUMIF(Resultados!$E$798:$E$823,'Temporada 2026'!C47,Resultados!$F$798:$F$823),"")</f>
        <v>0</v>
      </c>
    </row>
    <row r="48" spans="2:33" x14ac:dyDescent="0.2">
      <c r="B48" s="127">
        <f>IF('Equipes e Pilotos'!H12&lt;&gt;"",'Equipes e Pilotos'!H12,"")</f>
        <v>10</v>
      </c>
      <c r="C48" s="122" t="str">
        <f>VLOOKUP(B48,'Dummy Table'!$A$34:$B$47,2,FALSE)</f>
        <v>Aston Martin</v>
      </c>
      <c r="D48" s="123" t="str">
        <f>VLOOKUP(B48,'Dummy Table'!$A$34:$C$47,3,FALSE)</f>
        <v>Inglaterra</v>
      </c>
      <c r="E48" s="123" t="str">
        <f>VLOOKUP(B48,'Dummy Table'!$A$34:$D$47,4,FALSE)</f>
        <v>Honda</v>
      </c>
      <c r="F48" s="124" t="str">
        <f>IF(C48&lt;&gt;"",IF(G48+Resultados!$K$30&gt;$G$39,"J","L"),"")</f>
        <v>L</v>
      </c>
      <c r="G48" s="125">
        <f>VLOOKUP(B48,'Dummy Table'!$A$34:$E$47,5,FALSE)</f>
        <v>7</v>
      </c>
      <c r="H48" s="123">
        <f t="shared" si="1"/>
        <v>-571</v>
      </c>
      <c r="I48" s="126">
        <f>IF(B48="","",SUMIF(Resultados!$N$3:$N$30,C48,Resultados!$O$3:$O$30))</f>
        <v>0</v>
      </c>
      <c r="J48" s="121">
        <f>IF(C48&lt;&gt;"",SUMIF(Resultados!$E$4:$E$29,'Temporada 2026'!C48,Resultados!$F$4:$F$29),"")</f>
        <v>0</v>
      </c>
      <c r="K48" s="121">
        <f>IF(C48&lt;&gt;"",SUMIF(Resultados!$E$33:$E$82,'Temporada 2026'!C48,Resultados!$F$33:$F$82),"")</f>
        <v>0</v>
      </c>
      <c r="L48" s="121">
        <f>IF(C48&lt;&gt;"",SUMIF(Resultados!$E$85:$E$110,'Temporada 2026'!C48,Resultados!$F$85:$F$110),"")</f>
        <v>0</v>
      </c>
      <c r="M48" s="121">
        <f>IF(C48&lt;&gt;"",SUMIF(Resultados!$E$113:$E$138,'Temporada 2026'!C48,Resultados!$F$113:$F$138),"")</f>
        <v>4</v>
      </c>
      <c r="N48" s="121">
        <f>IF(C48&lt;&gt;"",SUMIF(Resultados!$E$141:$E$166,'Temporada 2026'!C48,Resultados!$F$141:$F$166),"")</f>
        <v>0</v>
      </c>
      <c r="O48" s="121">
        <f>IF(C48&lt;&gt;"",SUMIF(Resultados!$E$170:$E$219,'Temporada 2026'!C48,Resultados!$F$170:$F$219),"")</f>
        <v>0</v>
      </c>
      <c r="P48" s="121">
        <f>IF(C48&lt;&gt;"",SUMIF(Resultados!$E$247:$E$272,'Temporada 2026'!C48,Resultados!$F$247:$F$272),"")</f>
        <v>0</v>
      </c>
      <c r="Q48" s="121">
        <f>IF(C48&lt;&gt;"",SUMIF(Resultados!$E$275:$E$300,'Temporada 2026'!C48,Resultados!$F$275:$F$300),"")</f>
        <v>1</v>
      </c>
      <c r="R48" s="121">
        <f>IF(C48&lt;&gt;"",SUMIF(Resultados!$E$303:$E$328,'Temporada 2026'!C48,Resultados!$F$303:$F$328),"")</f>
        <v>0</v>
      </c>
      <c r="S48" s="121">
        <f>IF(C48&lt;&gt;"",SUMIF(Resultados!$E$331:$E$356,'Temporada 2026'!C48,Resultados!$F$331:$F$356),"")</f>
        <v>0</v>
      </c>
      <c r="T48" s="121">
        <f>IF(C48&lt;&gt;"",SUMIF(Resultados!$E$360:$E$409,'Temporada 2026'!C48,Resultados!$F$360:$F$409),"")</f>
        <v>0</v>
      </c>
      <c r="U48" s="121">
        <f>IF(C48&lt;&gt;"",SUMIF(Resultados!$E$412:$E$437,'Temporada 2026'!C48,Resultados!$F$412:$F$437),"")</f>
        <v>0</v>
      </c>
      <c r="V48" s="121">
        <f>IF(C48&lt;&gt;"",SUMIF(Resultados!$E$440:$E$465,'Temporada 2026'!C48,Resultados!$F$440:$F$465),"")</f>
        <v>0</v>
      </c>
      <c r="W48" s="121">
        <f>IF(C48&lt;&gt;"",SUMIF(Resultados!$E$469:$E$518,'Temporada 2026'!C48,Resultados!$F$469:$F$518),"")</f>
        <v>2</v>
      </c>
      <c r="X48" s="121">
        <f>IF(C48&lt;&gt;"",SUMIF(Resultados!$E$521:$E$546,'Temporada 2026'!C48,Resultados!$F$521:$F$546),"")</f>
        <v>0</v>
      </c>
      <c r="Y48" s="121">
        <f>IF(C48&lt;&gt;"",SUMIF(Resultados!$E$549:$E$574,'Temporada 2026'!C48,Resultados!$F$549:$F$574),"")</f>
        <v>0</v>
      </c>
      <c r="Z48" s="121">
        <f>IF(C48&lt;&gt;"",SUMIF(Resultados!$E$577:$E$602,'Temporada 2026'!C48,Resultados!$F$577:$F$602),"")</f>
        <v>0</v>
      </c>
      <c r="AA48" s="121">
        <f>IF(C48&lt;&gt;"",SUMIF(Resultados!$E$606:$E$655,'Temporada 2026'!C48,Resultados!$F$606:$F$655),"")</f>
        <v>0</v>
      </c>
      <c r="AB48" s="121">
        <f>IF(C48&lt;&gt;"",SUMIF(Resultados!$E$658:$E$683,'Temporada 2026'!C48,Resultados!$F$658:$F$683),"")</f>
        <v>0</v>
      </c>
      <c r="AC48" s="121">
        <f>IF(C48&lt;&gt;"",SUMIF(Resultados!$E$686:$E$711,'Temporada 2026'!C48,Resultados!$F$686:$F$711),"")</f>
        <v>0</v>
      </c>
      <c r="AD48" s="121">
        <f>IF(C48&lt;&gt;"",SUMIF(Resultados!$E$714:$E$739,'Temporada 2026'!C48,Resultados!$F$714:$F$739),"")</f>
        <v>0</v>
      </c>
      <c r="AE48" s="121">
        <f>IF(C48&lt;&gt;"",SUMIF(Resultados!$E$742:$E$767,'Temporada 2026'!C48,Resultados!$F$742:$F$767),"")</f>
        <v>0</v>
      </c>
      <c r="AF48" s="121">
        <f>IF(C48&lt;&gt;"",SUMIF(Resultados!$E$770:$E$795,'Temporada 2026'!C48,Resultados!$F$770:$F$795),"")</f>
        <v>0</v>
      </c>
      <c r="AG48" s="121">
        <f>IF(C48&lt;&gt;"",SUMIF(Resultados!$E$798:$E$823,'Temporada 2026'!C48,Resultados!$F$798:$F$823),"")</f>
        <v>0</v>
      </c>
    </row>
    <row r="49" spans="2:33" x14ac:dyDescent="0.2">
      <c r="B49" s="127">
        <f>IF('Equipes e Pilotos'!H13&lt;&gt;"",'Equipes e Pilotos'!H13,"")</f>
        <v>11</v>
      </c>
      <c r="C49" s="122" t="str">
        <f>VLOOKUP(B49,'Dummy Table'!$A$34:$B$47,2,FALSE)</f>
        <v>Cadillac</v>
      </c>
      <c r="D49" s="123" t="str">
        <f>VLOOKUP(B49,'Dummy Table'!$A$34:$C$47,3,FALSE)</f>
        <v>EUA</v>
      </c>
      <c r="E49" s="123" t="str">
        <f>VLOOKUP(B49,'Dummy Table'!$A$34:$D$47,4,FALSE)</f>
        <v>Ferrari</v>
      </c>
      <c r="F49" s="124" t="str">
        <f>IF(C49&lt;&gt;"",IF(G49+Resultados!$K$30&gt;$G$39,"J","L"),"")</f>
        <v>L</v>
      </c>
      <c r="G49" s="125">
        <f>VLOOKUP(B49,'Dummy Table'!$A$34:$E$47,5,FALSE)</f>
        <v>0</v>
      </c>
      <c r="H49" s="123">
        <f t="shared" si="1"/>
        <v>-578</v>
      </c>
      <c r="I49" s="126">
        <f>IF(B49="","",SUMIF(Resultados!$N$3:$N$30,C49,Resultados!$O$3:$O$30))</f>
        <v>0</v>
      </c>
      <c r="J49" s="121">
        <f>IF(C49&lt;&gt;"",SUMIF(Resultados!$E$4:$E$29,'Temporada 2026'!C49,Resultados!$F$4:$F$29),"")</f>
        <v>0</v>
      </c>
      <c r="K49" s="121">
        <f>IF(C49&lt;&gt;"",SUMIF(Resultados!$E$33:$E$82,'Temporada 2026'!C49,Resultados!$F$33:$F$82),"")</f>
        <v>0</v>
      </c>
      <c r="L49" s="121">
        <f>IF(C49&lt;&gt;"",SUMIF(Resultados!$E$85:$E$110,'Temporada 2026'!C49,Resultados!$F$85:$F$110),"")</f>
        <v>0</v>
      </c>
      <c r="M49" s="121">
        <f>IF(C49&lt;&gt;"",SUMIF(Resultados!$E$113:$E$138,'Temporada 2026'!C49,Resultados!$F$113:$F$138),"")</f>
        <v>0</v>
      </c>
      <c r="N49" s="121">
        <f>IF(C49&lt;&gt;"",SUMIF(Resultados!$E$141:$E$166,'Temporada 2026'!C49,Resultados!$F$141:$F$166),"")</f>
        <v>0</v>
      </c>
      <c r="O49" s="121">
        <f>IF(C49&lt;&gt;"",SUMIF(Resultados!$E$170:$E$219,'Temporada 2026'!C49,Resultados!$F$170:$F$219),"")</f>
        <v>0</v>
      </c>
      <c r="P49" s="121">
        <f>IF(C49&lt;&gt;"",SUMIF(Resultados!$E$247:$E$272,'Temporada 2026'!C49,Resultados!$F$247:$F$272),"")</f>
        <v>0</v>
      </c>
      <c r="Q49" s="121">
        <f>IF(C49&lt;&gt;"",SUMIF(Resultados!$E$275:$E$300,'Temporada 2026'!C49,Resultados!$F$275:$F$300),"")</f>
        <v>0</v>
      </c>
      <c r="R49" s="121">
        <f>IF(C49&lt;&gt;"",SUMIF(Resultados!$E$303:$E$328,'Temporada 2026'!C49,Resultados!$F$303:$F$328),"")</f>
        <v>0</v>
      </c>
      <c r="S49" s="121">
        <f>IF(C49&lt;&gt;"",SUMIF(Resultados!$E$331:$E$356,'Temporada 2026'!C49,Resultados!$F$331:$F$356),"")</f>
        <v>0</v>
      </c>
      <c r="T49" s="121">
        <f>IF(C49&lt;&gt;"",SUMIF(Resultados!$E$360:$E$409,'Temporada 2026'!C49,Resultados!$F$360:$F$409),"")</f>
        <v>0</v>
      </c>
      <c r="U49" s="121">
        <f>IF(C49&lt;&gt;"",SUMIF(Resultados!$E$412:$E$437,'Temporada 2026'!C49,Resultados!$F$412:$F$437),"")</f>
        <v>0</v>
      </c>
      <c r="V49" s="121">
        <f>IF(C49&lt;&gt;"",SUMIF(Resultados!$E$440:$E$465,'Temporada 2026'!C49,Resultados!$F$440:$F$465),"")</f>
        <v>0</v>
      </c>
      <c r="W49" s="121">
        <f>IF(C49&lt;&gt;"",SUMIF(Resultados!$E$469:$E$518,'Temporada 2026'!C49,Resultados!$F$469:$F$518),"")</f>
        <v>0</v>
      </c>
      <c r="X49" s="121">
        <f>IF(C49&lt;&gt;"",SUMIF(Resultados!$E$521:$E$546,'Temporada 2026'!C49,Resultados!$F$521:$F$546),"")</f>
        <v>0</v>
      </c>
      <c r="Y49" s="121">
        <f>IF(C49&lt;&gt;"",SUMIF(Resultados!$E$549:$E$574,'Temporada 2026'!C49,Resultados!$F$549:$F$574),"")</f>
        <v>0</v>
      </c>
      <c r="Z49" s="121">
        <f>IF(C49&lt;&gt;"",SUMIF(Resultados!$E$577:$E$602,'Temporada 2026'!C49,Resultados!$F$577:$F$602),"")</f>
        <v>0</v>
      </c>
      <c r="AA49" s="121">
        <f>IF(C49&lt;&gt;"",SUMIF(Resultados!$E$606:$E$655,'Temporada 2026'!C49,Resultados!$F$606:$F$655),"")</f>
        <v>0</v>
      </c>
      <c r="AB49" s="121">
        <f>IF(C49&lt;&gt;"",SUMIF(Resultados!$E$658:$E$683,'Temporada 2026'!C49,Resultados!$F$658:$F$683),"")</f>
        <v>0</v>
      </c>
      <c r="AC49" s="121">
        <f>IF(C49&lt;&gt;"",SUMIF(Resultados!$E$686:$E$711,'Temporada 2026'!C49,Resultados!$F$686:$F$711),"")</f>
        <v>0</v>
      </c>
      <c r="AD49" s="121">
        <f>IF(C49&lt;&gt;"",SUMIF(Resultados!$E$714:$E$739,'Temporada 2026'!C49,Resultados!$F$714:$F$739),"")</f>
        <v>0</v>
      </c>
      <c r="AE49" s="121">
        <f>IF(C49&lt;&gt;"",SUMIF(Resultados!$E$742:$E$767,'Temporada 2026'!C49,Resultados!$F$742:$F$767),"")</f>
        <v>0</v>
      </c>
      <c r="AF49" s="121">
        <f>IF(C49&lt;&gt;"",SUMIF(Resultados!$E$770:$E$795,'Temporada 2026'!C49,Resultados!$F$770:$F$795),"")</f>
        <v>0</v>
      </c>
      <c r="AG49" s="121">
        <f>IF(C49&lt;&gt;"",SUMIF(Resultados!$E$798:$E$823,'Temporada 2026'!C49,Resultados!$F$798:$F$823),"")</f>
        <v>0</v>
      </c>
    </row>
    <row r="50" spans="2:33" x14ac:dyDescent="0.2">
      <c r="B50" s="127" t="str">
        <f>IF('Equipes e Pilotos'!H14&lt;&gt;"",'Equipes e Pilotos'!H14,"")</f>
        <v/>
      </c>
      <c r="C50" s="122" t="str">
        <f>VLOOKUP(B50,'Dummy Table'!$A$34:$B$47,2,FALSE)</f>
        <v/>
      </c>
      <c r="D50" s="123" t="str">
        <f>VLOOKUP(B50,'Dummy Table'!$A$34:$C$47,3,FALSE)</f>
        <v/>
      </c>
      <c r="E50" s="123" t="str">
        <f>VLOOKUP(B50,'Dummy Table'!$A$34:$D$47,4,FALSE)</f>
        <v/>
      </c>
      <c r="F50" s="124" t="str">
        <f>IF(C50&lt;&gt;"",IF(G50+Resultados!$K$30&gt;$G$39,"J","L"),"")</f>
        <v/>
      </c>
      <c r="G50" s="125" t="str">
        <f>VLOOKUP(B50,'Dummy Table'!$A$34:$E$47,5,FALSE)</f>
        <v/>
      </c>
      <c r="H50" s="123" t="str">
        <f t="shared" si="1"/>
        <v/>
      </c>
      <c r="I50" s="126" t="str">
        <f>IF(B50="","",SUMIF(Resultados!$N$3:$N$30,C50,Resultados!$O$3:$O$30))</f>
        <v/>
      </c>
      <c r="J50" s="121" t="str">
        <f>IF(C50&lt;&gt;"",SUMIF(Resultados!$E$4:$E$29,'Temporada 2026'!C50,Resultados!$F$4:$F$29),"")</f>
        <v/>
      </c>
      <c r="K50" s="121" t="str">
        <f>IF(C50&lt;&gt;"",SUMIF(Resultados!$E$33:$E$82,'Temporada 2026'!C50,Resultados!$F$33:$F$82),"")</f>
        <v/>
      </c>
      <c r="L50" s="121" t="str">
        <f>IF(C50&lt;&gt;"",SUMIF(Resultados!$E$85:$E$110,'Temporada 2026'!C50,Resultados!$F$85:$F$110),"")</f>
        <v/>
      </c>
      <c r="M50" s="121" t="str">
        <f>IF(C50&lt;&gt;"",SUMIF(Resultados!$E$113:$E$138,'Temporada 2026'!C50,Resultados!$F$113:$F$138),"")</f>
        <v/>
      </c>
      <c r="N50" s="121" t="str">
        <f>IF(C50&lt;&gt;"",SUMIF(Resultados!$E$141:$E$166,'Temporada 2026'!C50,Resultados!$F$141:$F$166),"")</f>
        <v/>
      </c>
      <c r="O50" s="121" t="str">
        <f>IF(C50&lt;&gt;"",SUMIF(Resultados!$E$170:$E$219,'Temporada 2026'!C50,Resultados!$F$170:$F$219),"")</f>
        <v/>
      </c>
      <c r="P50" s="121" t="str">
        <f>IF(C50&lt;&gt;"",SUMIF(Resultados!$E$247:$E$272,'Temporada 2026'!C50,Resultados!$F$247:$F$272),"")</f>
        <v/>
      </c>
      <c r="Q50" s="121" t="str">
        <f>IF(C50&lt;&gt;"",SUMIF(Resultados!$E$275:$E$300,'Temporada 2026'!C50,Resultados!$F$275:$F$300),"")</f>
        <v/>
      </c>
      <c r="R50" s="121" t="str">
        <f>IF(C50&lt;&gt;"",SUMIF(Resultados!$E$303:$E$328,'Temporada 2026'!C50,Resultados!$F$303:$F$328),"")</f>
        <v/>
      </c>
      <c r="S50" s="121" t="str">
        <f>IF(C50&lt;&gt;"",SUMIF(Resultados!$E$331:$E$356,'Temporada 2026'!C50,Resultados!$F$331:$F$356),"")</f>
        <v/>
      </c>
      <c r="T50" s="121" t="str">
        <f>IF(C50&lt;&gt;"",SUMIF(Resultados!$E$360:$E$409,'Temporada 2026'!C50,Resultados!$F$360:$F$409),"")</f>
        <v/>
      </c>
      <c r="U50" s="121" t="str">
        <f>IF(C50&lt;&gt;"",SUMIF(Resultados!$E$412:$E$437,'Temporada 2026'!C50,Resultados!$F$412:$F$437),"")</f>
        <v/>
      </c>
      <c r="V50" s="121" t="str">
        <f>IF(C50&lt;&gt;"",SUMIF(Resultados!$E$440:$E$465,'Temporada 2026'!C50,Resultados!$F$440:$F$465),"")</f>
        <v/>
      </c>
      <c r="W50" s="121" t="str">
        <f>IF(C50&lt;&gt;"",SUMIF(Resultados!$E$469:$E$518,'Temporada 2026'!C50,Resultados!$F$469:$F$518),"")</f>
        <v/>
      </c>
      <c r="X50" s="121" t="str">
        <f>IF(C50&lt;&gt;"",SUMIF(Resultados!$E$521:$E$546,'Temporada 2026'!C50,Resultados!$F$521:$F$546),"")</f>
        <v/>
      </c>
      <c r="Y50" s="121" t="str">
        <f>IF(C50&lt;&gt;"",SUMIF(Resultados!$E$549:$E$574,'Temporada 2026'!C50,Resultados!$F$549:$F$574),"")</f>
        <v/>
      </c>
      <c r="Z50" s="121" t="str">
        <f>IF(C50&lt;&gt;"",SUMIF(Resultados!$E$577:$E$602,'Temporada 2026'!C50,Resultados!$F$577:$F$602),"")</f>
        <v/>
      </c>
      <c r="AA50" s="121" t="str">
        <f>IF(C50&lt;&gt;"",SUMIF(Resultados!$E$606:$E$655,'Temporada 2026'!C50,Resultados!$F$606:$F$655),"")</f>
        <v/>
      </c>
      <c r="AB50" s="121" t="str">
        <f>IF(C50&lt;&gt;"",SUMIF(Resultados!$E$658:$E$683,'Temporada 2026'!C50,Resultados!$F$658:$F$683),"")</f>
        <v/>
      </c>
      <c r="AC50" s="121" t="str">
        <f>IF(C50&lt;&gt;"",SUMIF(Resultados!$E$686:$E$711,'Temporada 2026'!C50,Resultados!$F$686:$F$711),"")</f>
        <v/>
      </c>
      <c r="AD50" s="121" t="str">
        <f>IF(C50&lt;&gt;"",SUMIF(Resultados!$E$714:$E$739,'Temporada 2026'!C50,Resultados!$F$714:$F$739),"")</f>
        <v/>
      </c>
      <c r="AE50" s="121" t="str">
        <f>IF(C50&lt;&gt;"",SUMIF(Resultados!$E$742:$E$767,'Temporada 2026'!C50,Resultados!$F$742:$F$767),"")</f>
        <v/>
      </c>
      <c r="AF50" s="121" t="str">
        <f>IF(C50&lt;&gt;"",SUMIF(Resultados!$E$770:$E$795,'Temporada 2026'!C50,Resultados!$F$770:$F$795),"")</f>
        <v/>
      </c>
      <c r="AG50" s="121" t="str">
        <f>IF(C50&lt;&gt;"",SUMIF(Resultados!$E$798:$E$823,'Temporada 2026'!C50,Resultados!$F$798:$F$823),"")</f>
        <v/>
      </c>
    </row>
    <row r="51" spans="2:33" x14ac:dyDescent="0.2">
      <c r="B51" s="112" t="str">
        <f>IF('Equipes e Pilotos'!H15&lt;&gt;"",'Equipes e Pilotos'!H15,"")</f>
        <v/>
      </c>
      <c r="C51" s="97" t="str">
        <f>VLOOKUP(B51,'Dummy Table'!$A$34:$B$47,2,FALSE)</f>
        <v/>
      </c>
      <c r="D51" s="113" t="str">
        <f>VLOOKUP(B51,'Dummy Table'!$A$34:$C$47,3,FALSE)</f>
        <v/>
      </c>
      <c r="E51" s="113" t="str">
        <f>VLOOKUP(B51,'Dummy Table'!$A$34:$D$47,4,FALSE)</f>
        <v/>
      </c>
      <c r="F51" s="114" t="str">
        <f>IF(C51&lt;&gt;"",IF(G51+Resultados!$K$30&gt;$G$39,"J","L"),"")</f>
        <v/>
      </c>
      <c r="G51" s="115" t="str">
        <f>VLOOKUP(B51,'Dummy Table'!$A$34:$E$47,5,FALSE)</f>
        <v/>
      </c>
      <c r="H51" s="113" t="str">
        <f t="shared" si="1"/>
        <v/>
      </c>
      <c r="I51" s="108" t="str">
        <f>IF(B51="","",SUMIF(Resultados!$N$3:$N$30,C51,Resultados!$O$3:$O$30))</f>
        <v/>
      </c>
      <c r="J51" s="116" t="str">
        <f>IF(C51&lt;&gt;"",SUMIF(Resultados!$E$4:$E$29,'Temporada 2026'!C51,Resultados!$F$4:$F$29),"")</f>
        <v/>
      </c>
      <c r="K51" s="116" t="str">
        <f>IF(C51&lt;&gt;"",SUMIF(Resultados!$E$33:$E$82,'Temporada 2026'!C51,Resultados!$F$33:$F$82),"")</f>
        <v/>
      </c>
      <c r="L51" s="116" t="str">
        <f>IF(C51&lt;&gt;"",SUMIF(Resultados!$E$85:$E$110,'Temporada 2026'!C51,Resultados!$F$85:$F$110),"")</f>
        <v/>
      </c>
      <c r="M51" s="116" t="str">
        <f>IF(C51&lt;&gt;"",SUMIF(Resultados!$E$113:$E$138,'Temporada 2026'!C51,Resultados!$F$113:$F$138),"")</f>
        <v/>
      </c>
      <c r="N51" s="116" t="str">
        <f>IF(C51&lt;&gt;"",SUMIF(Resultados!$E$141:$E$166,'Temporada 2026'!C51,Resultados!$F$141:$F$166),"")</f>
        <v/>
      </c>
      <c r="O51" s="116" t="str">
        <f>IF(C51&lt;&gt;"",SUMIF(Resultados!$E$170:$E$219,'Temporada 2026'!C51,Resultados!$F$170:$F$219),"")</f>
        <v/>
      </c>
      <c r="P51" s="116" t="str">
        <f>IF(C51&lt;&gt;"",SUMIF(Resultados!$E$247:$E$272,'Temporada 2026'!C51,Resultados!$F$247:$F$272),"")</f>
        <v/>
      </c>
      <c r="Q51" s="116" t="str">
        <f>IF(C51&lt;&gt;"",SUMIF(Resultados!$E$275:$E$300,'Temporada 2026'!C51,Resultados!$F$275:$F$300),"")</f>
        <v/>
      </c>
      <c r="R51" s="116" t="str">
        <f>IF(C51&lt;&gt;"",SUMIF(Resultados!$E$303:$E$328,'Temporada 2026'!C51,Resultados!$F$303:$F$328),"")</f>
        <v/>
      </c>
      <c r="S51" s="116" t="str">
        <f>IF(C51&lt;&gt;"",SUMIF(Resultados!$E$331:$E$356,'Temporada 2026'!C51,Resultados!$F$331:$F$356),"")</f>
        <v/>
      </c>
      <c r="T51" s="116" t="str">
        <f>IF(C51&lt;&gt;"",SUMIF(Resultados!$E$384:$E$409,'Temporada 2026'!C51,Resultados!$F$384:$F$409),"")</f>
        <v/>
      </c>
      <c r="U51" s="116" t="str">
        <f>IF(C51&lt;&gt;"",SUMIF(Resultados!$E$412:$E$437,'Temporada 2026'!C51,Resultados!$F$412:$F$437),"")</f>
        <v/>
      </c>
      <c r="V51" s="116" t="str">
        <f>IF(C51&lt;&gt;"",SUMIF(Resultados!$E$439:$E$465,'Temporada 2026'!C51,Resultados!$F$439:$F$465),"")</f>
        <v/>
      </c>
      <c r="W51" s="116" t="str">
        <f>IF(C51&lt;&gt;"",SUMIF(Resultados!$E$493:$E$518,'Temporada 2026'!C51,Resultados!$F$493:$F$518),"")</f>
        <v/>
      </c>
      <c r="X51" s="116" t="str">
        <f>IF(C51&lt;&gt;"",SUMIF(Resultados!$E$521:$E$546,'Temporada 2026'!C51,Resultados!$F$521:$F$546),"")</f>
        <v/>
      </c>
      <c r="Y51" s="116" t="str">
        <f>IF(C51&lt;&gt;"",SUMIF(Resultados!$E$549:$E$574,'Temporada 2026'!C51,Resultados!$F$549:$F$574),"")</f>
        <v/>
      </c>
      <c r="Z51" s="116" t="str">
        <f>IF(C51&lt;&gt;"",SUMIF(Resultados!$E$577:$E$602,'Temporada 2026'!C51,Resultados!$F$577:$F$602),"")</f>
        <v/>
      </c>
      <c r="AA51" s="116" t="str">
        <f>IF(C51&lt;&gt;"",SUMIF(Resultados!$E$630:$E$655,'Temporada 2026'!C51,Resultados!$F$630:$F$655),"")</f>
        <v/>
      </c>
      <c r="AB51" s="116" t="str">
        <f>IF(C51&lt;&gt;"",SUMIF(Resultados!$E$606:$E$683,'Temporada 2026'!C51,Resultados!$F$606:$F$683),"")</f>
        <v/>
      </c>
      <c r="AC51" s="116" t="str">
        <f>IF(C51&lt;&gt;"",SUMIF(Resultados!$E$686:$E$711,'Temporada 2026'!C51,Resultados!$F$686:$F$711),"")</f>
        <v/>
      </c>
      <c r="AD51" s="116" t="str">
        <f>IF(C51&lt;&gt;"",SUMIF(Resultados!$E$360:$E$739,'Temporada 2026'!C51,Resultados!$F$360:$F$739),"")</f>
        <v/>
      </c>
      <c r="AE51" s="116" t="str">
        <f>IF(C51&lt;&gt;"",SUMIF(Resultados!$E$742:$E$767,'Temporada 2026'!C51,Resultados!$F$742:$F$767),"")</f>
        <v/>
      </c>
      <c r="AF51" s="116" t="str">
        <f>IF(C51&lt;&gt;"",SUMIF(Resultados!$E$223:$E$795,'Temporada 2026'!C51,Resultados!$F$223:$F$795),"")</f>
        <v/>
      </c>
      <c r="AG51" s="116" t="str">
        <f>IF(C51&lt;&gt;"",SUMIF(Resultados!$E$798:$E$823,'Temporada 2026'!C51,Resultados!$F$798:$F$823),"")</f>
        <v/>
      </c>
    </row>
    <row r="54" spans="2:33" x14ac:dyDescent="0.2">
      <c r="B54" s="162" t="s">
        <v>249</v>
      </c>
      <c r="C54" s="162"/>
    </row>
    <row r="55" spans="2:33" ht="12.75" customHeight="1" x14ac:dyDescent="0.2">
      <c r="B55" s="130" t="s">
        <v>244</v>
      </c>
      <c r="C55" s="129" t="s">
        <v>14</v>
      </c>
    </row>
    <row r="56" spans="2:33" ht="12.75" customHeight="1" x14ac:dyDescent="0.2">
      <c r="B56" s="130" t="s">
        <v>245</v>
      </c>
      <c r="C56" s="129" t="s">
        <v>247</v>
      </c>
    </row>
    <row r="57" spans="2:33" x14ac:dyDescent="0.2">
      <c r="B57" s="130" t="s">
        <v>246</v>
      </c>
      <c r="C57" s="129" t="s">
        <v>248</v>
      </c>
      <c r="Z57" s="109"/>
    </row>
    <row r="58" spans="2:33" x14ac:dyDescent="0.2">
      <c r="B58" s="130" t="s">
        <v>357</v>
      </c>
      <c r="C58" s="129" t="s">
        <v>358</v>
      </c>
      <c r="Z58" s="109"/>
    </row>
    <row r="59" spans="2:33" x14ac:dyDescent="0.2">
      <c r="B59" s="130" t="s">
        <v>253</v>
      </c>
      <c r="C59" s="129" t="s">
        <v>229</v>
      </c>
    </row>
  </sheetData>
  <sheetProtection algorithmName="SHA-512" hashValue="KKOkESln/pkSRBC53hDJv7JtmNPGNH/UxfU4fKQkapFmaUIGf0HMR6nMnhPc0rX6oZ9CyJ2FXsdw/srQGurN2w==" saltValue="WvUjPHrbGGB3uHCQqPqJcA==" spinCount="100000" sheet="1" selectLockedCells="1"/>
  <mergeCells count="21">
    <mergeCell ref="B2:AG3"/>
    <mergeCell ref="B5:AG5"/>
    <mergeCell ref="B54:C54"/>
    <mergeCell ref="B37:B38"/>
    <mergeCell ref="B6:B7"/>
    <mergeCell ref="C37:C38"/>
    <mergeCell ref="D37:D38"/>
    <mergeCell ref="G37:G38"/>
    <mergeCell ref="I37:I38"/>
    <mergeCell ref="C6:C7"/>
    <mergeCell ref="D6:D7"/>
    <mergeCell ref="J37:AG37"/>
    <mergeCell ref="E6:E7"/>
    <mergeCell ref="I6:I7"/>
    <mergeCell ref="F37:F38"/>
    <mergeCell ref="E37:E38"/>
    <mergeCell ref="B36:E36"/>
    <mergeCell ref="H6:H7"/>
    <mergeCell ref="G6:G7"/>
    <mergeCell ref="F6:F7"/>
    <mergeCell ref="J6:AG6"/>
  </mergeCells>
  <phoneticPr fontId="1" type="noConversion"/>
  <conditionalFormatting sqref="F8:F31">
    <cfRule type="cellIs" dxfId="27" priority="18" operator="equal">
      <formula>"L"</formula>
    </cfRule>
    <cfRule type="cellIs" dxfId="26" priority="19" operator="equal">
      <formula>"J"</formula>
    </cfRule>
  </conditionalFormatting>
  <conditionalFormatting sqref="F39:F51">
    <cfRule type="cellIs" dxfId="25" priority="4" operator="equal">
      <formula>"L"</formula>
    </cfRule>
    <cfRule type="cellIs" dxfId="24" priority="5" operator="equal">
      <formula>"J"</formula>
    </cfRule>
  </conditionalFormatting>
  <hyperlinks>
    <hyperlink ref="B36" r:id="rId1" xr:uid="{1FBFCB56-A3BF-4D87-BF2C-1049D9AC5B50}"/>
  </hyperlinks>
  <pageMargins left="0.2" right="0.38" top="0.984251969" bottom="0.984251969" header="0.5" footer="0.5"/>
  <pageSetup paperSize="9" orientation="landscape" horizontalDpi="300" verticalDpi="300" r:id="rId2"/>
  <headerFooter alignWithMargins="0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460A1-2B57-4E89-BBAA-D59A1A629FA3}">
  <sheetPr>
    <tabColor theme="8" tint="-0.249977111117893"/>
  </sheetPr>
  <dimension ref="A40:A41"/>
  <sheetViews>
    <sheetView showGridLines="0" showRowColHeaders="0" zoomScaleNormal="100" workbookViewId="0">
      <selection activeCell="U1" sqref="U1"/>
    </sheetView>
  </sheetViews>
  <sheetFormatPr defaultRowHeight="12.75" x14ac:dyDescent="0.2"/>
  <cols>
    <col min="1" max="16384" width="9.140625" style="107"/>
  </cols>
  <sheetData>
    <row r="40" ht="12.75" customHeight="1" x14ac:dyDescent="0.2"/>
    <row r="41" ht="12.75" customHeight="1" x14ac:dyDescent="0.2"/>
  </sheetData>
  <sheetProtection algorithmName="SHA-512" hashValue="djUASDHShMK6jQechuJY9neA14cVKvVwd8PuvA50WH/1kd5NFEHYt73rWhvMnlxjiL/sjiKxQMxYuDLuwTIhQg==" saltValue="pe5Mqix0C3a2zaJ26Rb+vQ==" spinCount="100000" sheet="1" selectLockedCells="1" selectUnlockedCells="1"/>
  <pageMargins left="0.2" right="0.38" top="0.984251969" bottom="0.984251969" header="0.5" footer="0.5"/>
  <pageSetup paperSize="9" orientation="landscape" horizontalDpi="300" verticalDpi="300" r:id="rId1"/>
  <headerFooter alignWithMargins="0"/>
  <drawing r:id="rId2"/>
  <extLst>
    <ext xmlns:x15="http://schemas.microsoft.com/office/spreadsheetml/2010/11/main" uri="{3A4CF648-6AED-40f4-86FF-DC5316D8AED3}">
      <x14:slicerList xmlns:x14="http://schemas.microsoft.com/office/spreadsheetml/2009/9/main">
        <x14:slicer r:id="rId3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588C2-50C7-4D51-A933-9891D743A6E2}">
  <dimension ref="A1:Z43"/>
  <sheetViews>
    <sheetView workbookViewId="0">
      <selection activeCell="N29" sqref="N29"/>
    </sheetView>
  </sheetViews>
  <sheetFormatPr defaultRowHeight="12.75" x14ac:dyDescent="0.2"/>
  <cols>
    <col min="2" max="2" width="19.140625" customWidth="1"/>
    <col min="3" max="3" width="7" customWidth="1"/>
    <col min="4" max="4" width="6.28515625" customWidth="1"/>
    <col min="5" max="5" width="6.7109375" customWidth="1"/>
    <col min="6" max="6" width="7" customWidth="1"/>
    <col min="7" max="7" width="6.85546875" customWidth="1"/>
    <col min="8" max="8" width="6.5703125" customWidth="1"/>
    <col min="9" max="9" width="6.42578125" customWidth="1"/>
    <col min="10" max="10" width="7.42578125" customWidth="1"/>
    <col min="11" max="11" width="6.85546875" customWidth="1"/>
    <col min="12" max="12" width="7" customWidth="1"/>
    <col min="13" max="13" width="6.85546875" customWidth="1"/>
    <col min="14" max="14" width="6.42578125" customWidth="1"/>
    <col min="15" max="15" width="6.7109375" customWidth="1"/>
    <col min="16" max="17" width="7" customWidth="1"/>
    <col min="18" max="18" width="6.140625" customWidth="1"/>
    <col min="19" max="19" width="6.5703125" customWidth="1"/>
    <col min="20" max="20" width="6.28515625" customWidth="1"/>
    <col min="21" max="21" width="7" customWidth="1"/>
    <col min="22" max="23" width="7.140625" customWidth="1"/>
    <col min="24" max="26" width="7" customWidth="1"/>
  </cols>
  <sheetData>
    <row r="1" spans="1:26" x14ac:dyDescent="0.2">
      <c r="A1" t="s">
        <v>244</v>
      </c>
      <c r="B1" t="s">
        <v>15</v>
      </c>
      <c r="C1" t="s">
        <v>359</v>
      </c>
      <c r="D1" t="s">
        <v>360</v>
      </c>
      <c r="E1" t="s">
        <v>361</v>
      </c>
      <c r="F1" t="s">
        <v>362</v>
      </c>
      <c r="G1" s="154" t="s">
        <v>433</v>
      </c>
      <c r="H1" t="s">
        <v>363</v>
      </c>
      <c r="I1" s="153" t="s">
        <v>366</v>
      </c>
      <c r="J1" t="s">
        <v>364</v>
      </c>
      <c r="K1" t="s">
        <v>365</v>
      </c>
      <c r="L1" s="153" t="s">
        <v>379</v>
      </c>
      <c r="M1" s="153" t="s">
        <v>367</v>
      </c>
      <c r="N1" s="153" t="s">
        <v>368</v>
      </c>
      <c r="O1" s="153" t="s">
        <v>369</v>
      </c>
      <c r="P1" s="153" t="s">
        <v>370</v>
      </c>
      <c r="Q1" s="153" t="s">
        <v>434</v>
      </c>
      <c r="R1" t="s">
        <v>371</v>
      </c>
      <c r="S1" t="s">
        <v>372</v>
      </c>
      <c r="T1" t="s">
        <v>373</v>
      </c>
      <c r="U1" t="s">
        <v>301</v>
      </c>
      <c r="V1" t="s">
        <v>374</v>
      </c>
      <c r="W1" t="s">
        <v>375</v>
      </c>
      <c r="X1" t="s">
        <v>376</v>
      </c>
      <c r="Y1" t="s">
        <v>377</v>
      </c>
      <c r="Z1" t="s">
        <v>378</v>
      </c>
    </row>
    <row r="2" spans="1:26" x14ac:dyDescent="0.2">
      <c r="A2">
        <f>'Temporada 2026'!B8</f>
        <v>1</v>
      </c>
      <c r="B2" t="str">
        <f>'Temporada 2026'!C8</f>
        <v>Kimi Antonelli</v>
      </c>
      <c r="C2">
        <f>'Temporada 2026'!J8</f>
        <v>18</v>
      </c>
      <c r="D2">
        <f>C2+'Temporada 2026'!K8</f>
        <v>47</v>
      </c>
      <c r="E2">
        <f>D2+'Temporada 2026'!L8</f>
        <v>72</v>
      </c>
      <c r="F2">
        <f>E2+'Temporada 2026'!M8</f>
        <v>90</v>
      </c>
      <c r="G2">
        <f>F2+'Temporada 2026'!N8</f>
        <v>90</v>
      </c>
      <c r="H2">
        <f>G2+'Temporada 2026'!O8</f>
        <v>118</v>
      </c>
      <c r="I2">
        <f>H2+'Temporada 2026'!P8</f>
        <v>149</v>
      </c>
      <c r="J2">
        <f>I2+'Temporada 2026'!Q8</f>
        <v>174</v>
      </c>
      <c r="K2">
        <f>J2+'Temporada 2026'!R8</f>
        <v>174</v>
      </c>
      <c r="L2">
        <f>K2+'Temporada 2026'!S8</f>
        <v>189</v>
      </c>
      <c r="M2">
        <f>L2+'Temporada 2026'!T8</f>
        <v>197</v>
      </c>
      <c r="N2">
        <f>M2+'Temporada 2026'!U8</f>
        <v>222</v>
      </c>
      <c r="O2">
        <f>N2+'Temporada 2026'!V8</f>
        <v>237</v>
      </c>
      <c r="P2">
        <f>O2+'Temporada 2026'!W8</f>
        <v>260</v>
      </c>
      <c r="Q2">
        <f>P2+'Temporada 2026'!X8</f>
        <v>285</v>
      </c>
      <c r="R2">
        <f>Q2+'Temporada 2026'!Y8</f>
        <v>310</v>
      </c>
      <c r="S2">
        <f>R2+'Temporada 2026'!Z8</f>
        <v>320</v>
      </c>
      <c r="T2">
        <f>S2+'Temporada 2026'!AA8</f>
        <v>340</v>
      </c>
      <c r="U2">
        <f>T2+'Temporada 2026'!AB8</f>
        <v>340</v>
      </c>
      <c r="V2">
        <f>U2+'Temporada 2026'!AC8</f>
        <v>340</v>
      </c>
      <c r="W2">
        <f>V2+'Temporada 2026'!AD8</f>
        <v>340</v>
      </c>
      <c r="X2">
        <f>W2+'Temporada 2026'!AE8</f>
        <v>340</v>
      </c>
      <c r="Y2">
        <f>X2+'Temporada 2026'!AF8</f>
        <v>340</v>
      </c>
      <c r="Z2">
        <f>Y2+'Temporada 2026'!AG8</f>
        <v>340</v>
      </c>
    </row>
    <row r="3" spans="1:26" x14ac:dyDescent="0.2">
      <c r="A3">
        <f>'Temporada 2026'!B9</f>
        <v>2</v>
      </c>
      <c r="B3" t="str">
        <f>'Temporada 2026'!C9</f>
        <v>George Russell</v>
      </c>
      <c r="C3">
        <f>'Temporada 2026'!J9</f>
        <v>25</v>
      </c>
      <c r="D3">
        <f>C3+'Temporada 2026'!K9</f>
        <v>51</v>
      </c>
      <c r="E3">
        <f>D3+'Temporada 2026'!L9</f>
        <v>63</v>
      </c>
      <c r="F3">
        <f>E3+'Temporada 2026'!M9</f>
        <v>63</v>
      </c>
      <c r="G3">
        <f>F3+'Temporada 2026'!N9</f>
        <v>63</v>
      </c>
      <c r="H3">
        <f>G3+'Temporada 2026'!O9</f>
        <v>80</v>
      </c>
      <c r="I3">
        <f>H3+'Temporada 2026'!P9</f>
        <v>88</v>
      </c>
      <c r="J3">
        <f>I3+'Temporada 2026'!Q9</f>
        <v>88</v>
      </c>
      <c r="K3">
        <f>J3+'Temporada 2026'!R9</f>
        <v>106</v>
      </c>
      <c r="L3">
        <f>K3+'Temporada 2026'!S9</f>
        <v>131</v>
      </c>
      <c r="M3">
        <f>L3+'Temporada 2026'!T9</f>
        <v>154</v>
      </c>
      <c r="N3">
        <f>M3+'Temporada 2026'!U9</f>
        <v>154</v>
      </c>
      <c r="O3">
        <f>N3+'Temporada 2026'!V9</f>
        <v>160</v>
      </c>
      <c r="P3">
        <f>O3+'Temporada 2026'!W9</f>
        <v>183</v>
      </c>
      <c r="Q3">
        <f>P3+'Temporada 2026'!X9</f>
        <v>201</v>
      </c>
      <c r="R3">
        <f>Q3+'Temporada 2026'!Y9</f>
        <v>211</v>
      </c>
      <c r="S3">
        <f>R3+'Temporada 2026'!Z9</f>
        <v>236</v>
      </c>
      <c r="T3">
        <f>S3+'Temporada 2026'!AA9</f>
        <v>238</v>
      </c>
      <c r="U3">
        <f>T3+'Temporada 2026'!AB9</f>
        <v>238</v>
      </c>
      <c r="V3">
        <f>U3+'Temporada 2026'!AC9</f>
        <v>238</v>
      </c>
      <c r="W3">
        <f>V3+'Temporada 2026'!AD9</f>
        <v>238</v>
      </c>
      <c r="X3">
        <f>W3+'Temporada 2026'!AE9</f>
        <v>238</v>
      </c>
      <c r="Y3">
        <f>X3+'Temporada 2026'!AF9</f>
        <v>238</v>
      </c>
      <c r="Z3">
        <f>Y3+'Temporada 2026'!AG9</f>
        <v>238</v>
      </c>
    </row>
    <row r="4" spans="1:26" x14ac:dyDescent="0.2">
      <c r="A4">
        <f>'Temporada 2026'!B10</f>
        <v>3</v>
      </c>
      <c r="B4" t="str">
        <f>'Temporada 2026'!C10</f>
        <v>Lewis Hamilton</v>
      </c>
      <c r="C4">
        <f>'Temporada 2026'!J10</f>
        <v>12</v>
      </c>
      <c r="D4">
        <f>C4+'Temporada 2026'!K10</f>
        <v>33</v>
      </c>
      <c r="E4">
        <f>D4+'Temporada 2026'!L10</f>
        <v>41</v>
      </c>
      <c r="F4">
        <f>E4+'Temporada 2026'!M10</f>
        <v>56</v>
      </c>
      <c r="G4">
        <f>F4+'Temporada 2026'!N10</f>
        <v>56</v>
      </c>
      <c r="H4">
        <f>G4+'Temporada 2026'!O10</f>
        <v>66</v>
      </c>
      <c r="I4">
        <f>H4+'Temporada 2026'!P10</f>
        <v>87</v>
      </c>
      <c r="J4">
        <f>I4+'Temporada 2026'!Q10</f>
        <v>105</v>
      </c>
      <c r="K4">
        <f>J4+'Temporada 2026'!R10</f>
        <v>130</v>
      </c>
      <c r="L4">
        <f>K4+'Temporada 2026'!S10</f>
        <v>140</v>
      </c>
      <c r="M4">
        <f>L4+'Temporada 2026'!T10</f>
        <v>162</v>
      </c>
      <c r="N4">
        <f>M4+'Temporada 2026'!U10</f>
        <v>174</v>
      </c>
      <c r="O4">
        <f>N4+'Temporada 2026'!V10</f>
        <v>184</v>
      </c>
      <c r="P4">
        <f>O4+'Temporada 2026'!W10</f>
        <v>198</v>
      </c>
      <c r="Q4">
        <f>P4+'Temporada 2026'!X10</f>
        <v>206</v>
      </c>
      <c r="R4">
        <f>Q4+'Temporada 2026'!Y10</f>
        <v>206</v>
      </c>
      <c r="S4">
        <f>R4+'Temporada 2026'!Z10</f>
        <v>214</v>
      </c>
      <c r="T4">
        <f>S4+'Temporada 2026'!AA10</f>
        <v>229</v>
      </c>
      <c r="U4">
        <f>T4+'Temporada 2026'!AB10</f>
        <v>229</v>
      </c>
      <c r="V4">
        <f>U4+'Temporada 2026'!AC10</f>
        <v>229</v>
      </c>
      <c r="W4">
        <f>V4+'Temporada 2026'!AD10</f>
        <v>229</v>
      </c>
      <c r="X4">
        <f>W4+'Temporada 2026'!AE10</f>
        <v>229</v>
      </c>
      <c r="Y4">
        <f>X4+'Temporada 2026'!AF10</f>
        <v>229</v>
      </c>
      <c r="Z4">
        <f>Y4+'Temporada 2026'!AG10</f>
        <v>229</v>
      </c>
    </row>
    <row r="5" spans="1:26" x14ac:dyDescent="0.2">
      <c r="A5">
        <f>'Temporada 2026'!B11</f>
        <v>4</v>
      </c>
      <c r="B5" t="str">
        <f>'Temporada 2026'!C11</f>
        <v>Max Verstappen</v>
      </c>
      <c r="C5">
        <f>'Temporada 2026'!J11</f>
        <v>8</v>
      </c>
      <c r="D5">
        <f>C5+'Temporada 2026'!K11</f>
        <v>8</v>
      </c>
      <c r="E5">
        <f>D5+'Temporada 2026'!L11</f>
        <v>12</v>
      </c>
      <c r="F5">
        <f>E5+'Temporada 2026'!M11</f>
        <v>37</v>
      </c>
      <c r="G5">
        <f>F5+'Temporada 2026'!N11</f>
        <v>37</v>
      </c>
      <c r="H5">
        <f>G5+'Temporada 2026'!O11</f>
        <v>51</v>
      </c>
      <c r="I5">
        <f>H5+'Temporada 2026'!P11</f>
        <v>68</v>
      </c>
      <c r="J5">
        <f>I5+'Temporada 2026'!Q11</f>
        <v>68</v>
      </c>
      <c r="K5">
        <f>J5+'Temporada 2026'!R11</f>
        <v>80</v>
      </c>
      <c r="L5">
        <f>K5+'Temporada 2026'!S11</f>
        <v>98</v>
      </c>
      <c r="M5">
        <f>L5+'Temporada 2026'!T11</f>
        <v>101</v>
      </c>
      <c r="N5">
        <f>M5+'Temporada 2026'!U11</f>
        <v>116</v>
      </c>
      <c r="O5">
        <f>N5+'Temporada 2026'!V11</f>
        <v>134</v>
      </c>
      <c r="P5">
        <f>O5+'Temporada 2026'!W11</f>
        <v>137</v>
      </c>
      <c r="Q5">
        <f>P5+'Temporada 2026'!X11</f>
        <v>152</v>
      </c>
      <c r="R5">
        <f>Q5+'Temporada 2026'!Y11</f>
        <v>170</v>
      </c>
      <c r="S5">
        <f>R5+'Temporada 2026'!Z11</f>
        <v>188</v>
      </c>
      <c r="T5">
        <f>S5+'Temporada 2026'!AA11</f>
        <v>221</v>
      </c>
      <c r="U5">
        <f>T5+'Temporada 2026'!AB11</f>
        <v>221</v>
      </c>
      <c r="V5">
        <f>U5+'Temporada 2026'!AC11</f>
        <v>221</v>
      </c>
      <c r="W5">
        <f>V5+'Temporada 2026'!AD11</f>
        <v>221</v>
      </c>
      <c r="X5">
        <f>W5+'Temporada 2026'!AE11</f>
        <v>221</v>
      </c>
      <c r="Y5">
        <f>X5+'Temporada 2026'!AF11</f>
        <v>221</v>
      </c>
      <c r="Z5">
        <f>Y5+'Temporada 2026'!AG11</f>
        <v>221</v>
      </c>
    </row>
    <row r="6" spans="1:26" x14ac:dyDescent="0.2">
      <c r="A6">
        <f>'Temporada 2026'!B12</f>
        <v>5</v>
      </c>
      <c r="B6" t="str">
        <f>'Temporada 2026'!C12</f>
        <v>Charles Leclerc</v>
      </c>
      <c r="C6">
        <f>'Temporada 2026'!J12</f>
        <v>15</v>
      </c>
      <c r="D6">
        <f>C6+'Temporada 2026'!K12</f>
        <v>34</v>
      </c>
      <c r="E6">
        <f>D6+'Temporada 2026'!L12</f>
        <v>49</v>
      </c>
      <c r="F6">
        <f>E6+'Temporada 2026'!M12</f>
        <v>61</v>
      </c>
      <c r="G6">
        <f>F6+'Temporada 2026'!N12</f>
        <v>61</v>
      </c>
      <c r="H6">
        <f>G6+'Temporada 2026'!O12</f>
        <v>71</v>
      </c>
      <c r="I6">
        <f>H6+'Temporada 2026'!P12</f>
        <v>87</v>
      </c>
      <c r="J6">
        <f>I6+'Temporada 2026'!Q12</f>
        <v>87</v>
      </c>
      <c r="K6">
        <f>J6+'Temporada 2026'!R12</f>
        <v>87</v>
      </c>
      <c r="L6">
        <f>K6+'Temporada 2026'!S12</f>
        <v>91</v>
      </c>
      <c r="M6">
        <f>L6+'Temporada 2026'!T12</f>
        <v>120</v>
      </c>
      <c r="N6">
        <f>M6+'Temporada 2026'!U12</f>
        <v>138</v>
      </c>
      <c r="O6">
        <f>N6+'Temporada 2026'!V12</f>
        <v>150</v>
      </c>
      <c r="P6">
        <f>O6+'Temporada 2026'!W12</f>
        <v>167</v>
      </c>
      <c r="Q6">
        <f>P6+'Temporada 2026'!X12</f>
        <v>167</v>
      </c>
      <c r="R6">
        <f>Q6+'Temporada 2026'!Y12</f>
        <v>179</v>
      </c>
      <c r="S6">
        <f>R6+'Temporada 2026'!Z12</f>
        <v>191</v>
      </c>
      <c r="T6">
        <f>S6+'Temporada 2026'!AA12</f>
        <v>215</v>
      </c>
      <c r="U6">
        <f>T6+'Temporada 2026'!AB12</f>
        <v>215</v>
      </c>
      <c r="V6">
        <f>U6+'Temporada 2026'!AC12</f>
        <v>215</v>
      </c>
      <c r="W6">
        <f>V6+'Temporada 2026'!AD12</f>
        <v>215</v>
      </c>
      <c r="X6">
        <f>W6+'Temporada 2026'!AE12</f>
        <v>215</v>
      </c>
      <c r="Y6">
        <f>X6+'Temporada 2026'!AF12</f>
        <v>215</v>
      </c>
      <c r="Z6">
        <f>Y6+'Temporada 2026'!AG12</f>
        <v>215</v>
      </c>
    </row>
    <row r="7" spans="1:26" x14ac:dyDescent="0.2">
      <c r="A7">
        <f>'Temporada 2026'!B13</f>
        <v>6</v>
      </c>
      <c r="B7" t="str">
        <f>'Temporada 2026'!C13</f>
        <v>Lando Norris</v>
      </c>
      <c r="C7">
        <f>'Temporada 2026'!J13</f>
        <v>10</v>
      </c>
      <c r="D7">
        <f>C7+'Temporada 2026'!K13</f>
        <v>15</v>
      </c>
      <c r="E7">
        <f>D7+'Temporada 2026'!L13</f>
        <v>25</v>
      </c>
      <c r="F7">
        <f>E7+'Temporada 2026'!M13</f>
        <v>27</v>
      </c>
      <c r="G7">
        <f>F7+'Temporada 2026'!N13</f>
        <v>27</v>
      </c>
      <c r="H7">
        <f>G7+'Temporada 2026'!O13</f>
        <v>53</v>
      </c>
      <c r="I7">
        <f>H7+'Temporada 2026'!P13</f>
        <v>60</v>
      </c>
      <c r="J7">
        <f>I7+'Temporada 2026'!Q13</f>
        <v>60</v>
      </c>
      <c r="K7">
        <f>J7+'Temporada 2026'!R13</f>
        <v>75</v>
      </c>
      <c r="L7">
        <f>K7+'Temporada 2026'!S13</f>
        <v>81</v>
      </c>
      <c r="M7">
        <f>L7+'Temporada 2026'!T13</f>
        <v>99</v>
      </c>
      <c r="N7">
        <f>M7+'Temporada 2026'!U13</f>
        <v>105</v>
      </c>
      <c r="O7">
        <f>N7+'Temporada 2026'!V13</f>
        <v>130</v>
      </c>
      <c r="P7">
        <f>O7+'Temporada 2026'!W13</f>
        <v>161</v>
      </c>
      <c r="Q7">
        <f>P7+'Temporada 2026'!X13</f>
        <v>173</v>
      </c>
      <c r="R7">
        <f>Q7+'Temporada 2026'!Y13</f>
        <v>188</v>
      </c>
      <c r="S7">
        <f>R7+'Temporada 2026'!Z13</f>
        <v>188</v>
      </c>
      <c r="T7">
        <f>S7+'Temporada 2026'!AA13</f>
        <v>201</v>
      </c>
      <c r="U7">
        <f>T7+'Temporada 2026'!AB13</f>
        <v>201</v>
      </c>
      <c r="V7">
        <f>U7+'Temporada 2026'!AC13</f>
        <v>201</v>
      </c>
      <c r="W7">
        <f>V7+'Temporada 2026'!AD13</f>
        <v>201</v>
      </c>
      <c r="X7">
        <f>W7+'Temporada 2026'!AE13</f>
        <v>201</v>
      </c>
      <c r="Y7">
        <f>X7+'Temporada 2026'!AF13</f>
        <v>201</v>
      </c>
      <c r="Z7">
        <f>Y7+'Temporada 2026'!AG13</f>
        <v>201</v>
      </c>
    </row>
    <row r="8" spans="1:26" x14ac:dyDescent="0.2">
      <c r="A8">
        <f>'Temporada 2026'!B14</f>
        <v>7</v>
      </c>
      <c r="B8" t="str">
        <f>'Temporada 2026'!C14</f>
        <v>Oscar Piastri</v>
      </c>
      <c r="C8">
        <f>'Temporada 2026'!J14</f>
        <v>0</v>
      </c>
      <c r="D8">
        <f>C8+'Temporada 2026'!K14</f>
        <v>3</v>
      </c>
      <c r="E8">
        <f>D8+'Temporada 2026'!L14</f>
        <v>21</v>
      </c>
      <c r="F8">
        <f>E8+'Temporada 2026'!M14</f>
        <v>29</v>
      </c>
      <c r="G8">
        <f>F8+'Temporada 2026'!N14</f>
        <v>29</v>
      </c>
      <c r="H8">
        <f>G8+'Temporada 2026'!O14</f>
        <v>51</v>
      </c>
      <c r="I8">
        <f>H8+'Temporada 2026'!P14</f>
        <v>56</v>
      </c>
      <c r="J8">
        <f>I8+'Temporada 2026'!Q14</f>
        <v>68</v>
      </c>
      <c r="K8">
        <f>J8+'Temporada 2026'!R14</f>
        <v>78</v>
      </c>
      <c r="L8">
        <f>K8+'Temporada 2026'!S14</f>
        <v>90</v>
      </c>
      <c r="M8">
        <f>L8+'Temporada 2026'!T14</f>
        <v>92</v>
      </c>
      <c r="N8">
        <f>M8+'Temporada 2026'!U14</f>
        <v>102</v>
      </c>
      <c r="O8">
        <f>N8+'Temporada 2026'!V14</f>
        <v>102</v>
      </c>
      <c r="P8">
        <f>O8+'Temporada 2026'!W14</f>
        <v>114</v>
      </c>
      <c r="Q8">
        <f>P8+'Temporada 2026'!X14</f>
        <v>124</v>
      </c>
      <c r="R8">
        <f>Q8+'Temporada 2026'!Y14</f>
        <v>128</v>
      </c>
      <c r="S8">
        <f>R8+'Temporada 2026'!Z14</f>
        <v>128</v>
      </c>
      <c r="T8">
        <f>S8+'Temporada 2026'!AA14</f>
        <v>138</v>
      </c>
      <c r="U8">
        <f>T8+'Temporada 2026'!AB14</f>
        <v>138</v>
      </c>
      <c r="V8">
        <f>U8+'Temporada 2026'!AC14</f>
        <v>138</v>
      </c>
      <c r="W8">
        <f>V8+'Temporada 2026'!AD14</f>
        <v>138</v>
      </c>
      <c r="X8">
        <f>W8+'Temporada 2026'!AE14</f>
        <v>138</v>
      </c>
      <c r="Y8">
        <f>X8+'Temporada 2026'!AF14</f>
        <v>138</v>
      </c>
      <c r="Z8">
        <f>Y8+'Temporada 2026'!AG14</f>
        <v>138</v>
      </c>
    </row>
    <row r="9" spans="1:26" x14ac:dyDescent="0.2">
      <c r="A9">
        <f>'Temporada 2026'!B15</f>
        <v>8</v>
      </c>
      <c r="B9" t="str">
        <f>'Temporada 2026'!C15</f>
        <v>Isack Hadjar</v>
      </c>
      <c r="C9">
        <f>'Temporada 2026'!J15</f>
        <v>0</v>
      </c>
      <c r="D9">
        <f>C9+'Temporada 2026'!K15</f>
        <v>4</v>
      </c>
      <c r="E9">
        <f>D9+'Temporada 2026'!L15</f>
        <v>4</v>
      </c>
      <c r="F9">
        <f>E9+'Temporada 2026'!M15</f>
        <v>14</v>
      </c>
      <c r="G9">
        <f>F9+'Temporada 2026'!N15</f>
        <v>14</v>
      </c>
      <c r="H9">
        <f>G9+'Temporada 2026'!O15</f>
        <v>14</v>
      </c>
      <c r="I9">
        <f>H9+'Temporada 2026'!P15</f>
        <v>24</v>
      </c>
      <c r="J9">
        <f>I9+'Temporada 2026'!Q15</f>
        <v>39</v>
      </c>
      <c r="K9">
        <f>J9+'Temporada 2026'!R15</f>
        <v>47</v>
      </c>
      <c r="L9">
        <f>K9+'Temporada 2026'!S15</f>
        <v>55</v>
      </c>
      <c r="M9">
        <f>L9+'Temporada 2026'!T15</f>
        <v>65</v>
      </c>
      <c r="N9">
        <f>M9+'Temporada 2026'!U15</f>
        <v>73</v>
      </c>
      <c r="O9">
        <f>N9+'Temporada 2026'!V15</f>
        <v>81</v>
      </c>
      <c r="P9">
        <f>O9+'Temporada 2026'!W15</f>
        <v>81</v>
      </c>
      <c r="Q9">
        <f>P9+'Temporada 2026'!X15</f>
        <v>81</v>
      </c>
      <c r="R9">
        <f>Q9+'Temporada 2026'!Y15</f>
        <v>81</v>
      </c>
      <c r="S9">
        <f>R9+'Temporada 2026'!Z15</f>
        <v>96</v>
      </c>
      <c r="T9">
        <f>S9+'Temporada 2026'!AA15</f>
        <v>97</v>
      </c>
      <c r="U9">
        <f>T9+'Temporada 2026'!AB15</f>
        <v>97</v>
      </c>
      <c r="V9">
        <f>U9+'Temporada 2026'!AC15</f>
        <v>97</v>
      </c>
      <c r="W9">
        <f>V9+'Temporada 2026'!AD15</f>
        <v>97</v>
      </c>
      <c r="X9">
        <f>W9+'Temporada 2026'!AE15</f>
        <v>97</v>
      </c>
      <c r="Y9">
        <f>X9+'Temporada 2026'!AF15</f>
        <v>97</v>
      </c>
      <c r="Z9">
        <f>Y9+'Temporada 2026'!AG15</f>
        <v>97</v>
      </c>
    </row>
    <row r="10" spans="1:26" x14ac:dyDescent="0.2">
      <c r="A10">
        <f>'Temporada 2026'!B16</f>
        <v>9</v>
      </c>
      <c r="B10" t="str">
        <f>'Temporada 2026'!C16</f>
        <v>Liam Lawson</v>
      </c>
      <c r="C10">
        <f>'Temporada 2026'!J16</f>
        <v>0</v>
      </c>
      <c r="D10">
        <f>C10+'Temporada 2026'!K16</f>
        <v>8</v>
      </c>
      <c r="E10">
        <f>D10+'Temporada 2026'!L16</f>
        <v>10</v>
      </c>
      <c r="F10">
        <f>E10+'Temporada 2026'!M16</f>
        <v>16</v>
      </c>
      <c r="G10">
        <f>F10+'Temporada 2026'!N16</f>
        <v>16</v>
      </c>
      <c r="H10">
        <f>G10+'Temporada 2026'!O16</f>
        <v>16</v>
      </c>
      <c r="I10">
        <f>H10+'Temporada 2026'!P16</f>
        <v>22</v>
      </c>
      <c r="J10">
        <f>I10+'Temporada 2026'!Q16</f>
        <v>32</v>
      </c>
      <c r="K10">
        <f>J10+'Temporada 2026'!R16</f>
        <v>36</v>
      </c>
      <c r="L10">
        <f>K10+'Temporada 2026'!S16</f>
        <v>38</v>
      </c>
      <c r="M10">
        <f>L10+'Temporada 2026'!T16</f>
        <v>47</v>
      </c>
      <c r="N10">
        <f>M10+'Temporada 2026'!U16</f>
        <v>47</v>
      </c>
      <c r="O10">
        <f>N10+'Temporada 2026'!V16</f>
        <v>51</v>
      </c>
      <c r="P10">
        <f>O10+'Temporada 2026'!W16</f>
        <v>57</v>
      </c>
      <c r="Q10">
        <f>P10+'Temporada 2026'!X16</f>
        <v>57</v>
      </c>
      <c r="R10">
        <f>Q10+'Temporada 2026'!Y16</f>
        <v>65</v>
      </c>
      <c r="S10">
        <f>R10+'Temporada 2026'!Z16</f>
        <v>65</v>
      </c>
      <c r="T10">
        <f>S10+'Temporada 2026'!AA16</f>
        <v>75</v>
      </c>
      <c r="U10">
        <f>T10+'Temporada 2026'!AB16</f>
        <v>75</v>
      </c>
      <c r="V10">
        <f>U10+'Temporada 2026'!AC16</f>
        <v>75</v>
      </c>
      <c r="W10">
        <f>V10+'Temporada 2026'!AD16</f>
        <v>75</v>
      </c>
      <c r="X10">
        <f>W10+'Temporada 2026'!AE16</f>
        <v>75</v>
      </c>
      <c r="Y10">
        <f>X10+'Temporada 2026'!AF16</f>
        <v>75</v>
      </c>
      <c r="Z10">
        <f>Y10+'Temporada 2026'!AG16</f>
        <v>75</v>
      </c>
    </row>
    <row r="11" spans="1:26" x14ac:dyDescent="0.2">
      <c r="A11">
        <f>'Temporada 2026'!B17</f>
        <v>10</v>
      </c>
      <c r="B11" t="str">
        <f>'Temporada 2026'!C17</f>
        <v>Pierre Gasly</v>
      </c>
      <c r="C11">
        <f>'Temporada 2026'!J17</f>
        <v>1</v>
      </c>
      <c r="D11">
        <f>C11+'Temporada 2026'!K17</f>
        <v>9</v>
      </c>
      <c r="E11">
        <f>D11+'Temporada 2026'!L17</f>
        <v>15</v>
      </c>
      <c r="F11">
        <f>E11+'Temporada 2026'!M17</f>
        <v>15</v>
      </c>
      <c r="G11">
        <f>F11+'Temporada 2026'!N17</f>
        <v>15</v>
      </c>
      <c r="H11">
        <f>G11+'Temporada 2026'!O17</f>
        <v>16</v>
      </c>
      <c r="I11">
        <f>H11+'Temporada 2026'!P17</f>
        <v>20</v>
      </c>
      <c r="J11">
        <f>I11+'Temporada 2026'!Q17</f>
        <v>26</v>
      </c>
      <c r="K11">
        <f>J11+'Temporada 2026'!R17</f>
        <v>32</v>
      </c>
      <c r="L11">
        <f>K11+'Temporada 2026'!S17</f>
        <v>32</v>
      </c>
      <c r="M11">
        <f>L11+'Temporada 2026'!T17</f>
        <v>33</v>
      </c>
      <c r="N11">
        <f>M11+'Temporada 2026'!U17</f>
        <v>33</v>
      </c>
      <c r="O11">
        <f>N11+'Temporada 2026'!V17</f>
        <v>33</v>
      </c>
      <c r="P11">
        <f>O11+'Temporada 2026'!W17</f>
        <v>35</v>
      </c>
      <c r="Q11">
        <f>P11+'Temporada 2026'!X17</f>
        <v>41</v>
      </c>
      <c r="R11">
        <f>Q11+'Temporada 2026'!Y17</f>
        <v>41</v>
      </c>
      <c r="S11">
        <f>R11+'Temporada 2026'!Z17</f>
        <v>41</v>
      </c>
      <c r="T11">
        <f>S11+'Temporada 2026'!AA17</f>
        <v>41</v>
      </c>
      <c r="U11">
        <f>T11+'Temporada 2026'!AB17</f>
        <v>41</v>
      </c>
      <c r="V11">
        <f>U11+'Temporada 2026'!AC17</f>
        <v>41</v>
      </c>
      <c r="W11">
        <f>V11+'Temporada 2026'!AD17</f>
        <v>41</v>
      </c>
      <c r="X11">
        <f>W11+'Temporada 2026'!AE17</f>
        <v>41</v>
      </c>
      <c r="Y11">
        <f>X11+'Temporada 2026'!AF17</f>
        <v>41</v>
      </c>
      <c r="Z11">
        <f>Y11+'Temporada 2026'!AG17</f>
        <v>41</v>
      </c>
    </row>
    <row r="12" spans="1:26" x14ac:dyDescent="0.2">
      <c r="A12">
        <f>'Temporada 2026'!B18</f>
        <v>11</v>
      </c>
      <c r="B12" t="str">
        <f>'Temporada 2026'!C18</f>
        <v>Arvid Lindblad</v>
      </c>
      <c r="C12">
        <f>'Temporada 2026'!J18</f>
        <v>4</v>
      </c>
      <c r="D12">
        <f>C12+'Temporada 2026'!K18</f>
        <v>4</v>
      </c>
      <c r="E12">
        <f>D12+'Temporada 2026'!L18</f>
        <v>4</v>
      </c>
      <c r="F12">
        <f>E12+'Temporada 2026'!M18</f>
        <v>5</v>
      </c>
      <c r="G12">
        <f>F12+'Temporada 2026'!N18</f>
        <v>5</v>
      </c>
      <c r="H12">
        <f>G12+'Temporada 2026'!O18</f>
        <v>5</v>
      </c>
      <c r="I12">
        <f>H12+'Temporada 2026'!P18</f>
        <v>6</v>
      </c>
      <c r="J12">
        <f>I12+'Temporada 2026'!Q18</f>
        <v>14</v>
      </c>
      <c r="K12">
        <f>J12+'Temporada 2026'!R18</f>
        <v>16</v>
      </c>
      <c r="L12">
        <f>K12+'Temporada 2026'!S18</f>
        <v>17</v>
      </c>
      <c r="M12">
        <f>L12+'Temporada 2026'!T18</f>
        <v>23</v>
      </c>
      <c r="N12">
        <f>M12+'Temporada 2026'!U18</f>
        <v>25</v>
      </c>
      <c r="O12">
        <f>N12+'Temporada 2026'!V18</f>
        <v>26</v>
      </c>
      <c r="P12">
        <f>O12+'Temporada 2026'!W18</f>
        <v>26</v>
      </c>
      <c r="Q12">
        <f>P12+'Temporada 2026'!X18</f>
        <v>30</v>
      </c>
      <c r="R12">
        <f>Q12+'Temporada 2026'!Y18</f>
        <v>32</v>
      </c>
      <c r="S12">
        <f>R12+'Temporada 2026'!Z18</f>
        <v>38</v>
      </c>
      <c r="T12">
        <f>S12+'Temporada 2026'!AA18</f>
        <v>38</v>
      </c>
      <c r="U12">
        <f>T12+'Temporada 2026'!AB18</f>
        <v>38</v>
      </c>
      <c r="V12">
        <f>U12+'Temporada 2026'!AC18</f>
        <v>38</v>
      </c>
      <c r="W12">
        <f>V12+'Temporada 2026'!AD18</f>
        <v>38</v>
      </c>
      <c r="X12">
        <f>W12+'Temporada 2026'!AE18</f>
        <v>38</v>
      </c>
      <c r="Y12">
        <f>X12+'Temporada 2026'!AF18</f>
        <v>38</v>
      </c>
      <c r="Z12">
        <f>Y12+'Temporada 2026'!AG18</f>
        <v>38</v>
      </c>
    </row>
    <row r="13" spans="1:26" x14ac:dyDescent="0.2">
      <c r="A13">
        <f>'Temporada 2026'!B19</f>
        <v>12</v>
      </c>
      <c r="B13" t="str">
        <f>'Temporada 2026'!C19</f>
        <v>Franco Colapinto</v>
      </c>
      <c r="C13">
        <f>'Temporada 2026'!J19</f>
        <v>0</v>
      </c>
      <c r="D13">
        <f>C13+'Temporada 2026'!K19</f>
        <v>1</v>
      </c>
      <c r="E13">
        <f>D13+'Temporada 2026'!L19</f>
        <v>1</v>
      </c>
      <c r="F13">
        <f>E13+'Temporada 2026'!M19</f>
        <v>1</v>
      </c>
      <c r="G13">
        <f>F13+'Temporada 2026'!N19</f>
        <v>1</v>
      </c>
      <c r="H13">
        <f>G13+'Temporada 2026'!O19</f>
        <v>7</v>
      </c>
      <c r="I13">
        <f>H13+'Temporada 2026'!P19</f>
        <v>15</v>
      </c>
      <c r="J13">
        <f>I13+'Temporada 2026'!Q19</f>
        <v>15</v>
      </c>
      <c r="K13">
        <f>J13+'Temporada 2026'!R19</f>
        <v>16</v>
      </c>
      <c r="L13">
        <f>K13+'Temporada 2026'!S19</f>
        <v>16</v>
      </c>
      <c r="M13">
        <f>L13+'Temporada 2026'!T19</f>
        <v>18</v>
      </c>
      <c r="N13">
        <f>M13+'Temporada 2026'!U19</f>
        <v>19</v>
      </c>
      <c r="O13">
        <f>N13+'Temporada 2026'!V19</f>
        <v>19</v>
      </c>
      <c r="P13">
        <f>O13+'Temporada 2026'!W19</f>
        <v>19</v>
      </c>
      <c r="Q13">
        <f>P13+'Temporada 2026'!X19</f>
        <v>21</v>
      </c>
      <c r="R13">
        <f>Q13+'Temporada 2026'!Y19</f>
        <v>27</v>
      </c>
      <c r="S13">
        <f>R13+'Temporada 2026'!Z19</f>
        <v>27</v>
      </c>
      <c r="T13">
        <f>S13+'Temporada 2026'!AA19</f>
        <v>27</v>
      </c>
      <c r="U13">
        <f>T13+'Temporada 2026'!AB19</f>
        <v>27</v>
      </c>
      <c r="V13">
        <f>U13+'Temporada 2026'!AC19</f>
        <v>27</v>
      </c>
      <c r="W13">
        <f>V13+'Temporada 2026'!AD19</f>
        <v>27</v>
      </c>
      <c r="X13">
        <f>W13+'Temporada 2026'!AE19</f>
        <v>27</v>
      </c>
      <c r="Y13">
        <f>X13+'Temporada 2026'!AF19</f>
        <v>27</v>
      </c>
      <c r="Z13">
        <f>Y13+'Temporada 2026'!AG19</f>
        <v>27</v>
      </c>
    </row>
    <row r="14" spans="1:26" x14ac:dyDescent="0.2">
      <c r="A14">
        <f>'Temporada 2026'!B20</f>
        <v>13</v>
      </c>
      <c r="B14" t="str">
        <f>'Temporada 2026'!C20</f>
        <v>Oliver Bearman</v>
      </c>
      <c r="C14">
        <f>'Temporada 2026'!J20</f>
        <v>6</v>
      </c>
      <c r="D14">
        <f>C14+'Temporada 2026'!K20</f>
        <v>17</v>
      </c>
      <c r="E14">
        <f>D14+'Temporada 2026'!L20</f>
        <v>17</v>
      </c>
      <c r="F14">
        <f>E14+'Temporada 2026'!M20</f>
        <v>17</v>
      </c>
      <c r="G14">
        <f>F14+'Temporada 2026'!N20</f>
        <v>17</v>
      </c>
      <c r="H14">
        <f>G14+'Temporada 2026'!O20</f>
        <v>17</v>
      </c>
      <c r="I14">
        <f>H14+'Temporada 2026'!P20</f>
        <v>18</v>
      </c>
      <c r="J14">
        <f>I14+'Temporada 2026'!Q20</f>
        <v>18</v>
      </c>
      <c r="K14">
        <f>J14+'Temporada 2026'!R20</f>
        <v>18</v>
      </c>
      <c r="L14">
        <f>K14+'Temporada 2026'!S20</f>
        <v>18</v>
      </c>
      <c r="M14">
        <f>L14+'Temporada 2026'!T20</f>
        <v>18</v>
      </c>
      <c r="N14">
        <f>M14+'Temporada 2026'!U20</f>
        <v>18</v>
      </c>
      <c r="O14">
        <f>N14+'Temporada 2026'!V20</f>
        <v>18</v>
      </c>
      <c r="P14">
        <f>O14+'Temporada 2026'!W20</f>
        <v>18</v>
      </c>
      <c r="Q14">
        <f>P14+'Temporada 2026'!X20</f>
        <v>18</v>
      </c>
      <c r="R14">
        <f>Q14+'Temporada 2026'!Y20</f>
        <v>18</v>
      </c>
      <c r="S14">
        <f>R14+'Temporada 2026'!Z20</f>
        <v>20</v>
      </c>
      <c r="T14">
        <f>S14+'Temporada 2026'!AA20</f>
        <v>23</v>
      </c>
      <c r="U14">
        <f>T14+'Temporada 2026'!AB20</f>
        <v>23</v>
      </c>
      <c r="V14">
        <f>U14+'Temporada 2026'!AC20</f>
        <v>23</v>
      </c>
      <c r="W14">
        <f>V14+'Temporada 2026'!AD20</f>
        <v>23</v>
      </c>
      <c r="X14">
        <f>W14+'Temporada 2026'!AE20</f>
        <v>23</v>
      </c>
      <c r="Y14">
        <f>X14+'Temporada 2026'!AF20</f>
        <v>23</v>
      </c>
      <c r="Z14">
        <f>Y14+'Temporada 2026'!AG20</f>
        <v>23</v>
      </c>
    </row>
    <row r="15" spans="1:26" x14ac:dyDescent="0.2">
      <c r="A15">
        <f>'Temporada 2026'!B21</f>
        <v>14</v>
      </c>
      <c r="B15" t="str">
        <f>'Temporada 2026'!C21</f>
        <v>Nico Hulkenberg</v>
      </c>
      <c r="C15">
        <f>'Temporada 2026'!J21</f>
        <v>0</v>
      </c>
      <c r="D15">
        <f>C15+'Temporada 2026'!K21</f>
        <v>0</v>
      </c>
      <c r="E15">
        <f>D15+'Temporada 2026'!L21</f>
        <v>0</v>
      </c>
      <c r="F15">
        <f>E15+'Temporada 2026'!M21</f>
        <v>0</v>
      </c>
      <c r="G15">
        <f>F15+'Temporada 2026'!N21</f>
        <v>0</v>
      </c>
      <c r="H15">
        <f>G15+'Temporada 2026'!O21</f>
        <v>0</v>
      </c>
      <c r="I15">
        <f>H15+'Temporada 2026'!P21</f>
        <v>0</v>
      </c>
      <c r="J15">
        <f>I15+'Temporada 2026'!Q21</f>
        <v>0</v>
      </c>
      <c r="K15">
        <f>J15+'Temporada 2026'!R21</f>
        <v>0</v>
      </c>
      <c r="L15">
        <f>K15+'Temporada 2026'!S21</f>
        <v>0</v>
      </c>
      <c r="M15">
        <f>L15+'Temporada 2026'!T21</f>
        <v>0</v>
      </c>
      <c r="N15">
        <f>M15+'Temporada 2026'!U21</f>
        <v>0</v>
      </c>
      <c r="O15">
        <f>N15+'Temporada 2026'!V21</f>
        <v>2</v>
      </c>
      <c r="P15">
        <f>O15+'Temporada 2026'!W21</f>
        <v>6</v>
      </c>
      <c r="Q15">
        <f>P15+'Temporada 2026'!X21</f>
        <v>6</v>
      </c>
      <c r="R15">
        <f>Q15+'Temporada 2026'!Y21</f>
        <v>7</v>
      </c>
      <c r="S15">
        <f>R15+'Temporada 2026'!Z21</f>
        <v>7</v>
      </c>
      <c r="T15">
        <f>S15+'Temporada 2026'!AA21</f>
        <v>13</v>
      </c>
      <c r="U15">
        <f>T15+'Temporada 2026'!AB21</f>
        <v>13</v>
      </c>
      <c r="V15">
        <f>U15+'Temporada 2026'!AC21</f>
        <v>13</v>
      </c>
      <c r="W15">
        <f>V15+'Temporada 2026'!AD21</f>
        <v>13</v>
      </c>
      <c r="X15">
        <f>W15+'Temporada 2026'!AE21</f>
        <v>13</v>
      </c>
      <c r="Y15">
        <f>X15+'Temporada 2026'!AF21</f>
        <v>13</v>
      </c>
      <c r="Z15">
        <f>Y15+'Temporada 2026'!AG21</f>
        <v>13</v>
      </c>
    </row>
    <row r="16" spans="1:26" x14ac:dyDescent="0.2">
      <c r="A16">
        <f>'Temporada 2026'!B22</f>
        <v>15</v>
      </c>
      <c r="B16" t="str">
        <f>'Temporada 2026'!C22</f>
        <v>Gabriel Bortoleto</v>
      </c>
      <c r="C16">
        <f>'Temporada 2026'!J22</f>
        <v>2</v>
      </c>
      <c r="D16">
        <f>C16+'Temporada 2026'!K22</f>
        <v>2</v>
      </c>
      <c r="E16">
        <f>D16+'Temporada 2026'!L22</f>
        <v>2</v>
      </c>
      <c r="F16">
        <f>E16+'Temporada 2026'!M22</f>
        <v>2</v>
      </c>
      <c r="G16">
        <f>F16+'Temporada 2026'!N22</f>
        <v>2</v>
      </c>
      <c r="H16">
        <f>G16+'Temporada 2026'!O22</f>
        <v>2</v>
      </c>
      <c r="I16">
        <f>H16+'Temporada 2026'!P22</f>
        <v>2</v>
      </c>
      <c r="J16">
        <f>I16+'Temporada 2026'!Q22</f>
        <v>2</v>
      </c>
      <c r="K16">
        <f>J16+'Temporada 2026'!R22</f>
        <v>2</v>
      </c>
      <c r="L16">
        <f>K16+'Temporada 2026'!S22</f>
        <v>2</v>
      </c>
      <c r="M16">
        <f>L16+'Temporada 2026'!T22</f>
        <v>6</v>
      </c>
      <c r="N16">
        <f>M16+'Temporada 2026'!U22</f>
        <v>10</v>
      </c>
      <c r="O16">
        <f>N16+'Temporada 2026'!V22</f>
        <v>10</v>
      </c>
      <c r="P16">
        <f>O16+'Temporada 2026'!W22</f>
        <v>10</v>
      </c>
      <c r="Q16">
        <f>P16+'Temporada 2026'!X22</f>
        <v>10</v>
      </c>
      <c r="R16">
        <f>Q16+'Temporada 2026'!Y22</f>
        <v>10</v>
      </c>
      <c r="S16">
        <f>R16+'Temporada 2026'!Z22</f>
        <v>10</v>
      </c>
      <c r="T16">
        <f>S16+'Temporada 2026'!AA22</f>
        <v>10</v>
      </c>
      <c r="U16">
        <f>T16+'Temporada 2026'!AB22</f>
        <v>10</v>
      </c>
      <c r="V16">
        <f>U16+'Temporada 2026'!AC22</f>
        <v>10</v>
      </c>
      <c r="W16">
        <f>V16+'Temporada 2026'!AD22</f>
        <v>10</v>
      </c>
      <c r="X16">
        <f>W16+'Temporada 2026'!AE22</f>
        <v>10</v>
      </c>
      <c r="Y16">
        <f>X16+'Temporada 2026'!AF22</f>
        <v>10</v>
      </c>
      <c r="Z16">
        <f>Y16+'Temporada 2026'!AG22</f>
        <v>10</v>
      </c>
    </row>
    <row r="17" spans="1:26" x14ac:dyDescent="0.2">
      <c r="A17">
        <f>'Temporada 2026'!B23</f>
        <v>16</v>
      </c>
      <c r="B17" t="str">
        <f>'Temporada 2026'!C23</f>
        <v>Esteban Ocon</v>
      </c>
      <c r="C17">
        <f>'Temporada 2026'!J23</f>
        <v>0</v>
      </c>
      <c r="D17">
        <f>C17+'Temporada 2026'!K23</f>
        <v>0</v>
      </c>
      <c r="E17">
        <f>D17+'Temporada 2026'!L23</f>
        <v>1</v>
      </c>
      <c r="F17">
        <f>E17+'Temporada 2026'!M23</f>
        <v>1</v>
      </c>
      <c r="G17">
        <f>F17+'Temporada 2026'!N23</f>
        <v>1</v>
      </c>
      <c r="H17">
        <f>G17+'Temporada 2026'!O23</f>
        <v>1</v>
      </c>
      <c r="I17">
        <f>H17+'Temporada 2026'!P23</f>
        <v>1</v>
      </c>
      <c r="J17">
        <f>I17+'Temporada 2026'!Q23</f>
        <v>3</v>
      </c>
      <c r="K17">
        <f>J17+'Temporada 2026'!R23</f>
        <v>3</v>
      </c>
      <c r="L17">
        <f>K17+'Temporada 2026'!S23</f>
        <v>3</v>
      </c>
      <c r="M17">
        <f>L17+'Temporada 2026'!T23</f>
        <v>3</v>
      </c>
      <c r="N17">
        <f>M17+'Temporada 2026'!U23</f>
        <v>3</v>
      </c>
      <c r="O17">
        <f>N17+'Temporada 2026'!V23</f>
        <v>3</v>
      </c>
      <c r="P17">
        <f>O17+'Temporada 2026'!W23</f>
        <v>3</v>
      </c>
      <c r="Q17">
        <f>P17+'Temporada 2026'!X23</f>
        <v>3</v>
      </c>
      <c r="R17">
        <f>Q17+'Temporada 2026'!Y23</f>
        <v>3</v>
      </c>
      <c r="S17">
        <f>R17+'Temporada 2026'!Z23</f>
        <v>7</v>
      </c>
      <c r="T17">
        <f>S17+'Temporada 2026'!AA23</f>
        <v>7</v>
      </c>
      <c r="U17">
        <f>T17+'Temporada 2026'!AB23</f>
        <v>7</v>
      </c>
      <c r="V17">
        <f>U17+'Temporada 2026'!AC23</f>
        <v>7</v>
      </c>
      <c r="W17">
        <f>V17+'Temporada 2026'!AD23</f>
        <v>7</v>
      </c>
      <c r="X17">
        <f>W17+'Temporada 2026'!AE23</f>
        <v>7</v>
      </c>
      <c r="Y17">
        <f>X17+'Temporada 2026'!AF23</f>
        <v>7</v>
      </c>
      <c r="Z17">
        <f>Y17+'Temporada 2026'!AG23</f>
        <v>7</v>
      </c>
    </row>
    <row r="18" spans="1:26" x14ac:dyDescent="0.2">
      <c r="A18">
        <f>'Temporada 2026'!B24</f>
        <v>17</v>
      </c>
      <c r="B18" t="str">
        <f>'Temporada 2026'!C24</f>
        <v>Fernando Alonso</v>
      </c>
      <c r="C18">
        <f>'Temporada 2026'!J24</f>
        <v>0</v>
      </c>
      <c r="D18">
        <f>C18+'Temporada 2026'!K24</f>
        <v>0</v>
      </c>
      <c r="E18">
        <f>D18+'Temporada 2026'!L24</f>
        <v>0</v>
      </c>
      <c r="F18">
        <f>E18+'Temporada 2026'!M24</f>
        <v>4</v>
      </c>
      <c r="G18">
        <f>F18+'Temporada 2026'!N24</f>
        <v>4</v>
      </c>
      <c r="H18">
        <f>G18+'Temporada 2026'!O24</f>
        <v>4</v>
      </c>
      <c r="I18">
        <f>H18+'Temporada 2026'!P24</f>
        <v>4</v>
      </c>
      <c r="J18">
        <f>I18+'Temporada 2026'!Q24</f>
        <v>5</v>
      </c>
      <c r="K18">
        <f>J18+'Temporada 2026'!R24</f>
        <v>5</v>
      </c>
      <c r="L18">
        <f>K18+'Temporada 2026'!S24</f>
        <v>5</v>
      </c>
      <c r="M18">
        <f>L18+'Temporada 2026'!T24</f>
        <v>5</v>
      </c>
      <c r="N18">
        <f>M18+'Temporada 2026'!U24</f>
        <v>5</v>
      </c>
      <c r="O18">
        <f>N18+'Temporada 2026'!V24</f>
        <v>5</v>
      </c>
      <c r="P18">
        <f>O18+'Temporada 2026'!W24</f>
        <v>7</v>
      </c>
      <c r="Q18">
        <f>P18+'Temporada 2026'!X24</f>
        <v>7</v>
      </c>
      <c r="R18">
        <f>Q18+'Temporada 2026'!Y24</f>
        <v>7</v>
      </c>
      <c r="S18">
        <f>R18+'Temporada 2026'!Z24</f>
        <v>7</v>
      </c>
      <c r="T18">
        <f>S18+'Temporada 2026'!AA24</f>
        <v>7</v>
      </c>
      <c r="U18">
        <f>T18+'Temporada 2026'!AB24</f>
        <v>7</v>
      </c>
      <c r="V18">
        <f>U18+'Temporada 2026'!AC24</f>
        <v>7</v>
      </c>
      <c r="W18">
        <f>V18+'Temporada 2026'!AD24</f>
        <v>7</v>
      </c>
      <c r="X18">
        <f>W18+'Temporada 2026'!AE24</f>
        <v>7</v>
      </c>
      <c r="Y18">
        <f>X18+'Temporada 2026'!AF24</f>
        <v>7</v>
      </c>
      <c r="Z18">
        <f>Y18+'Temporada 2026'!AG24</f>
        <v>7</v>
      </c>
    </row>
    <row r="19" spans="1:26" x14ac:dyDescent="0.2">
      <c r="A19">
        <f>'Temporada 2026'!B25</f>
        <v>18</v>
      </c>
      <c r="B19" t="str">
        <f>'Temporada 2026'!C25</f>
        <v>Carlos Sainz</v>
      </c>
      <c r="C19">
        <f>'Temporada 2026'!J25</f>
        <v>0</v>
      </c>
      <c r="D19">
        <f>C19+'Temporada 2026'!K25</f>
        <v>2</v>
      </c>
      <c r="E19">
        <f>D19+'Temporada 2026'!L25</f>
        <v>2</v>
      </c>
      <c r="F19">
        <f>E19+'Temporada 2026'!M25</f>
        <v>2</v>
      </c>
      <c r="G19">
        <f>F19+'Temporada 2026'!N25</f>
        <v>2</v>
      </c>
      <c r="H19">
        <f>G19+'Temporada 2026'!O25</f>
        <v>4</v>
      </c>
      <c r="I19">
        <f>H19+'Temporada 2026'!P25</f>
        <v>6</v>
      </c>
      <c r="J19">
        <f>I19+'Temporada 2026'!Q25</f>
        <v>6</v>
      </c>
      <c r="K19">
        <f>J19+'Temporada 2026'!R25</f>
        <v>6</v>
      </c>
      <c r="L19">
        <f>K19+'Temporada 2026'!S25</f>
        <v>6</v>
      </c>
      <c r="M19">
        <f>L19+'Temporada 2026'!T25</f>
        <v>6</v>
      </c>
      <c r="N19">
        <f>M19+'Temporada 2026'!U25</f>
        <v>6</v>
      </c>
      <c r="O19">
        <f>N19+'Temporada 2026'!V25</f>
        <v>6</v>
      </c>
      <c r="P19">
        <f>O19+'Temporada 2026'!W25</f>
        <v>6</v>
      </c>
      <c r="Q19">
        <f>P19+'Temporada 2026'!X25</f>
        <v>6</v>
      </c>
      <c r="R19">
        <f>Q19+'Temporada 2026'!Y25</f>
        <v>6</v>
      </c>
      <c r="S19">
        <f>R19+'Temporada 2026'!Z25</f>
        <v>7</v>
      </c>
      <c r="T19">
        <f>S19+'Temporada 2026'!AA25</f>
        <v>7</v>
      </c>
      <c r="U19">
        <f>T19+'Temporada 2026'!AB25</f>
        <v>7</v>
      </c>
      <c r="V19">
        <f>U19+'Temporada 2026'!AC25</f>
        <v>7</v>
      </c>
      <c r="W19">
        <f>V19+'Temporada 2026'!AD25</f>
        <v>7</v>
      </c>
      <c r="X19">
        <f>W19+'Temporada 2026'!AE25</f>
        <v>7</v>
      </c>
      <c r="Y19">
        <f>X19+'Temporada 2026'!AF25</f>
        <v>7</v>
      </c>
      <c r="Z19">
        <f>Y19+'Temporada 2026'!AG25</f>
        <v>7</v>
      </c>
    </row>
    <row r="20" spans="1:26" x14ac:dyDescent="0.2">
      <c r="A20">
        <f>'Temporada 2026'!B26</f>
        <v>19</v>
      </c>
      <c r="B20" t="str">
        <f>'Temporada 2026'!C26</f>
        <v>Alexander Albon</v>
      </c>
      <c r="C20">
        <f>'Temporada 2026'!J26</f>
        <v>0</v>
      </c>
      <c r="D20">
        <f>C20+'Temporada 2026'!K26</f>
        <v>0</v>
      </c>
      <c r="E20">
        <f>D20+'Temporada 2026'!L26</f>
        <v>0</v>
      </c>
      <c r="F20">
        <f>E20+'Temporada 2026'!M26</f>
        <v>0</v>
      </c>
      <c r="G20">
        <f>F20+'Temporada 2026'!N26</f>
        <v>0</v>
      </c>
      <c r="H20">
        <f>G20+'Temporada 2026'!O26</f>
        <v>1</v>
      </c>
      <c r="I20">
        <f>H20+'Temporada 2026'!P26</f>
        <v>1</v>
      </c>
      <c r="J20">
        <f>I20+'Temporada 2026'!Q26</f>
        <v>5</v>
      </c>
      <c r="K20">
        <f>J20+'Temporada 2026'!R26</f>
        <v>5</v>
      </c>
      <c r="L20">
        <f>K20+'Temporada 2026'!S26</f>
        <v>5</v>
      </c>
      <c r="M20">
        <f>L20+'Temporada 2026'!T26</f>
        <v>5</v>
      </c>
      <c r="N20">
        <f>M20+'Temporada 2026'!U26</f>
        <v>5</v>
      </c>
      <c r="O20">
        <f>N20+'Temporada 2026'!V26</f>
        <v>5</v>
      </c>
      <c r="P20">
        <f>O20+'Temporada 2026'!W26</f>
        <v>5</v>
      </c>
      <c r="Q20">
        <f>P20+'Temporada 2026'!X26</f>
        <v>5</v>
      </c>
      <c r="R20">
        <f>Q20+'Temporada 2026'!Y26</f>
        <v>5</v>
      </c>
      <c r="S20">
        <f>R20+'Temporada 2026'!Z26</f>
        <v>5</v>
      </c>
      <c r="T20">
        <f>S20+'Temporada 2026'!AA26</f>
        <v>5</v>
      </c>
      <c r="U20">
        <f>T20+'Temporada 2026'!AB26</f>
        <v>5</v>
      </c>
      <c r="V20">
        <f>U20+'Temporada 2026'!AC26</f>
        <v>5</v>
      </c>
      <c r="W20">
        <f>V20+'Temporada 2026'!AD26</f>
        <v>5</v>
      </c>
      <c r="X20">
        <f>W20+'Temporada 2026'!AE26</f>
        <v>5</v>
      </c>
      <c r="Y20">
        <f>X20+'Temporada 2026'!AF26</f>
        <v>5</v>
      </c>
      <c r="Z20">
        <f>Y20+'Temporada 2026'!AG26</f>
        <v>5</v>
      </c>
    </row>
    <row r="21" spans="1:26" x14ac:dyDescent="0.2">
      <c r="A21">
        <f>'Temporada 2026'!B27</f>
        <v>20</v>
      </c>
      <c r="B21" t="str">
        <f>'Temporada 2026'!C27</f>
        <v>Yuki Tsunoda</v>
      </c>
      <c r="C21">
        <f>'Temporada 2026'!J27</f>
        <v>0</v>
      </c>
      <c r="D21">
        <f>C21+'Temporada 2026'!K27</f>
        <v>0</v>
      </c>
      <c r="E21">
        <f>D21+'Temporada 2026'!L27</f>
        <v>0</v>
      </c>
      <c r="F21">
        <f>E21+'Temporada 2026'!M27</f>
        <v>0</v>
      </c>
      <c r="G21">
        <f>F21+'Temporada 2026'!N27</f>
        <v>0</v>
      </c>
      <c r="H21">
        <f>G21+'Temporada 2026'!O27</f>
        <v>0</v>
      </c>
      <c r="I21">
        <f>H21+'Temporada 2026'!P27</f>
        <v>0</v>
      </c>
      <c r="J21">
        <f>I21+'Temporada 2026'!Q27</f>
        <v>0</v>
      </c>
      <c r="K21">
        <f>J21+'Temporada 2026'!R27</f>
        <v>0</v>
      </c>
      <c r="L21">
        <f>K21+'Temporada 2026'!S27</f>
        <v>0</v>
      </c>
      <c r="M21">
        <f>L21+'Temporada 2026'!T27</f>
        <v>0</v>
      </c>
      <c r="N21">
        <f>M21+'Temporada 2026'!U27</f>
        <v>0</v>
      </c>
      <c r="O21">
        <f>N21+'Temporada 2026'!V27</f>
        <v>0</v>
      </c>
      <c r="P21">
        <f>O21+'Temporada 2026'!W27</f>
        <v>0</v>
      </c>
      <c r="Q21">
        <f>P21+'Temporada 2026'!X27</f>
        <v>1</v>
      </c>
      <c r="R21">
        <f>Q21+'Temporada 2026'!Y27</f>
        <v>1</v>
      </c>
      <c r="S21">
        <f>R21+'Temporada 2026'!Z27</f>
        <v>1</v>
      </c>
      <c r="T21">
        <f>S21+'Temporada 2026'!AA27</f>
        <v>1</v>
      </c>
      <c r="U21">
        <f>T21+'Temporada 2026'!AB27</f>
        <v>1</v>
      </c>
      <c r="V21">
        <f>U21+'Temporada 2026'!AC27</f>
        <v>1</v>
      </c>
      <c r="W21">
        <f>V21+'Temporada 2026'!AD27</f>
        <v>1</v>
      </c>
      <c r="X21">
        <f>W21+'Temporada 2026'!AE27</f>
        <v>1</v>
      </c>
      <c r="Y21">
        <f>X21+'Temporada 2026'!AF27</f>
        <v>1</v>
      </c>
      <c r="Z21">
        <f>Y21+'Temporada 2026'!AG27</f>
        <v>1</v>
      </c>
    </row>
    <row r="22" spans="1:26" x14ac:dyDescent="0.2">
      <c r="A22">
        <f>'Temporada 2026'!B28</f>
        <v>21</v>
      </c>
      <c r="B22" t="str">
        <f>'Temporada 2026'!C28</f>
        <v>Lance Stroll</v>
      </c>
      <c r="C22">
        <f>'Temporada 2026'!J28</f>
        <v>0</v>
      </c>
      <c r="D22">
        <f>C22+'Temporada 2026'!K28</f>
        <v>0</v>
      </c>
      <c r="E22">
        <f>D22+'Temporada 2026'!L28</f>
        <v>0</v>
      </c>
      <c r="F22">
        <f>E22+'Temporada 2026'!M28</f>
        <v>0</v>
      </c>
      <c r="G22">
        <f>F22+'Temporada 2026'!N28</f>
        <v>0</v>
      </c>
      <c r="H22">
        <f>G22+'Temporada 2026'!O28</f>
        <v>0</v>
      </c>
      <c r="I22">
        <f>H22+'Temporada 2026'!P28</f>
        <v>0</v>
      </c>
      <c r="J22">
        <f>I22+'Temporada 2026'!Q28</f>
        <v>0</v>
      </c>
      <c r="K22">
        <f>J22+'Temporada 2026'!R28</f>
        <v>0</v>
      </c>
      <c r="L22">
        <f>K22+'Temporada 2026'!S28</f>
        <v>0</v>
      </c>
      <c r="M22">
        <f>L22+'Temporada 2026'!T28</f>
        <v>0</v>
      </c>
      <c r="N22">
        <f>M22+'Temporada 2026'!U28</f>
        <v>0</v>
      </c>
      <c r="O22">
        <f>N22+'Temporada 2026'!V28</f>
        <v>0</v>
      </c>
      <c r="P22">
        <f>O22+'Temporada 2026'!W28</f>
        <v>0</v>
      </c>
      <c r="Q22">
        <f>P22+'Temporada 2026'!X28</f>
        <v>0</v>
      </c>
      <c r="R22">
        <f>Q22+'Temporada 2026'!Y28</f>
        <v>0</v>
      </c>
      <c r="S22">
        <f>R22+'Temporada 2026'!Z28</f>
        <v>0</v>
      </c>
      <c r="T22">
        <f>S22+'Temporada 2026'!AA28</f>
        <v>0</v>
      </c>
      <c r="U22">
        <f>T22+'Temporada 2026'!AB28</f>
        <v>0</v>
      </c>
      <c r="V22">
        <f>U22+'Temporada 2026'!AC28</f>
        <v>0</v>
      </c>
      <c r="W22">
        <f>V22+'Temporada 2026'!AD28</f>
        <v>0</v>
      </c>
      <c r="X22">
        <f>W22+'Temporada 2026'!AE28</f>
        <v>0</v>
      </c>
      <c r="Y22">
        <f>X22+'Temporada 2026'!AF28</f>
        <v>0</v>
      </c>
      <c r="Z22">
        <f>Y22+'Temporada 2026'!AG28</f>
        <v>0</v>
      </c>
    </row>
    <row r="23" spans="1:26" x14ac:dyDescent="0.2">
      <c r="A23">
        <f>'Temporada 2026'!B29</f>
        <v>22</v>
      </c>
      <c r="B23" t="str">
        <f>'Temporada 2026'!C29</f>
        <v>Valtteri Bottas</v>
      </c>
      <c r="C23">
        <f>'Temporada 2026'!J29</f>
        <v>0</v>
      </c>
      <c r="D23">
        <f>C23+'Temporada 2026'!K29</f>
        <v>0</v>
      </c>
      <c r="E23">
        <f>D23+'Temporada 2026'!L29</f>
        <v>0</v>
      </c>
      <c r="F23">
        <f>E23+'Temporada 2026'!M29</f>
        <v>0</v>
      </c>
      <c r="G23">
        <f>F23+'Temporada 2026'!N29</f>
        <v>0</v>
      </c>
      <c r="H23">
        <f>G23+'Temporada 2026'!O29</f>
        <v>0</v>
      </c>
      <c r="I23">
        <f>H23+'Temporada 2026'!P29</f>
        <v>0</v>
      </c>
      <c r="J23">
        <f>I23+'Temporada 2026'!Q29</f>
        <v>0</v>
      </c>
      <c r="K23">
        <f>J23+'Temporada 2026'!R29</f>
        <v>0</v>
      </c>
      <c r="L23">
        <f>K23+'Temporada 2026'!S29</f>
        <v>0</v>
      </c>
      <c r="M23">
        <f>L23+'Temporada 2026'!T29</f>
        <v>0</v>
      </c>
      <c r="N23">
        <f>M23+'Temporada 2026'!U29</f>
        <v>0</v>
      </c>
      <c r="O23">
        <f>N23+'Temporada 2026'!V29</f>
        <v>0</v>
      </c>
      <c r="P23">
        <f>O23+'Temporada 2026'!W29</f>
        <v>0</v>
      </c>
      <c r="Q23">
        <f>P23+'Temporada 2026'!X29</f>
        <v>0</v>
      </c>
      <c r="R23">
        <f>Q23+'Temporada 2026'!Y29</f>
        <v>0</v>
      </c>
      <c r="S23">
        <f>R23+'Temporada 2026'!Z29</f>
        <v>0</v>
      </c>
      <c r="T23">
        <f>S23+'Temporada 2026'!AA29</f>
        <v>0</v>
      </c>
      <c r="U23">
        <f>T23+'Temporada 2026'!AB29</f>
        <v>0</v>
      </c>
      <c r="V23">
        <f>U23+'Temporada 2026'!AC29</f>
        <v>0</v>
      </c>
      <c r="W23">
        <f>V23+'Temporada 2026'!AD29</f>
        <v>0</v>
      </c>
      <c r="X23">
        <f>W23+'Temporada 2026'!AE29</f>
        <v>0</v>
      </c>
      <c r="Y23">
        <f>X23+'Temporada 2026'!AF29</f>
        <v>0</v>
      </c>
      <c r="Z23">
        <f>Y23+'Temporada 2026'!AG29</f>
        <v>0</v>
      </c>
    </row>
    <row r="24" spans="1:26" x14ac:dyDescent="0.2">
      <c r="A24">
        <f>'Temporada 2026'!B30</f>
        <v>23</v>
      </c>
      <c r="B24" t="str">
        <f>'Temporada 2026'!C30</f>
        <v>Sergio Perez</v>
      </c>
      <c r="C24">
        <f>'Temporada 2026'!J30</f>
        <v>0</v>
      </c>
      <c r="D24">
        <f>C24+'Temporada 2026'!K30</f>
        <v>0</v>
      </c>
      <c r="E24">
        <f>D24+'Temporada 2026'!L30</f>
        <v>0</v>
      </c>
      <c r="F24">
        <f>E24+'Temporada 2026'!M30</f>
        <v>0</v>
      </c>
      <c r="G24">
        <f>F24+'Temporada 2026'!N30</f>
        <v>0</v>
      </c>
      <c r="H24">
        <f>G24+'Temporada 2026'!O30</f>
        <v>0</v>
      </c>
      <c r="I24">
        <f>H24+'Temporada 2026'!P30</f>
        <v>0</v>
      </c>
      <c r="J24">
        <f>I24+'Temporada 2026'!Q30</f>
        <v>0</v>
      </c>
      <c r="K24">
        <f>J24+'Temporada 2026'!R30</f>
        <v>0</v>
      </c>
      <c r="L24">
        <f>K24+'Temporada 2026'!S30</f>
        <v>0</v>
      </c>
      <c r="M24">
        <f>L24+'Temporada 2026'!T30</f>
        <v>0</v>
      </c>
      <c r="N24">
        <f>M24+'Temporada 2026'!U30</f>
        <v>0</v>
      </c>
      <c r="O24">
        <f>N24+'Temporada 2026'!V30</f>
        <v>0</v>
      </c>
      <c r="P24">
        <f>O24+'Temporada 2026'!W30</f>
        <v>0</v>
      </c>
      <c r="Q24">
        <f>P24+'Temporada 2026'!X30</f>
        <v>0</v>
      </c>
      <c r="R24">
        <f>Q24+'Temporada 2026'!Y30</f>
        <v>0</v>
      </c>
      <c r="S24">
        <f>R24+'Temporada 2026'!Z30</f>
        <v>0</v>
      </c>
      <c r="T24">
        <f>S24+'Temporada 2026'!AA30</f>
        <v>0</v>
      </c>
      <c r="U24">
        <f>T24+'Temporada 2026'!AB30</f>
        <v>0</v>
      </c>
      <c r="V24">
        <f>U24+'Temporada 2026'!AC30</f>
        <v>0</v>
      </c>
      <c r="W24">
        <f>V24+'Temporada 2026'!AD30</f>
        <v>0</v>
      </c>
      <c r="X24">
        <f>W24+'Temporada 2026'!AE30</f>
        <v>0</v>
      </c>
      <c r="Y24">
        <f>X24+'Temporada 2026'!AF30</f>
        <v>0</v>
      </c>
      <c r="Z24">
        <f>Y24+'Temporada 2026'!AG30</f>
        <v>0</v>
      </c>
    </row>
    <row r="25" spans="1:26" x14ac:dyDescent="0.2">
      <c r="A25" t="str">
        <f>'Temporada 2026'!B31</f>
        <v/>
      </c>
      <c r="B25" t="str">
        <f>'Temporada 2026'!C31</f>
        <v/>
      </c>
      <c r="C25" t="str">
        <f>'Temporada 2026'!J31</f>
        <v/>
      </c>
      <c r="D25" t="e">
        <f>C25+'Temporada 2026'!K31</f>
        <v>#VALUE!</v>
      </c>
      <c r="E25" t="e">
        <f>D25+'Temporada 2026'!L31</f>
        <v>#VALUE!</v>
      </c>
      <c r="F25" t="e">
        <f>E25+'Temporada 2026'!M31</f>
        <v>#VALUE!</v>
      </c>
      <c r="G25" t="e">
        <f>F25+'Temporada 2026'!N31</f>
        <v>#VALUE!</v>
      </c>
      <c r="H25" t="e">
        <f>G25+'Temporada 2026'!O31</f>
        <v>#VALUE!</v>
      </c>
      <c r="I25" t="e">
        <f>H25+'Temporada 2026'!P31</f>
        <v>#VALUE!</v>
      </c>
      <c r="J25" t="e">
        <f>I25+'Temporada 2026'!Q31</f>
        <v>#VALUE!</v>
      </c>
      <c r="K25" t="e">
        <f>J25+'Temporada 2026'!R31</f>
        <v>#VALUE!</v>
      </c>
      <c r="L25" t="e">
        <f>K25+'Temporada 2026'!S31</f>
        <v>#VALUE!</v>
      </c>
      <c r="M25" t="e">
        <f>L25+'Temporada 2026'!T31</f>
        <v>#VALUE!</v>
      </c>
      <c r="N25" t="e">
        <f>M25+'Temporada 2026'!U31</f>
        <v>#VALUE!</v>
      </c>
      <c r="O25" t="e">
        <f>N25+'Temporada 2026'!V31</f>
        <v>#VALUE!</v>
      </c>
      <c r="P25" t="e">
        <f>O25+'Temporada 2026'!W31</f>
        <v>#VALUE!</v>
      </c>
      <c r="Q25" t="e">
        <f>P25+'Temporada 2026'!X31</f>
        <v>#VALUE!</v>
      </c>
      <c r="R25" t="e">
        <f>Q25+'Temporada 2026'!Y31</f>
        <v>#VALUE!</v>
      </c>
      <c r="S25" t="e">
        <f>R25+'Temporada 2026'!Z31</f>
        <v>#VALUE!</v>
      </c>
      <c r="T25" t="e">
        <f>S25+'Temporada 2026'!AA31</f>
        <v>#VALUE!</v>
      </c>
      <c r="U25" t="e">
        <f>T25+'Temporada 2026'!AB31</f>
        <v>#VALUE!</v>
      </c>
      <c r="V25" t="e">
        <f>U25+'Temporada 2026'!AC31</f>
        <v>#VALUE!</v>
      </c>
      <c r="W25" t="e">
        <f>V25+'Temporada 2026'!AD31</f>
        <v>#VALUE!</v>
      </c>
      <c r="X25" t="e">
        <f>W25+'Temporada 2026'!AE31</f>
        <v>#VALUE!</v>
      </c>
      <c r="Y25" t="e">
        <f>X25+'Temporada 2026'!AF31</f>
        <v>#VALUE!</v>
      </c>
      <c r="Z25" t="e">
        <f>Y25+'Temporada 2026'!AG31</f>
        <v>#VALUE!</v>
      </c>
    </row>
    <row r="26" spans="1:26" x14ac:dyDescent="0.2">
      <c r="A26" t="str">
        <f>'Temporada 2026'!B32</f>
        <v/>
      </c>
      <c r="B26" t="s">
        <v>380</v>
      </c>
      <c r="C26">
        <f>Tabela1[[#This Row],[ABU]]</f>
        <v>165</v>
      </c>
      <c r="D26">
        <f>Tabela1[[#This Row],[AUS]]</f>
        <v>165</v>
      </c>
      <c r="E26">
        <f>Tabela1[[#This Row],[CHI]]</f>
        <v>165</v>
      </c>
      <c r="F26">
        <f>Tabela1[[#This Row],[JAP]]</f>
        <v>165</v>
      </c>
      <c r="G26">
        <f>Tabela1[[#This Row],[BAH]]</f>
        <v>165</v>
      </c>
      <c r="H26">
        <f>Tabela1[[#This Row],[SAU]]</f>
        <v>165</v>
      </c>
      <c r="I26">
        <f>Tabela1[[#This Row],[MIA]]</f>
        <v>165</v>
      </c>
      <c r="J26">
        <f>Tabela1[[#This Row],[CAN]]</f>
        <v>165</v>
      </c>
      <c r="K26">
        <f>Tabela1[[#This Row],[MON]]</f>
        <v>165</v>
      </c>
      <c r="L26">
        <f>Tabela1[[#This Row],[ESP]]</f>
        <v>165</v>
      </c>
      <c r="M26">
        <f>Tabela1[[#This Row],[AUT]]</f>
        <v>165</v>
      </c>
      <c r="N26">
        <f>Tabela1[[#This Row],[ING]]</f>
        <v>165</v>
      </c>
      <c r="O26">
        <f>Tabela1[[#This Row],[BEL]]</f>
        <v>165</v>
      </c>
      <c r="P26">
        <f>Tabela1[[#This Row],[HUN]]</f>
        <v>165</v>
      </c>
      <c r="Q26">
        <f>Tabela1[[#This Row],[HOL]]</f>
        <v>165</v>
      </c>
      <c r="R26">
        <f>Tabela1[[#This Row],[MAD]]</f>
        <v>165</v>
      </c>
      <c r="S26">
        <f>Tabela1[[#This Row],[ITA]]</f>
        <v>165</v>
      </c>
      <c r="T26">
        <f>Tabela1[[#This Row],[AZE]]</f>
        <v>165</v>
      </c>
      <c r="U26">
        <f>Tabela1[[#This Row],[SIN]]</f>
        <v>165</v>
      </c>
      <c r="V26">
        <f>Tabela1[[#This Row],[USA]]</f>
        <v>165</v>
      </c>
      <c r="W26">
        <f>Tabela1[[#This Row],[MEX]]</f>
        <v>165</v>
      </c>
      <c r="X26">
        <f>Tabela1[[#This Row],[SÃO]]</f>
        <v>165</v>
      </c>
      <c r="Y26">
        <f>Tabela1[[#This Row],[VEG]]</f>
        <v>165</v>
      </c>
      <c r="Z26">
        <f>IF(Z2-Resultados!$K$35&lt;0,0,Z2-Resultados!$K$35)</f>
        <v>165</v>
      </c>
    </row>
    <row r="28" spans="1:26" x14ac:dyDescent="0.2">
      <c r="C28">
        <v>1</v>
      </c>
      <c r="D28">
        <v>2</v>
      </c>
      <c r="E28">
        <v>3</v>
      </c>
      <c r="F28">
        <v>4</v>
      </c>
      <c r="G28">
        <v>5</v>
      </c>
      <c r="H28">
        <v>6</v>
      </c>
      <c r="I28">
        <v>7</v>
      </c>
      <c r="J28">
        <v>8</v>
      </c>
      <c r="K28">
        <v>9</v>
      </c>
      <c r="L28">
        <v>10</v>
      </c>
      <c r="M28">
        <v>11</v>
      </c>
      <c r="N28">
        <v>12</v>
      </c>
      <c r="O28">
        <v>13</v>
      </c>
      <c r="P28">
        <v>14</v>
      </c>
      <c r="Q28">
        <v>15</v>
      </c>
      <c r="R28">
        <v>16</v>
      </c>
      <c r="S28">
        <v>17</v>
      </c>
      <c r="T28">
        <v>18</v>
      </c>
      <c r="U28">
        <v>19</v>
      </c>
      <c r="V28">
        <v>20</v>
      </c>
      <c r="W28">
        <v>21</v>
      </c>
      <c r="X28">
        <v>22</v>
      </c>
      <c r="Y28">
        <v>23</v>
      </c>
      <c r="Z28">
        <v>24</v>
      </c>
    </row>
    <row r="29" spans="1:26" ht="13.5" thickBot="1" x14ac:dyDescent="0.25">
      <c r="A29" s="21" t="s">
        <v>244</v>
      </c>
      <c r="B29" s="21" t="s">
        <v>17</v>
      </c>
      <c r="C29" s="21" t="s">
        <v>359</v>
      </c>
      <c r="D29" s="21" t="s">
        <v>360</v>
      </c>
      <c r="E29" s="21" t="s">
        <v>361</v>
      </c>
      <c r="F29" s="21" t="s">
        <v>362</v>
      </c>
      <c r="G29" s="152" t="s">
        <v>433</v>
      </c>
      <c r="H29" s="21" t="s">
        <v>363</v>
      </c>
      <c r="I29" s="152" t="s">
        <v>366</v>
      </c>
      <c r="J29" s="21" t="s">
        <v>364</v>
      </c>
      <c r="K29" s="21" t="s">
        <v>365</v>
      </c>
      <c r="L29" s="152" t="s">
        <v>379</v>
      </c>
      <c r="M29" s="152" t="s">
        <v>367</v>
      </c>
      <c r="N29" s="152" t="s">
        <v>368</v>
      </c>
      <c r="O29" s="152" t="s">
        <v>369</v>
      </c>
      <c r="P29" s="152" t="s">
        <v>370</v>
      </c>
      <c r="Q29" s="152" t="s">
        <v>434</v>
      </c>
      <c r="R29" s="21" t="s">
        <v>371</v>
      </c>
      <c r="S29" s="21" t="s">
        <v>372</v>
      </c>
      <c r="T29" s="21" t="s">
        <v>373</v>
      </c>
      <c r="U29" s="21" t="s">
        <v>301</v>
      </c>
      <c r="V29" s="21" t="s">
        <v>374</v>
      </c>
      <c r="W29" s="21" t="s">
        <v>375</v>
      </c>
      <c r="X29" s="21" t="s">
        <v>376</v>
      </c>
      <c r="Y29" s="21" t="s">
        <v>377</v>
      </c>
      <c r="Z29" s="21" t="s">
        <v>378</v>
      </c>
    </row>
    <row r="30" spans="1:26" x14ac:dyDescent="0.2">
      <c r="A30">
        <f>'Temporada 2026'!B39</f>
        <v>1</v>
      </c>
      <c r="B30" t="str">
        <f>'Temporada 2026'!C39</f>
        <v>Mercedes</v>
      </c>
      <c r="C30">
        <f>'Temporada 2026'!J39</f>
        <v>43</v>
      </c>
      <c r="D30">
        <f>Tabela2[[#This Row],[AUS]]+'Temporada 2026'!K39</f>
        <v>98</v>
      </c>
      <c r="E30">
        <f>Tabela2[[#This Row],[CHI]]+'Temporada 2026'!L39</f>
        <v>135</v>
      </c>
      <c r="F30">
        <f>Tabela2[[#This Row],[JAP]]+'Temporada 2026'!M39</f>
        <v>153</v>
      </c>
      <c r="G30">
        <f>Tabela2[[#This Row],[BAH]]+'Temporada 2026'!N39</f>
        <v>153</v>
      </c>
      <c r="H30">
        <f>Tabela2[[#This Row],[SAU]]+'Temporada 2026'!O39</f>
        <v>198</v>
      </c>
      <c r="I30">
        <f>Tabela2[[#This Row],[MIA]]+'Temporada 2026'!P39</f>
        <v>223</v>
      </c>
      <c r="J30">
        <f>Tabela2[[#This Row],[CAN]]+'Temporada 2026'!Q39</f>
        <v>248</v>
      </c>
      <c r="K30">
        <f>Tabela2[[#This Row],[MON]]+'Temporada 2026'!R39</f>
        <v>266</v>
      </c>
      <c r="L30">
        <f>Tabela2[[#This Row],[ESP]]+'Temporada 2026'!S39</f>
        <v>306</v>
      </c>
      <c r="M30">
        <f>Tabela2[[#This Row],[AUT]]+'Temporada 2026'!T39</f>
        <v>337</v>
      </c>
      <c r="N30">
        <f>Tabela2[[#This Row],[ING]]+'Temporada 2026'!U39</f>
        <v>362</v>
      </c>
      <c r="O30">
        <f>Tabela2[[#This Row],[BEL]]+'Temporada 2026'!V39</f>
        <v>383</v>
      </c>
      <c r="P30">
        <f>Tabela2[[#This Row],[HUN]]+'Temporada 2026'!W39</f>
        <v>429</v>
      </c>
      <c r="Q30">
        <f>Tabela2[[#This Row],[HOL]]+'Temporada 2026'!X39</f>
        <v>472</v>
      </c>
      <c r="R30">
        <f>Tabela2[[#This Row],[MAD]]+'Temporada 2026'!Y39</f>
        <v>507</v>
      </c>
      <c r="S30">
        <f>Tabela2[[#This Row],[ITA]]+'Temporada 2026'!Z39</f>
        <v>542</v>
      </c>
      <c r="T30">
        <f>Tabela2[[#This Row],[AZE]]+'Temporada 2026'!AA39</f>
        <v>564</v>
      </c>
      <c r="U30">
        <f>Tabela2[[#This Row],[SIN]]+'Temporada 2026'!AB39</f>
        <v>564</v>
      </c>
      <c r="V30">
        <f>Tabela2[[#This Row],[USA]]+'Temporada 2026'!AC39</f>
        <v>564</v>
      </c>
      <c r="W30">
        <f>Tabela2[[#This Row],[MEX]]+'Temporada 2026'!AD39</f>
        <v>564</v>
      </c>
      <c r="X30">
        <f>Tabela2[[#This Row],[SÃO]]+'Temporada 2026'!AE39</f>
        <v>564</v>
      </c>
      <c r="Y30">
        <f>Tabela2[[#This Row],[VEG]]+'Temporada 2026'!AF39</f>
        <v>564</v>
      </c>
      <c r="Z30">
        <f>Tabela2[[#This Row],[QAT]]+'Temporada 2026'!AG39</f>
        <v>564</v>
      </c>
    </row>
    <row r="31" spans="1:26" x14ac:dyDescent="0.2">
      <c r="A31">
        <f>'Temporada 2026'!B40</f>
        <v>2</v>
      </c>
      <c r="B31" t="str">
        <f>'Temporada 2026'!C40</f>
        <v>Ferrari</v>
      </c>
      <c r="C31">
        <f>'Temporada 2026'!J40</f>
        <v>27</v>
      </c>
      <c r="D31">
        <f>Tabela2[[#This Row],[AUS]]+'Temporada 2026'!K40</f>
        <v>67</v>
      </c>
      <c r="E31">
        <f>Tabela2[[#This Row],[CHI]]+'Temporada 2026'!L40</f>
        <v>90</v>
      </c>
      <c r="F31">
        <f>Tabela2[[#This Row],[JAP]]+'Temporada 2026'!M40</f>
        <v>117</v>
      </c>
      <c r="G31">
        <f>Tabela2[[#This Row],[BAH]]+'Temporada 2026'!N40</f>
        <v>117</v>
      </c>
      <c r="H31">
        <f>Tabela2[[#This Row],[SAU]]+'Temporada 2026'!O40</f>
        <v>137</v>
      </c>
      <c r="I31">
        <f>Tabela2[[#This Row],[MIA]]+'Temporada 2026'!P40</f>
        <v>167</v>
      </c>
      <c r="J31">
        <f>Tabela2[[#This Row],[CAN]]+'Temporada 2026'!Q40</f>
        <v>185</v>
      </c>
      <c r="K31">
        <f>Tabela2[[#This Row],[MON]]+'Temporada 2026'!R40</f>
        <v>210</v>
      </c>
      <c r="L31">
        <f>Tabela2[[#This Row],[ESP]]+'Temporada 2026'!S40</f>
        <v>224</v>
      </c>
      <c r="M31">
        <f>Tabela2[[#This Row],[AUT]]+'Temporada 2026'!T40</f>
        <v>275</v>
      </c>
      <c r="N31">
        <f>Tabela2[[#This Row],[ING]]+'Temporada 2026'!U40</f>
        <v>305</v>
      </c>
      <c r="O31">
        <f>Tabela2[[#This Row],[BEL]]+'Temporada 2026'!V40</f>
        <v>327</v>
      </c>
      <c r="P31">
        <f>Tabela2[[#This Row],[HUN]]+'Temporada 2026'!W40</f>
        <v>358</v>
      </c>
      <c r="Q31">
        <f>Tabela2[[#This Row],[HOL]]+'Temporada 2026'!X40</f>
        <v>366</v>
      </c>
      <c r="R31">
        <f>Tabela2[[#This Row],[MAD]]+'Temporada 2026'!Y40</f>
        <v>378</v>
      </c>
      <c r="S31">
        <f>Tabela2[[#This Row],[ITA]]+'Temporada 2026'!Z40</f>
        <v>398</v>
      </c>
      <c r="T31">
        <f>Tabela2[[#This Row],[AZE]]+'Temporada 2026'!AA40</f>
        <v>437</v>
      </c>
      <c r="U31">
        <f>Tabela2[[#This Row],[SIN]]+'Temporada 2026'!AB40</f>
        <v>437</v>
      </c>
      <c r="V31">
        <f>Tabela2[[#This Row],[USA]]+'Temporada 2026'!AC40</f>
        <v>437</v>
      </c>
      <c r="W31">
        <f>Tabela2[[#This Row],[MEX]]+'Temporada 2026'!AD40</f>
        <v>437</v>
      </c>
      <c r="X31">
        <f>Tabela2[[#This Row],[SÃO]]+'Temporada 2026'!AE40</f>
        <v>437</v>
      </c>
      <c r="Y31">
        <f>Tabela2[[#This Row],[VEG]]+'Temporada 2026'!AF40</f>
        <v>437</v>
      </c>
      <c r="Z31">
        <f>Tabela2[[#This Row],[QAT]]+'Temporada 2026'!AG40</f>
        <v>437</v>
      </c>
    </row>
    <row r="32" spans="1:26" x14ac:dyDescent="0.2">
      <c r="A32">
        <f>'Temporada 2026'!B41</f>
        <v>3</v>
      </c>
      <c r="B32" t="str">
        <f>'Temporada 2026'!C41</f>
        <v>McLaren</v>
      </c>
      <c r="C32">
        <f>'Temporada 2026'!J41</f>
        <v>10</v>
      </c>
      <c r="D32">
        <f>Tabela2[[#This Row],[AUS]]+'Temporada 2026'!K41</f>
        <v>18</v>
      </c>
      <c r="E32">
        <f>Tabela2[[#This Row],[CHI]]+'Temporada 2026'!L41</f>
        <v>46</v>
      </c>
      <c r="F32">
        <f>Tabela2[[#This Row],[JAP]]+'Temporada 2026'!M41</f>
        <v>56</v>
      </c>
      <c r="G32">
        <f>Tabela2[[#This Row],[BAH]]+'Temporada 2026'!N41</f>
        <v>56</v>
      </c>
      <c r="H32">
        <f>Tabela2[[#This Row],[SAU]]+'Temporada 2026'!O41</f>
        <v>104</v>
      </c>
      <c r="I32">
        <f>Tabela2[[#This Row],[MIA]]+'Temporada 2026'!P41</f>
        <v>104</v>
      </c>
      <c r="J32">
        <f>Tabela2[[#This Row],[CAN]]+'Temporada 2026'!Q41</f>
        <v>116</v>
      </c>
      <c r="K32">
        <f>Tabela2[[#This Row],[MON]]+'Temporada 2026'!R41</f>
        <v>141</v>
      </c>
      <c r="L32">
        <f>Tabela2[[#This Row],[ESP]]+'Temporada 2026'!S41</f>
        <v>159</v>
      </c>
      <c r="M32">
        <f>Tabela2[[#This Row],[AUT]]+'Temporada 2026'!T41</f>
        <v>179</v>
      </c>
      <c r="N32">
        <f>Tabela2[[#This Row],[ING]]+'Temporada 2026'!U41</f>
        <v>195</v>
      </c>
      <c r="O32">
        <f>Tabela2[[#This Row],[BEL]]+'Temporada 2026'!V41</f>
        <v>220</v>
      </c>
      <c r="P32">
        <f>Tabela2[[#This Row],[HUN]]+'Temporada 2026'!W41</f>
        <v>263</v>
      </c>
      <c r="Q32">
        <f>Tabela2[[#This Row],[HOL]]+'Temporada 2026'!X41</f>
        <v>285</v>
      </c>
      <c r="R32">
        <f>Tabela2[[#This Row],[MAD]]+'Temporada 2026'!Y41</f>
        <v>304</v>
      </c>
      <c r="S32">
        <f>Tabela2[[#This Row],[ITA]]+'Temporada 2026'!Z41</f>
        <v>304</v>
      </c>
      <c r="T32">
        <f>Tabela2[[#This Row],[AZE]]+'Temporada 2026'!AA41</f>
        <v>327</v>
      </c>
      <c r="U32">
        <f>Tabela2[[#This Row],[SIN]]+'Temporada 2026'!AB41</f>
        <v>327</v>
      </c>
      <c r="V32">
        <f>Tabela2[[#This Row],[USA]]+'Temporada 2026'!AC41</f>
        <v>327</v>
      </c>
      <c r="W32">
        <f>Tabela2[[#This Row],[MEX]]+'Temporada 2026'!AD41</f>
        <v>327</v>
      </c>
      <c r="X32">
        <f>Tabela2[[#This Row],[SÃO]]+'Temporada 2026'!AE41</f>
        <v>327</v>
      </c>
      <c r="Y32">
        <f>Tabela2[[#This Row],[VEG]]+'Temporada 2026'!AF41</f>
        <v>327</v>
      </c>
      <c r="Z32">
        <f>Tabela2[[#This Row],[QAT]]+'Temporada 2026'!AG41</f>
        <v>327</v>
      </c>
    </row>
    <row r="33" spans="1:26" x14ac:dyDescent="0.2">
      <c r="A33">
        <f>'Temporada 2026'!B42</f>
        <v>4</v>
      </c>
      <c r="B33" t="str">
        <f>'Temporada 2026'!C42</f>
        <v>Red Bull</v>
      </c>
      <c r="C33">
        <f>'Temporada 2026'!J42</f>
        <v>8</v>
      </c>
      <c r="D33">
        <f>Tabela2[[#This Row],[AUS]]+'Temporada 2026'!K42</f>
        <v>12</v>
      </c>
      <c r="E33">
        <f>Tabela2[[#This Row],[CHI]]+'Temporada 2026'!L42</f>
        <v>16</v>
      </c>
      <c r="F33">
        <f>Tabela2[[#This Row],[JAP]]+'Temporada 2026'!M42</f>
        <v>51</v>
      </c>
      <c r="G33">
        <f>Tabela2[[#This Row],[BAH]]+'Temporada 2026'!N42</f>
        <v>51</v>
      </c>
      <c r="H33">
        <f>Tabela2[[#This Row],[SAU]]+'Temporada 2026'!O42</f>
        <v>65</v>
      </c>
      <c r="I33">
        <f>Tabela2[[#This Row],[MIA]]+'Temporada 2026'!P42</f>
        <v>90</v>
      </c>
      <c r="J33">
        <f>Tabela2[[#This Row],[CAN]]+'Temporada 2026'!Q42</f>
        <v>105</v>
      </c>
      <c r="K33">
        <f>Tabela2[[#This Row],[MON]]+'Temporada 2026'!R42</f>
        <v>125</v>
      </c>
      <c r="L33">
        <f>Tabela2[[#This Row],[ESP]]+'Temporada 2026'!S42</f>
        <v>151</v>
      </c>
      <c r="M33">
        <f>Tabela2[[#This Row],[AUT]]+'Temporada 2026'!T42</f>
        <v>164</v>
      </c>
      <c r="N33">
        <f>Tabela2[[#This Row],[ING]]+'Temporada 2026'!U42</f>
        <v>187</v>
      </c>
      <c r="O33">
        <f>Tabela2[[#This Row],[BEL]]+'Temporada 2026'!V42</f>
        <v>213</v>
      </c>
      <c r="P33">
        <f>Tabela2[[#This Row],[HUN]]+'Temporada 2026'!W42</f>
        <v>216</v>
      </c>
      <c r="Q33">
        <f>Tabela2[[#This Row],[HOL]]+'Temporada 2026'!X42</f>
        <v>231</v>
      </c>
      <c r="R33">
        <f>Tabela2[[#This Row],[MAD]]+'Temporada 2026'!Y42</f>
        <v>249</v>
      </c>
      <c r="S33">
        <f>Tabela2[[#This Row],[ITA]]+'Temporada 2026'!Z42</f>
        <v>282</v>
      </c>
      <c r="T33">
        <f>Tabela2[[#This Row],[AZE]]+'Temporada 2026'!AA42</f>
        <v>316</v>
      </c>
      <c r="U33">
        <f>Tabela2[[#This Row],[SIN]]+'Temporada 2026'!AB42</f>
        <v>316</v>
      </c>
      <c r="V33">
        <f>Tabela2[[#This Row],[USA]]+'Temporada 2026'!AC42</f>
        <v>316</v>
      </c>
      <c r="W33">
        <f>Tabela2[[#This Row],[MEX]]+'Temporada 2026'!AD42</f>
        <v>316</v>
      </c>
      <c r="X33">
        <f>Tabela2[[#This Row],[SÃO]]+'Temporada 2026'!AE42</f>
        <v>316</v>
      </c>
      <c r="Y33">
        <f>Tabela2[[#This Row],[VEG]]+'Temporada 2026'!AF42</f>
        <v>316</v>
      </c>
      <c r="Z33">
        <f>Tabela2[[#This Row],[QAT]]+'Temporada 2026'!AG42</f>
        <v>316</v>
      </c>
    </row>
    <row r="34" spans="1:26" x14ac:dyDescent="0.2">
      <c r="A34">
        <f>'Temporada 2026'!B43</f>
        <v>5</v>
      </c>
      <c r="B34" t="str">
        <f>'Temporada 2026'!C43</f>
        <v>Racing Bulls</v>
      </c>
      <c r="C34">
        <f>'Temporada 2026'!J43</f>
        <v>4</v>
      </c>
      <c r="D34">
        <f>Tabela2[[#This Row],[AUS]]+'Temporada 2026'!K43</f>
        <v>12</v>
      </c>
      <c r="E34">
        <f>Tabela2[[#This Row],[CHI]]+'Temporada 2026'!L43</f>
        <v>14</v>
      </c>
      <c r="F34">
        <f>Tabela2[[#This Row],[JAP]]+'Temporada 2026'!M43</f>
        <v>21</v>
      </c>
      <c r="G34">
        <f>Tabela2[[#This Row],[BAH]]+'Temporada 2026'!N43</f>
        <v>21</v>
      </c>
      <c r="H34">
        <f>Tabela2[[#This Row],[SAU]]+'Temporada 2026'!O43</f>
        <v>21</v>
      </c>
      <c r="I34">
        <f>Tabela2[[#This Row],[MIA]]+'Temporada 2026'!P43</f>
        <v>27</v>
      </c>
      <c r="J34">
        <f>Tabela2[[#This Row],[CAN]]+'Temporada 2026'!Q43</f>
        <v>45</v>
      </c>
      <c r="K34">
        <f>Tabela2[[#This Row],[MON]]+'Temporada 2026'!R43</f>
        <v>51</v>
      </c>
      <c r="L34">
        <f>Tabela2[[#This Row],[ESP]]+'Temporada 2026'!S43</f>
        <v>54</v>
      </c>
      <c r="M34">
        <f>Tabela2[[#This Row],[AUT]]+'Temporada 2026'!T43</f>
        <v>69</v>
      </c>
      <c r="N34">
        <f>Tabela2[[#This Row],[ING]]+'Temporada 2026'!U43</f>
        <v>71</v>
      </c>
      <c r="O34">
        <f>Tabela2[[#This Row],[BEL]]+'Temporada 2026'!V43</f>
        <v>76</v>
      </c>
      <c r="P34">
        <f>Tabela2[[#This Row],[HUN]]+'Temporada 2026'!W43</f>
        <v>82</v>
      </c>
      <c r="Q34">
        <f>Tabela2[[#This Row],[HOL]]+'Temporada 2026'!X43</f>
        <v>87</v>
      </c>
      <c r="R34">
        <f>Tabela2[[#This Row],[MAD]]+'Temporada 2026'!Y43</f>
        <v>97</v>
      </c>
      <c r="S34">
        <f>Tabela2[[#This Row],[ITA]]+'Temporada 2026'!Z43</f>
        <v>103</v>
      </c>
      <c r="T34">
        <f>Tabela2[[#This Row],[AZE]]+'Temporada 2026'!AA43</f>
        <v>113</v>
      </c>
      <c r="U34">
        <f>Tabela2[[#This Row],[SIN]]+'Temporada 2026'!AB43</f>
        <v>113</v>
      </c>
      <c r="V34">
        <f>Tabela2[[#This Row],[USA]]+'Temporada 2026'!AC43</f>
        <v>113</v>
      </c>
      <c r="W34">
        <f>Tabela2[[#This Row],[MEX]]+'Temporada 2026'!AD43</f>
        <v>113</v>
      </c>
      <c r="X34">
        <f>Tabela2[[#This Row],[SÃO]]+'Temporada 2026'!AE43</f>
        <v>113</v>
      </c>
      <c r="Y34">
        <f>Tabela2[[#This Row],[VEG]]+'Temporada 2026'!AF43</f>
        <v>113</v>
      </c>
      <c r="Z34">
        <f>Tabela2[[#This Row],[QAT]]+'Temporada 2026'!AG43</f>
        <v>113</v>
      </c>
    </row>
    <row r="35" spans="1:26" x14ac:dyDescent="0.2">
      <c r="A35">
        <f>'Temporada 2026'!B44</f>
        <v>6</v>
      </c>
      <c r="B35" t="str">
        <f>'Temporada 2026'!C44</f>
        <v>Alpine</v>
      </c>
      <c r="C35">
        <f>'Temporada 2026'!J44</f>
        <v>1</v>
      </c>
      <c r="D35">
        <f>Tabela2[[#This Row],[AUS]]+'Temporada 2026'!K44</f>
        <v>10</v>
      </c>
      <c r="E35">
        <f>Tabela2[[#This Row],[CHI]]+'Temporada 2026'!L44</f>
        <v>16</v>
      </c>
      <c r="F35">
        <f>Tabela2[[#This Row],[JAP]]+'Temporada 2026'!M44</f>
        <v>16</v>
      </c>
      <c r="G35">
        <f>Tabela2[[#This Row],[BAH]]+'Temporada 2026'!N44</f>
        <v>16</v>
      </c>
      <c r="H35">
        <f>Tabela2[[#This Row],[SAU]]+'Temporada 2026'!O44</f>
        <v>23</v>
      </c>
      <c r="I35">
        <f>Tabela2[[#This Row],[MIA]]+'Temporada 2026'!P44</f>
        <v>35</v>
      </c>
      <c r="J35">
        <f>Tabela2[[#This Row],[CAN]]+'Temporada 2026'!Q44</f>
        <v>41</v>
      </c>
      <c r="K35">
        <f>Tabela2[[#This Row],[MON]]+'Temporada 2026'!R44</f>
        <v>48</v>
      </c>
      <c r="L35">
        <f>Tabela2[[#This Row],[ESP]]+'Temporada 2026'!S44</f>
        <v>48</v>
      </c>
      <c r="M35">
        <f>Tabela2[[#This Row],[AUT]]+'Temporada 2026'!T44</f>
        <v>51</v>
      </c>
      <c r="N35">
        <f>Tabela2[[#This Row],[ING]]+'Temporada 2026'!U44</f>
        <v>52</v>
      </c>
      <c r="O35">
        <f>Tabela2[[#This Row],[BEL]]+'Temporada 2026'!V44</f>
        <v>52</v>
      </c>
      <c r="P35">
        <f>Tabela2[[#This Row],[HUN]]+'Temporada 2026'!W44</f>
        <v>54</v>
      </c>
      <c r="Q35">
        <f>Tabela2[[#This Row],[HOL]]+'Temporada 2026'!X44</f>
        <v>62</v>
      </c>
      <c r="R35">
        <f>Tabela2[[#This Row],[MAD]]+'Temporada 2026'!Y44</f>
        <v>68</v>
      </c>
      <c r="S35">
        <f>Tabela2[[#This Row],[ITA]]+'Temporada 2026'!Z44</f>
        <v>68</v>
      </c>
      <c r="T35">
        <f>Tabela2[[#This Row],[AZE]]+'Temporada 2026'!AA44</f>
        <v>68</v>
      </c>
      <c r="U35">
        <f>Tabela2[[#This Row],[SIN]]+'Temporada 2026'!AB44</f>
        <v>68</v>
      </c>
      <c r="V35">
        <f>Tabela2[[#This Row],[USA]]+'Temporada 2026'!AC44</f>
        <v>68</v>
      </c>
      <c r="W35">
        <f>Tabela2[[#This Row],[MEX]]+'Temporada 2026'!AD44</f>
        <v>68</v>
      </c>
      <c r="X35">
        <f>Tabela2[[#This Row],[SÃO]]+'Temporada 2026'!AE44</f>
        <v>68</v>
      </c>
      <c r="Y35">
        <f>Tabela2[[#This Row],[VEG]]+'Temporada 2026'!AF44</f>
        <v>68</v>
      </c>
      <c r="Z35">
        <f>Tabela2[[#This Row],[QAT]]+'Temporada 2026'!AG44</f>
        <v>68</v>
      </c>
    </row>
    <row r="36" spans="1:26" x14ac:dyDescent="0.2">
      <c r="A36">
        <f>'Temporada 2026'!B45</f>
        <v>7</v>
      </c>
      <c r="B36" t="str">
        <f>'Temporada 2026'!C45</f>
        <v>Haas</v>
      </c>
      <c r="C36">
        <f>'Temporada 2026'!J45</f>
        <v>6</v>
      </c>
      <c r="D36">
        <f>Tabela2[[#This Row],[AUS]]+'Temporada 2026'!K45</f>
        <v>17</v>
      </c>
      <c r="E36">
        <f>Tabela2[[#This Row],[CHI]]+'Temporada 2026'!L45</f>
        <v>18</v>
      </c>
      <c r="F36">
        <f>Tabela2[[#This Row],[JAP]]+'Temporada 2026'!M45</f>
        <v>18</v>
      </c>
      <c r="G36">
        <f>Tabela2[[#This Row],[BAH]]+'Temporada 2026'!N45</f>
        <v>18</v>
      </c>
      <c r="H36">
        <f>Tabela2[[#This Row],[SAU]]+'Temporada 2026'!O45</f>
        <v>18</v>
      </c>
      <c r="I36">
        <f>Tabela2[[#This Row],[MIA]]+'Temporada 2026'!P45</f>
        <v>19</v>
      </c>
      <c r="J36">
        <f>Tabela2[[#This Row],[CAN]]+'Temporada 2026'!Q45</f>
        <v>21</v>
      </c>
      <c r="K36">
        <f>Tabela2[[#This Row],[MON]]+'Temporada 2026'!R45</f>
        <v>21</v>
      </c>
      <c r="L36">
        <f>Tabela2[[#This Row],[ESP]]+'Temporada 2026'!S45</f>
        <v>21</v>
      </c>
      <c r="M36">
        <f>Tabela2[[#This Row],[AUT]]+'Temporada 2026'!T45</f>
        <v>21</v>
      </c>
      <c r="N36">
        <f>Tabela2[[#This Row],[ING]]+'Temporada 2026'!U45</f>
        <v>21</v>
      </c>
      <c r="O36">
        <f>Tabela2[[#This Row],[BEL]]+'Temporada 2026'!V45</f>
        <v>21</v>
      </c>
      <c r="P36">
        <f>Tabela2[[#This Row],[HUN]]+'Temporada 2026'!W45</f>
        <v>21</v>
      </c>
      <c r="Q36">
        <f>Tabela2[[#This Row],[HOL]]+'Temporada 2026'!X45</f>
        <v>21</v>
      </c>
      <c r="R36">
        <f>Tabela2[[#This Row],[MAD]]+'Temporada 2026'!Y45</f>
        <v>21</v>
      </c>
      <c r="S36">
        <f>Tabela2[[#This Row],[ITA]]+'Temporada 2026'!Z45</f>
        <v>27</v>
      </c>
      <c r="T36">
        <f>Tabela2[[#This Row],[AZE]]+'Temporada 2026'!AA45</f>
        <v>30</v>
      </c>
      <c r="U36">
        <f>Tabela2[[#This Row],[SIN]]+'Temporada 2026'!AB45</f>
        <v>30</v>
      </c>
      <c r="V36">
        <f>Tabela2[[#This Row],[USA]]+'Temporada 2026'!AC45</f>
        <v>30</v>
      </c>
      <c r="W36">
        <f>Tabela2[[#This Row],[MEX]]+'Temporada 2026'!AD45</f>
        <v>30</v>
      </c>
      <c r="X36">
        <f>Tabela2[[#This Row],[SÃO]]+'Temporada 2026'!AE45</f>
        <v>30</v>
      </c>
      <c r="Y36">
        <f>Tabela2[[#This Row],[VEG]]+'Temporada 2026'!AF45</f>
        <v>30</v>
      </c>
      <c r="Z36">
        <f>Tabela2[[#This Row],[QAT]]+'Temporada 2026'!AG45</f>
        <v>30</v>
      </c>
    </row>
    <row r="37" spans="1:26" x14ac:dyDescent="0.2">
      <c r="A37">
        <f>'Temporada 2026'!B46</f>
        <v>8</v>
      </c>
      <c r="B37" t="str">
        <f>'Temporada 2026'!C46</f>
        <v>Audi</v>
      </c>
      <c r="C37">
        <f>'Temporada 2026'!J46</f>
        <v>2</v>
      </c>
      <c r="D37">
        <f>Tabela2[[#This Row],[AUS]]+'Temporada 2026'!K46</f>
        <v>2</v>
      </c>
      <c r="E37">
        <f>Tabela2[[#This Row],[CHI]]+'Temporada 2026'!L46</f>
        <v>2</v>
      </c>
      <c r="F37">
        <f>Tabela2[[#This Row],[JAP]]+'Temporada 2026'!M46</f>
        <v>2</v>
      </c>
      <c r="G37">
        <f>Tabela2[[#This Row],[BAH]]+'Temporada 2026'!N46</f>
        <v>2</v>
      </c>
      <c r="H37">
        <f>Tabela2[[#This Row],[SAU]]+'Temporada 2026'!O46</f>
        <v>2</v>
      </c>
      <c r="I37">
        <f>Tabela2[[#This Row],[MIA]]+'Temporada 2026'!P46</f>
        <v>2</v>
      </c>
      <c r="J37">
        <f>Tabela2[[#This Row],[CAN]]+'Temporada 2026'!Q46</f>
        <v>2</v>
      </c>
      <c r="K37">
        <f>Tabela2[[#This Row],[MON]]+'Temporada 2026'!R46</f>
        <v>2</v>
      </c>
      <c r="L37">
        <f>Tabela2[[#This Row],[ESP]]+'Temporada 2026'!S46</f>
        <v>2</v>
      </c>
      <c r="M37">
        <f>Tabela2[[#This Row],[AUT]]+'Temporada 2026'!T46</f>
        <v>6</v>
      </c>
      <c r="N37">
        <f>Tabela2[[#This Row],[ING]]+'Temporada 2026'!U46</f>
        <v>10</v>
      </c>
      <c r="O37">
        <f>Tabela2[[#This Row],[BEL]]+'Temporada 2026'!V46</f>
        <v>12</v>
      </c>
      <c r="P37">
        <f>Tabela2[[#This Row],[HUN]]+'Temporada 2026'!W46</f>
        <v>16</v>
      </c>
      <c r="Q37">
        <f>Tabela2[[#This Row],[HOL]]+'Temporada 2026'!X46</f>
        <v>16</v>
      </c>
      <c r="R37">
        <f>Tabela2[[#This Row],[MAD]]+'Temporada 2026'!Y46</f>
        <v>17</v>
      </c>
      <c r="S37">
        <f>Tabela2[[#This Row],[ITA]]+'Temporada 2026'!Z46</f>
        <v>17</v>
      </c>
      <c r="T37">
        <f>Tabela2[[#This Row],[AZE]]+'Temporada 2026'!AA46</f>
        <v>23</v>
      </c>
      <c r="U37">
        <f>Tabela2[[#This Row],[SIN]]+'Temporada 2026'!AB46</f>
        <v>23</v>
      </c>
      <c r="V37">
        <f>Tabela2[[#This Row],[USA]]+'Temporada 2026'!AC46</f>
        <v>23</v>
      </c>
      <c r="W37">
        <f>Tabela2[[#This Row],[MEX]]+'Temporada 2026'!AD46</f>
        <v>23</v>
      </c>
      <c r="X37">
        <f>Tabela2[[#This Row],[SÃO]]+'Temporada 2026'!AE46</f>
        <v>23</v>
      </c>
      <c r="Y37">
        <f>Tabela2[[#This Row],[VEG]]+'Temporada 2026'!AF46</f>
        <v>23</v>
      </c>
      <c r="Z37">
        <f>Tabela2[[#This Row],[QAT]]+'Temporada 2026'!AG46</f>
        <v>23</v>
      </c>
    </row>
    <row r="38" spans="1:26" x14ac:dyDescent="0.2">
      <c r="A38">
        <f>'Temporada 2026'!B47</f>
        <v>9</v>
      </c>
      <c r="B38" t="str">
        <f>'Temporada 2026'!C47</f>
        <v>Williams</v>
      </c>
      <c r="C38">
        <f>'Temporada 2026'!J47</f>
        <v>0</v>
      </c>
      <c r="D38">
        <f>Tabela2[[#This Row],[AUS]]+'Temporada 2026'!K47</f>
        <v>2</v>
      </c>
      <c r="E38">
        <f>Tabela2[[#This Row],[CHI]]+'Temporada 2026'!L47</f>
        <v>2</v>
      </c>
      <c r="F38">
        <f>Tabela2[[#This Row],[JAP]]+'Temporada 2026'!M47</f>
        <v>2</v>
      </c>
      <c r="G38">
        <f>Tabela2[[#This Row],[BAH]]+'Temporada 2026'!N47</f>
        <v>2</v>
      </c>
      <c r="H38">
        <f>Tabela2[[#This Row],[SAU]]+'Temporada 2026'!O47</f>
        <v>5</v>
      </c>
      <c r="I38">
        <f>Tabela2[[#This Row],[MIA]]+'Temporada 2026'!P47</f>
        <v>7</v>
      </c>
      <c r="J38">
        <f>Tabela2[[#This Row],[CAN]]+'Temporada 2026'!Q47</f>
        <v>11</v>
      </c>
      <c r="K38">
        <f>Tabela2[[#This Row],[MON]]+'Temporada 2026'!R47</f>
        <v>11</v>
      </c>
      <c r="L38">
        <f>Tabela2[[#This Row],[ESP]]+'Temporada 2026'!S47</f>
        <v>11</v>
      </c>
      <c r="M38">
        <f>Tabela2[[#This Row],[AUT]]+'Temporada 2026'!T47</f>
        <v>11</v>
      </c>
      <c r="N38">
        <f>Tabela2[[#This Row],[ING]]+'Temporada 2026'!U47</f>
        <v>11</v>
      </c>
      <c r="O38">
        <f>Tabela2[[#This Row],[BEL]]+'Temporada 2026'!V47</f>
        <v>11</v>
      </c>
      <c r="P38">
        <f>Tabela2[[#This Row],[HUN]]+'Temporada 2026'!W47</f>
        <v>11</v>
      </c>
      <c r="Q38">
        <f>Tabela2[[#This Row],[HOL]]+'Temporada 2026'!X47</f>
        <v>11</v>
      </c>
      <c r="R38">
        <f>Tabela2[[#This Row],[MAD]]+'Temporada 2026'!Y47</f>
        <v>11</v>
      </c>
      <c r="S38">
        <f>Tabela2[[#This Row],[ITA]]+'Temporada 2026'!Z47</f>
        <v>12</v>
      </c>
      <c r="T38">
        <f>Tabela2[[#This Row],[AZE]]+'Temporada 2026'!AA47</f>
        <v>12</v>
      </c>
      <c r="U38">
        <f>Tabela2[[#This Row],[SIN]]+'Temporada 2026'!AB47</f>
        <v>12</v>
      </c>
      <c r="V38">
        <f>Tabela2[[#This Row],[USA]]+'Temporada 2026'!AC47</f>
        <v>12</v>
      </c>
      <c r="W38">
        <f>Tabela2[[#This Row],[MEX]]+'Temporada 2026'!AD47</f>
        <v>12</v>
      </c>
      <c r="X38">
        <f>Tabela2[[#This Row],[SÃO]]+'Temporada 2026'!AE47</f>
        <v>12</v>
      </c>
      <c r="Y38">
        <f>Tabela2[[#This Row],[VEG]]+'Temporada 2026'!AF47</f>
        <v>12</v>
      </c>
      <c r="Z38">
        <f>Tabela2[[#This Row],[QAT]]+'Temporada 2026'!AG47</f>
        <v>12</v>
      </c>
    </row>
    <row r="39" spans="1:26" x14ac:dyDescent="0.2">
      <c r="A39">
        <f>'Temporada 2026'!B48</f>
        <v>10</v>
      </c>
      <c r="B39" t="str">
        <f>'Temporada 2026'!C48</f>
        <v>Aston Martin</v>
      </c>
      <c r="C39">
        <f>'Temporada 2026'!J48</f>
        <v>0</v>
      </c>
      <c r="D39">
        <f>Tabela2[[#This Row],[AUS]]+'Temporada 2026'!K48</f>
        <v>0</v>
      </c>
      <c r="E39">
        <f>Tabela2[[#This Row],[CHI]]+'Temporada 2026'!L48</f>
        <v>0</v>
      </c>
      <c r="F39">
        <f>Tabela2[[#This Row],[JAP]]+'Temporada 2026'!M48</f>
        <v>4</v>
      </c>
      <c r="G39">
        <f>Tabela2[[#This Row],[BAH]]+'Temporada 2026'!N48</f>
        <v>4</v>
      </c>
      <c r="H39">
        <f>Tabela2[[#This Row],[SAU]]+'Temporada 2026'!O48</f>
        <v>4</v>
      </c>
      <c r="I39">
        <f>Tabela2[[#This Row],[MIA]]+'Temporada 2026'!P48</f>
        <v>4</v>
      </c>
      <c r="J39">
        <f>Tabela2[[#This Row],[CAN]]+'Temporada 2026'!Q48</f>
        <v>5</v>
      </c>
      <c r="K39">
        <f>Tabela2[[#This Row],[MON]]+'Temporada 2026'!R48</f>
        <v>5</v>
      </c>
      <c r="L39">
        <f>Tabela2[[#This Row],[ESP]]+'Temporada 2026'!S48</f>
        <v>5</v>
      </c>
      <c r="M39">
        <f>Tabela2[[#This Row],[AUT]]+'Temporada 2026'!T48</f>
        <v>5</v>
      </c>
      <c r="N39">
        <f>Tabela2[[#This Row],[ING]]+'Temporada 2026'!U48</f>
        <v>5</v>
      </c>
      <c r="O39">
        <f>Tabela2[[#This Row],[BEL]]+'Temporada 2026'!V48</f>
        <v>5</v>
      </c>
      <c r="P39">
        <f>Tabela2[[#This Row],[HUN]]+'Temporada 2026'!W48</f>
        <v>7</v>
      </c>
      <c r="Q39">
        <f>Tabela2[[#This Row],[HOL]]+'Temporada 2026'!X48</f>
        <v>7</v>
      </c>
      <c r="R39">
        <f>Tabela2[[#This Row],[MAD]]+'Temporada 2026'!Y48</f>
        <v>7</v>
      </c>
      <c r="S39">
        <f>Tabela2[[#This Row],[ITA]]+'Temporada 2026'!Z48</f>
        <v>7</v>
      </c>
      <c r="T39">
        <f>Tabela2[[#This Row],[AZE]]+'Temporada 2026'!AA48</f>
        <v>7</v>
      </c>
      <c r="U39">
        <f>Tabela2[[#This Row],[SIN]]+'Temporada 2026'!AB48</f>
        <v>7</v>
      </c>
      <c r="V39">
        <f>Tabela2[[#This Row],[USA]]+'Temporada 2026'!AC48</f>
        <v>7</v>
      </c>
      <c r="W39">
        <f>Tabela2[[#This Row],[MEX]]+'Temporada 2026'!AD48</f>
        <v>7</v>
      </c>
      <c r="X39">
        <f>Tabela2[[#This Row],[SÃO]]+'Temporada 2026'!AE48</f>
        <v>7</v>
      </c>
      <c r="Y39">
        <f>Tabela2[[#This Row],[VEG]]+'Temporada 2026'!AF48</f>
        <v>7</v>
      </c>
      <c r="Z39">
        <f>Tabela2[[#This Row],[QAT]]+'Temporada 2026'!AG48</f>
        <v>7</v>
      </c>
    </row>
    <row r="40" spans="1:26" x14ac:dyDescent="0.2">
      <c r="A40">
        <f>'Temporada 2026'!B49</f>
        <v>11</v>
      </c>
      <c r="B40" t="str">
        <f>'Temporada 2026'!C49</f>
        <v>Cadillac</v>
      </c>
      <c r="C40">
        <f>'Temporada 2026'!J49</f>
        <v>0</v>
      </c>
      <c r="D40">
        <f>Tabela2[[#This Row],[AUS]]+'Temporada 2026'!K49</f>
        <v>0</v>
      </c>
      <c r="E40">
        <f>Tabela2[[#This Row],[CHI]]+'Temporada 2026'!L49</f>
        <v>0</v>
      </c>
      <c r="F40">
        <f>Tabela2[[#This Row],[JAP]]+'Temporada 2026'!M49</f>
        <v>0</v>
      </c>
      <c r="G40">
        <f>Tabela2[[#This Row],[BAH]]+'Temporada 2026'!N49</f>
        <v>0</v>
      </c>
      <c r="H40">
        <f>Tabela2[[#This Row],[SAU]]+'Temporada 2026'!O49</f>
        <v>0</v>
      </c>
      <c r="I40">
        <f>Tabela2[[#This Row],[MIA]]+'Temporada 2026'!P49</f>
        <v>0</v>
      </c>
      <c r="J40">
        <f>Tabela2[[#This Row],[CAN]]+'Temporada 2026'!Q49</f>
        <v>0</v>
      </c>
      <c r="K40">
        <f>Tabela2[[#This Row],[MON]]+'Temporada 2026'!R49</f>
        <v>0</v>
      </c>
      <c r="L40">
        <f>Tabela2[[#This Row],[ESP]]+'Temporada 2026'!S49</f>
        <v>0</v>
      </c>
      <c r="M40">
        <f>Tabela2[[#This Row],[AUT]]+'Temporada 2026'!T49</f>
        <v>0</v>
      </c>
      <c r="N40">
        <f>Tabela2[[#This Row],[ING]]+'Temporada 2026'!U49</f>
        <v>0</v>
      </c>
      <c r="O40">
        <f>Tabela2[[#This Row],[BEL]]+'Temporada 2026'!V49</f>
        <v>0</v>
      </c>
      <c r="P40">
        <f>Tabela2[[#This Row],[HUN]]+'Temporada 2026'!W49</f>
        <v>0</v>
      </c>
      <c r="Q40">
        <f>Tabela2[[#This Row],[HOL]]+'Temporada 2026'!X49</f>
        <v>0</v>
      </c>
      <c r="R40">
        <f>Tabela2[[#This Row],[MAD]]+'Temporada 2026'!Y49</f>
        <v>0</v>
      </c>
      <c r="S40">
        <f>Tabela2[[#This Row],[ITA]]+'Temporada 2026'!Z49</f>
        <v>0</v>
      </c>
      <c r="T40">
        <f>Tabela2[[#This Row],[AZE]]+'Temporada 2026'!AA49</f>
        <v>0</v>
      </c>
      <c r="U40">
        <f>Tabela2[[#This Row],[SIN]]+'Temporada 2026'!AB49</f>
        <v>0</v>
      </c>
      <c r="V40">
        <f>Tabela2[[#This Row],[USA]]+'Temporada 2026'!AC49</f>
        <v>0</v>
      </c>
      <c r="W40">
        <f>Tabela2[[#This Row],[MEX]]+'Temporada 2026'!AD49</f>
        <v>0</v>
      </c>
      <c r="X40">
        <f>Tabela2[[#This Row],[SÃO]]+'Temporada 2026'!AE49</f>
        <v>0</v>
      </c>
      <c r="Y40">
        <f>Tabela2[[#This Row],[VEG]]+'Temporada 2026'!AF49</f>
        <v>0</v>
      </c>
      <c r="Z40">
        <f>Tabela2[[#This Row],[QAT]]+'Temporada 2026'!AG49</f>
        <v>0</v>
      </c>
    </row>
    <row r="41" spans="1:26" x14ac:dyDescent="0.2">
      <c r="A41" t="str">
        <f>'Temporada 2026'!B50</f>
        <v/>
      </c>
      <c r="B41" t="str">
        <f>'Temporada 2026'!C50</f>
        <v/>
      </c>
      <c r="C41" t="str">
        <f>'Temporada 2026'!J50</f>
        <v/>
      </c>
      <c r="D41" t="e">
        <f>Tabela2[[#This Row],[AUS]]+'Temporada 2026'!K50</f>
        <v>#VALUE!</v>
      </c>
      <c r="E41" t="e">
        <f>Tabela2[[#This Row],[CHI]]+'Temporada 2026'!L50</f>
        <v>#VALUE!</v>
      </c>
      <c r="F41" t="e">
        <f>Tabela2[[#This Row],[JAP]]+'Temporada 2026'!M50</f>
        <v>#VALUE!</v>
      </c>
      <c r="G41" t="e">
        <f>Tabela2[[#This Row],[BAH]]+'Temporada 2026'!N50</f>
        <v>#VALUE!</v>
      </c>
      <c r="H41" t="e">
        <f>Tabela2[[#This Row],[SAU]]+'Temporada 2026'!O50</f>
        <v>#VALUE!</v>
      </c>
      <c r="I41" t="e">
        <f>Tabela2[[#This Row],[MIA]]+'Temporada 2026'!P50</f>
        <v>#VALUE!</v>
      </c>
      <c r="J41" t="e">
        <f>Tabela2[[#This Row],[CAN]]+'Temporada 2026'!Q50</f>
        <v>#VALUE!</v>
      </c>
      <c r="K41" t="e">
        <f>Tabela2[[#This Row],[MON]]+'Temporada 2026'!R50</f>
        <v>#VALUE!</v>
      </c>
      <c r="L41" t="e">
        <f>Tabela2[[#This Row],[ESP]]+'Temporada 2026'!S50</f>
        <v>#VALUE!</v>
      </c>
      <c r="M41" t="e">
        <f>Tabela2[[#This Row],[AUT]]+'Temporada 2026'!T50</f>
        <v>#VALUE!</v>
      </c>
      <c r="N41" t="e">
        <f>Tabela2[[#This Row],[ING]]+'Temporada 2026'!U50</f>
        <v>#VALUE!</v>
      </c>
      <c r="O41" t="e">
        <f>Tabela2[[#This Row],[BEL]]+'Temporada 2026'!V50</f>
        <v>#VALUE!</v>
      </c>
      <c r="P41" t="e">
        <f>Tabela2[[#This Row],[HUN]]+'Temporada 2026'!W50</f>
        <v>#VALUE!</v>
      </c>
      <c r="Q41" t="e">
        <f>Tabela2[[#This Row],[HOL]]+'Temporada 2026'!X50</f>
        <v>#VALUE!</v>
      </c>
      <c r="R41" t="e">
        <f>Tabela2[[#This Row],[MAD]]+'Temporada 2026'!Y50</f>
        <v>#VALUE!</v>
      </c>
      <c r="S41" t="e">
        <f>Tabela2[[#This Row],[ITA]]+'Temporada 2026'!Z50</f>
        <v>#VALUE!</v>
      </c>
      <c r="T41" t="e">
        <f>Tabela2[[#This Row],[AZE]]+'Temporada 2026'!AA50</f>
        <v>#VALUE!</v>
      </c>
      <c r="U41" t="e">
        <f>Tabela2[[#This Row],[SIN]]+'Temporada 2026'!AB50</f>
        <v>#VALUE!</v>
      </c>
      <c r="V41" t="e">
        <f>Tabela2[[#This Row],[USA]]+'Temporada 2026'!AC50</f>
        <v>#VALUE!</v>
      </c>
      <c r="W41" t="e">
        <f>Tabela2[[#This Row],[MEX]]+'Temporada 2026'!AD50</f>
        <v>#VALUE!</v>
      </c>
      <c r="X41" t="e">
        <f>Tabela2[[#This Row],[SÃO]]+'Temporada 2026'!AE50</f>
        <v>#VALUE!</v>
      </c>
      <c r="Y41" t="e">
        <f>Tabela2[[#This Row],[VEG]]+'Temporada 2026'!AF50</f>
        <v>#VALUE!</v>
      </c>
      <c r="Z41" t="e">
        <f>Tabela2[[#This Row],[QAT]]+'Temporada 2026'!AG50</f>
        <v>#VALUE!</v>
      </c>
    </row>
    <row r="42" spans="1:26" x14ac:dyDescent="0.2">
      <c r="A42" t="str">
        <f>'Temporada 2026'!B51</f>
        <v/>
      </c>
      <c r="B42" t="str">
        <f>'Temporada 2026'!C51</f>
        <v/>
      </c>
      <c r="C42" t="str">
        <f>'Temporada 2026'!J51</f>
        <v/>
      </c>
      <c r="D42" t="e">
        <f>Tabela2[[#This Row],[AUS]]+'Temporada 2026'!K51</f>
        <v>#VALUE!</v>
      </c>
      <c r="E42" t="e">
        <f>Tabela2[[#This Row],[CHI]]+'Temporada 2026'!L51</f>
        <v>#VALUE!</v>
      </c>
      <c r="F42" t="e">
        <f>Tabela2[[#This Row],[JAP]]+'Temporada 2026'!M51</f>
        <v>#VALUE!</v>
      </c>
      <c r="G42" t="e">
        <f>Tabela2[[#This Row],[BAH]]+'Temporada 2026'!N51</f>
        <v>#VALUE!</v>
      </c>
      <c r="H42" t="e">
        <f>Tabela2[[#This Row],[SAU]]+'Temporada 2026'!O51</f>
        <v>#VALUE!</v>
      </c>
      <c r="I42" t="e">
        <f>Tabela2[[#This Row],[MIA]]+'Temporada 2026'!P51</f>
        <v>#VALUE!</v>
      </c>
      <c r="J42" t="e">
        <f>Tabela2[[#This Row],[CAN]]+'Temporada 2026'!Q51</f>
        <v>#VALUE!</v>
      </c>
      <c r="K42" t="e">
        <f>Tabela2[[#This Row],[MON]]+'Temporada 2026'!R51</f>
        <v>#VALUE!</v>
      </c>
      <c r="L42" t="e">
        <f>Tabela2[[#This Row],[ESP]]+'Temporada 2026'!S51</f>
        <v>#VALUE!</v>
      </c>
      <c r="M42" t="e">
        <f>Tabela2[[#This Row],[AUT]]+'Temporada 2026'!T51</f>
        <v>#VALUE!</v>
      </c>
      <c r="N42" t="e">
        <f>Tabela2[[#This Row],[ING]]+'Temporada 2026'!U51</f>
        <v>#VALUE!</v>
      </c>
      <c r="O42" t="e">
        <f>Tabela2[[#This Row],[BEL]]+'Temporada 2026'!V51</f>
        <v>#VALUE!</v>
      </c>
      <c r="P42" t="e">
        <f>Tabela2[[#This Row],[HUN]]+'Temporada 2026'!W51</f>
        <v>#VALUE!</v>
      </c>
      <c r="Q42" t="e">
        <f>Tabela2[[#This Row],[HOL]]+'Temporada 2026'!X51</f>
        <v>#VALUE!</v>
      </c>
      <c r="R42" t="e">
        <f>Tabela2[[#This Row],[MAD]]+'Temporada 2026'!Y51</f>
        <v>#VALUE!</v>
      </c>
      <c r="S42" t="e">
        <f>Tabela2[[#This Row],[ITA]]+'Temporada 2026'!Z51</f>
        <v>#VALUE!</v>
      </c>
      <c r="T42" t="e">
        <f>Tabela2[[#This Row],[AZE]]+'Temporada 2026'!AA51</f>
        <v>#VALUE!</v>
      </c>
      <c r="U42" t="e">
        <f>Tabela2[[#This Row],[SIN]]+'Temporada 2026'!AB51</f>
        <v>#VALUE!</v>
      </c>
      <c r="V42" t="e">
        <f>Tabela2[[#This Row],[USA]]+'Temporada 2026'!AC51</f>
        <v>#VALUE!</v>
      </c>
      <c r="W42" t="e">
        <f>Tabela2[[#This Row],[MEX]]+'Temporada 2026'!AD51</f>
        <v>#VALUE!</v>
      </c>
      <c r="X42" t="e">
        <f>Tabela2[[#This Row],[SÃO]]+'Temporada 2026'!AE51</f>
        <v>#VALUE!</v>
      </c>
      <c r="Y42" t="e">
        <f>Tabela2[[#This Row],[VEG]]+'Temporada 2026'!AF51</f>
        <v>#VALUE!</v>
      </c>
      <c r="Z42" t="e">
        <f>Tabela2[[#This Row],[QAT]]+'Temporada 2026'!AG51</f>
        <v>#VALUE!</v>
      </c>
    </row>
    <row r="43" spans="1:26" x14ac:dyDescent="0.2">
      <c r="A43">
        <f>'Temporada 2026'!B52</f>
        <v>0</v>
      </c>
      <c r="B43" t="s">
        <v>380</v>
      </c>
      <c r="C43" s="23">
        <f>Tabela2[[#This Row],[ABU]]</f>
        <v>263</v>
      </c>
      <c r="D43" s="23">
        <f>Tabela2[[#This Row],[AUS]]</f>
        <v>263</v>
      </c>
      <c r="E43" s="23">
        <f>Tabela2[[#This Row],[CHI]]</f>
        <v>263</v>
      </c>
      <c r="F43" s="23">
        <f>Tabela2[[#This Row],[JAP]]</f>
        <v>263</v>
      </c>
      <c r="G43" s="23">
        <f>Tabela2[[#This Row],[BAH]]</f>
        <v>263</v>
      </c>
      <c r="H43" s="23">
        <f>Tabela2[[#This Row],[SAU]]</f>
        <v>263</v>
      </c>
      <c r="I43" s="23">
        <f>Tabela2[[#This Row],[MIA]]</f>
        <v>263</v>
      </c>
      <c r="J43" s="23">
        <f>Tabela2[[#This Row],[CAN]]</f>
        <v>263</v>
      </c>
      <c r="K43" s="23">
        <f>Tabela2[[#This Row],[MON]]</f>
        <v>263</v>
      </c>
      <c r="L43" s="23">
        <f>Tabela2[[#This Row],[ESP]]</f>
        <v>263</v>
      </c>
      <c r="M43" s="23">
        <f>Tabela2[[#This Row],[AUT]]</f>
        <v>263</v>
      </c>
      <c r="N43" s="23">
        <f>Tabela2[[#This Row],[ING]]</f>
        <v>263</v>
      </c>
      <c r="O43" s="23">
        <f>Tabela2[[#This Row],[BEL]]</f>
        <v>263</v>
      </c>
      <c r="P43" s="23">
        <f>Tabela2[[#This Row],[HUN]]</f>
        <v>263</v>
      </c>
      <c r="Q43" s="23">
        <f>Tabela2[[#This Row],[HOL]]</f>
        <v>263</v>
      </c>
      <c r="R43" s="23">
        <f>Tabela2[[#This Row],[MAD]]</f>
        <v>263</v>
      </c>
      <c r="S43" s="23">
        <f>Tabela2[[#This Row],[ITA]]</f>
        <v>263</v>
      </c>
      <c r="T43" s="23">
        <f>Tabela2[[#This Row],[AZE]]</f>
        <v>263</v>
      </c>
      <c r="U43" s="23">
        <f>Tabela2[[#This Row],[SIN]]</f>
        <v>263</v>
      </c>
      <c r="V43" s="23">
        <f>Tabela2[[#This Row],[USA]]</f>
        <v>263</v>
      </c>
      <c r="W43" s="23">
        <f>Tabela2[[#This Row],[MEX]]</f>
        <v>263</v>
      </c>
      <c r="X43" s="23">
        <f>Tabela2[[#This Row],[SÃO]]</f>
        <v>263</v>
      </c>
      <c r="Y43" s="23">
        <f>Tabela2[[#This Row],[VEG]]</f>
        <v>263</v>
      </c>
      <c r="Z43">
        <f>IF(Z30-Resultados!$L$35&lt;0,0,Z30-Resultados!$L$35)</f>
        <v>263</v>
      </c>
    </row>
  </sheetData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7F3BE-355D-4B99-9E76-C32066468F3E}">
  <sheetPr>
    <tabColor theme="8" tint="-0.499984740745262"/>
  </sheetPr>
  <dimension ref="A40:A41"/>
  <sheetViews>
    <sheetView showGridLines="0" showRowColHeaders="0" zoomScaleNormal="100" workbookViewId="0">
      <selection activeCell="U1" sqref="U1"/>
    </sheetView>
  </sheetViews>
  <sheetFormatPr defaultRowHeight="12.75" x14ac:dyDescent="0.2"/>
  <cols>
    <col min="1" max="16384" width="9.140625" style="107"/>
  </cols>
  <sheetData>
    <row r="40" ht="12.75" customHeight="1" x14ac:dyDescent="0.2"/>
    <row r="41" ht="12.75" customHeight="1" x14ac:dyDescent="0.2"/>
  </sheetData>
  <sheetProtection algorithmName="SHA-512" hashValue="+2RNTIdleINpMrw4hbhdMm/M15/Sg3Vt6NNgj8XMiYLf8GoCf6ndQj7U0o1IKMvwc4AbHeZeOUi/dDREk6mrQA==" saltValue="aMTzBn33dZInhapKUy3CIQ==" spinCount="100000" sheet="1" selectLockedCells="1" selectUnlockedCells="1"/>
  <pageMargins left="0.2" right="0.38" top="0.984251969" bottom="0.984251969" header="0.5" footer="0.5"/>
  <pageSetup paperSize="9" orientation="landscape" horizontalDpi="300" verticalDpi="300" r:id="rId1"/>
  <headerFooter alignWithMargins="0"/>
  <drawing r:id="rId2"/>
  <extLst>
    <ext xmlns:x15="http://schemas.microsoft.com/office/spreadsheetml/2010/11/main" uri="{3A4CF648-6AED-40f4-86FF-DC5316D8AED3}">
      <x14:slicerList xmlns:x14="http://schemas.microsoft.com/office/spreadsheetml/2009/9/main">
        <x14:slicer r:id="rId3"/>
      </x14:slicerList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4">
    <tabColor theme="8" tint="-0.249977111117893"/>
    <pageSetUpPr fitToPage="1"/>
  </sheetPr>
  <dimension ref="B2:H76"/>
  <sheetViews>
    <sheetView showGridLines="0" showRowColHeaders="0" topLeftCell="A33" workbookViewId="0"/>
  </sheetViews>
  <sheetFormatPr defaultRowHeight="12.75" customHeight="1" x14ac:dyDescent="0.2"/>
  <cols>
    <col min="1" max="1" width="2.42578125" style="95" customWidth="1"/>
    <col min="2" max="2" width="3.7109375" style="95" customWidth="1"/>
    <col min="3" max="3" width="20.140625" style="96" bestFit="1" customWidth="1"/>
    <col min="4" max="4" width="11.7109375" style="97" bestFit="1" customWidth="1"/>
    <col min="5" max="5" width="81.42578125" style="95" bestFit="1" customWidth="1"/>
    <col min="6" max="6" width="22.7109375" style="95" bestFit="1" customWidth="1"/>
    <col min="7" max="7" width="3.28515625" style="95" customWidth="1"/>
    <col min="8" max="8" width="24" style="98" bestFit="1" customWidth="1"/>
    <col min="9" max="16384" width="9.140625" style="95"/>
  </cols>
  <sheetData>
    <row r="2" spans="2:8" ht="14.25" x14ac:dyDescent="0.2">
      <c r="B2" s="163" t="s">
        <v>28</v>
      </c>
      <c r="C2" s="163"/>
      <c r="D2" s="163"/>
      <c r="E2" s="163"/>
      <c r="F2" s="163"/>
      <c r="G2" s="163"/>
      <c r="H2" s="163"/>
    </row>
    <row r="4" spans="2:8" ht="18.75" customHeight="1" x14ac:dyDescent="0.2">
      <c r="B4" s="99" t="s">
        <v>10</v>
      </c>
      <c r="C4" s="100" t="s">
        <v>23</v>
      </c>
      <c r="D4" s="99" t="s">
        <v>255</v>
      </c>
      <c r="E4" s="99" t="s">
        <v>312</v>
      </c>
      <c r="F4" s="99" t="s">
        <v>24</v>
      </c>
      <c r="G4" s="173" t="s">
        <v>27</v>
      </c>
      <c r="H4" s="173"/>
    </row>
    <row r="5" spans="2:8" x14ac:dyDescent="0.2">
      <c r="B5" s="171">
        <v>1</v>
      </c>
      <c r="C5" s="170">
        <f>'Calendário atual'!B2</f>
        <v>46089</v>
      </c>
      <c r="D5" s="167" t="str">
        <f>'Calendário atual'!C2</f>
        <v>Australia</v>
      </c>
      <c r="E5" s="164" t="str">
        <f>'Calendário atual'!D2</f>
        <v>FORMULA 1 QATAR AIRWAYS AUSTRALIAN GRAND PRIX 2026</v>
      </c>
      <c r="F5" s="167" t="str">
        <f>'Calendário atual'!E2</f>
        <v>Albert Park</v>
      </c>
      <c r="G5" s="101">
        <v>1</v>
      </c>
      <c r="H5" s="102" t="str">
        <f>IF(Resultados!C4&lt;&gt;"",Resultados!C4,"")</f>
        <v>George Russell</v>
      </c>
    </row>
    <row r="6" spans="2:8" x14ac:dyDescent="0.2">
      <c r="B6" s="171"/>
      <c r="C6" s="170"/>
      <c r="D6" s="168"/>
      <c r="E6" s="165"/>
      <c r="F6" s="168"/>
      <c r="G6" s="105">
        <v>2</v>
      </c>
      <c r="H6" s="103" t="str">
        <f>IF(Resultados!C5&lt;&gt;"",Resultados!C5,"")</f>
        <v>Kimi Antonelli</v>
      </c>
    </row>
    <row r="7" spans="2:8" x14ac:dyDescent="0.2">
      <c r="B7" s="171"/>
      <c r="C7" s="170"/>
      <c r="D7" s="169"/>
      <c r="E7" s="166"/>
      <c r="F7" s="169"/>
      <c r="G7" s="106">
        <v>3</v>
      </c>
      <c r="H7" s="104" t="str">
        <f>IF(Resultados!C6&lt;&gt;"",Resultados!C6,"")</f>
        <v>Charles Leclerc</v>
      </c>
    </row>
    <row r="8" spans="2:8" ht="12.75" customHeight="1" x14ac:dyDescent="0.2">
      <c r="B8" s="174">
        <v>2</v>
      </c>
      <c r="C8" s="170">
        <f>'Calendário atual'!B3</f>
        <v>46096</v>
      </c>
      <c r="D8" s="169" t="str">
        <f>'Calendário atual'!C3</f>
        <v>China</v>
      </c>
      <c r="E8" s="164" t="str">
        <f>'Calendário atual'!D3</f>
        <v>FORMULA 1 HEINEKEN CHINESE GRAND PRIX 2026</v>
      </c>
      <c r="F8" s="167" t="str">
        <f>'Calendário atual'!E3</f>
        <v>Shanghai International Circuit</v>
      </c>
      <c r="G8" s="101">
        <v>1</v>
      </c>
      <c r="H8" s="102" t="str">
        <f>IF(Resultados!C57&lt;&gt;"",Resultados!C57,"")</f>
        <v>Kimi Antonelli</v>
      </c>
    </row>
    <row r="9" spans="2:8" ht="12.75" customHeight="1" x14ac:dyDescent="0.2">
      <c r="B9" s="171"/>
      <c r="C9" s="170"/>
      <c r="D9" s="172"/>
      <c r="E9" s="165"/>
      <c r="F9" s="168"/>
      <c r="G9" s="105">
        <v>2</v>
      </c>
      <c r="H9" s="103" t="str">
        <f>IF(Resultados!C58&lt;&gt;"",Resultados!C58,"")</f>
        <v>George Russell</v>
      </c>
    </row>
    <row r="10" spans="2:8" ht="12.75" customHeight="1" x14ac:dyDescent="0.2">
      <c r="B10" s="171"/>
      <c r="C10" s="170"/>
      <c r="D10" s="172"/>
      <c r="E10" s="166"/>
      <c r="F10" s="169"/>
      <c r="G10" s="106">
        <v>3</v>
      </c>
      <c r="H10" s="104" t="str">
        <f>IF(Resultados!C59&lt;&gt;"",Resultados!C59,"")</f>
        <v>Lewis Hamilton</v>
      </c>
    </row>
    <row r="11" spans="2:8" ht="12.75" customHeight="1" x14ac:dyDescent="0.2">
      <c r="B11" s="171">
        <v>3</v>
      </c>
      <c r="C11" s="170">
        <f>'Calendário atual'!B4</f>
        <v>46110</v>
      </c>
      <c r="D11" s="172" t="str">
        <f>'Calendário atual'!C4</f>
        <v>Japão</v>
      </c>
      <c r="E11" s="164" t="str">
        <f>'Calendário atual'!D4</f>
        <v>FORMULA 1 ARAMCO JAPANESE GRAND PRIX 2026</v>
      </c>
      <c r="F11" s="167" t="str">
        <f>'Calendário atual'!E4</f>
        <v>Suzuka</v>
      </c>
      <c r="G11" s="101">
        <v>1</v>
      </c>
      <c r="H11" s="102" t="str">
        <f>IF(Resultados!C85&lt;&gt;"",Resultados!C85,"")</f>
        <v>Kimi Antonelli</v>
      </c>
    </row>
    <row r="12" spans="2:8" ht="12.75" customHeight="1" x14ac:dyDescent="0.2">
      <c r="B12" s="171"/>
      <c r="C12" s="170"/>
      <c r="D12" s="172"/>
      <c r="E12" s="165"/>
      <c r="F12" s="168"/>
      <c r="G12" s="105">
        <v>2</v>
      </c>
      <c r="H12" s="103" t="str">
        <f>IF(Resultados!C86&lt;&gt;"",Resultados!C86,"")</f>
        <v>Oscar Piastri</v>
      </c>
    </row>
    <row r="13" spans="2:8" ht="12.75" customHeight="1" x14ac:dyDescent="0.2">
      <c r="B13" s="171"/>
      <c r="C13" s="170"/>
      <c r="D13" s="172"/>
      <c r="E13" s="166"/>
      <c r="F13" s="169"/>
      <c r="G13" s="106">
        <v>3</v>
      </c>
      <c r="H13" s="104" t="str">
        <f>IF(Resultados!C87&lt;&gt;"",Resultados!C87,"")</f>
        <v>Charles Leclerc</v>
      </c>
    </row>
    <row r="14" spans="2:8" ht="12.75" customHeight="1" x14ac:dyDescent="0.2">
      <c r="B14" s="171">
        <v>4</v>
      </c>
      <c r="C14" s="170">
        <f>'Calendário atual'!B5</f>
        <v>46299</v>
      </c>
      <c r="D14" s="172" t="str">
        <f>'Calendário atual'!C5</f>
        <v>Bahrein</v>
      </c>
      <c r="E14" s="164" t="str">
        <f>'Calendário atual'!D5</f>
        <v>FORMULA 1 GULF AIR BAHRAIN GRAND PRIX IN MALAYSIA 2026</v>
      </c>
      <c r="F14" s="167" t="str">
        <f>'Calendário atual'!E5</f>
        <v>Sepang International Circuit</v>
      </c>
      <c r="G14" s="101">
        <v>1</v>
      </c>
      <c r="H14" s="102" t="str">
        <f>IF(Resultados!C113&lt;&gt;"",Resultados!C113,"")</f>
        <v>Max Verstappen</v>
      </c>
    </row>
    <row r="15" spans="2:8" ht="12.75" customHeight="1" x14ac:dyDescent="0.2">
      <c r="B15" s="171"/>
      <c r="C15" s="170"/>
      <c r="D15" s="172"/>
      <c r="E15" s="165"/>
      <c r="F15" s="168"/>
      <c r="G15" s="105">
        <v>2</v>
      </c>
      <c r="H15" s="103" t="str">
        <f>IF(Resultados!C114&lt;&gt;"",Resultados!C114,"")</f>
        <v>Kimi Antonelli</v>
      </c>
    </row>
    <row r="16" spans="2:8" ht="12.75" customHeight="1" x14ac:dyDescent="0.2">
      <c r="B16" s="171"/>
      <c r="C16" s="170"/>
      <c r="D16" s="172"/>
      <c r="E16" s="166"/>
      <c r="F16" s="169"/>
      <c r="G16" s="106">
        <v>3</v>
      </c>
      <c r="H16" s="104" t="str">
        <f>IF(Resultados!C115&lt;&gt;"",Resultados!C115,"")</f>
        <v>Lewis Hamilton</v>
      </c>
    </row>
    <row r="17" spans="2:8" ht="12.75" customHeight="1" x14ac:dyDescent="0.2">
      <c r="B17" s="171">
        <v>5</v>
      </c>
      <c r="C17" s="170">
        <f>'Calendário atual'!B6</f>
        <v>46131</v>
      </c>
      <c r="D17" s="172" t="str">
        <f>'Calendário atual'!C6</f>
        <v>Arabia Saudita</v>
      </c>
      <c r="E17" s="164" t="str">
        <f>'Calendário atual'!D6</f>
        <v>SUSPENSA - FORMULA 1 STC SAUDI ARABIAN GRAND PRIX 2026 - SUSPENSA</v>
      </c>
      <c r="F17" s="167" t="str">
        <f>'Calendário atual'!E6</f>
        <v>Jeddah Corniche Circuit</v>
      </c>
      <c r="G17" s="101">
        <v>1</v>
      </c>
      <c r="H17" s="102" t="str">
        <f>IF(Resultados!C141&lt;&gt;"",Resultados!C141,"")</f>
        <v/>
      </c>
    </row>
    <row r="18" spans="2:8" ht="12.75" customHeight="1" x14ac:dyDescent="0.2">
      <c r="B18" s="171"/>
      <c r="C18" s="170"/>
      <c r="D18" s="172"/>
      <c r="E18" s="165"/>
      <c r="F18" s="168"/>
      <c r="G18" s="105">
        <v>2</v>
      </c>
      <c r="H18" s="103" t="str">
        <f>IF(Resultados!C142&lt;&gt;"",Resultados!C142,"")</f>
        <v/>
      </c>
    </row>
    <row r="19" spans="2:8" ht="12.75" customHeight="1" x14ac:dyDescent="0.2">
      <c r="B19" s="171"/>
      <c r="C19" s="170"/>
      <c r="D19" s="172"/>
      <c r="E19" s="166"/>
      <c r="F19" s="169"/>
      <c r="G19" s="106">
        <v>3</v>
      </c>
      <c r="H19" s="104" t="str">
        <f>IF(Resultados!C143&lt;&gt;"",Resultados!C143,"")</f>
        <v/>
      </c>
    </row>
    <row r="20" spans="2:8" ht="12.75" customHeight="1" x14ac:dyDescent="0.2">
      <c r="B20" s="171">
        <v>6</v>
      </c>
      <c r="C20" s="170">
        <f>'Calendário atual'!B7</f>
        <v>46145</v>
      </c>
      <c r="D20" s="172" t="str">
        <f>'Calendário atual'!C7</f>
        <v>USA</v>
      </c>
      <c r="E20" s="164" t="str">
        <f>'Calendário atual'!D7</f>
        <v>FORMULA 1 CRYPTO.COM MIAMI GRAND PRIX 2026</v>
      </c>
      <c r="F20" s="172" t="str">
        <f>'Calendário atual'!E7</f>
        <v>Miami International Autodrome</v>
      </c>
      <c r="G20" s="101">
        <v>1</v>
      </c>
      <c r="H20" s="102" t="str">
        <f>IF(Resultados!C194&lt;&gt;"",Resultados!C194,"")</f>
        <v>Kimi Antonelli</v>
      </c>
    </row>
    <row r="21" spans="2:8" ht="12.75" customHeight="1" x14ac:dyDescent="0.2">
      <c r="B21" s="171"/>
      <c r="C21" s="170"/>
      <c r="D21" s="172"/>
      <c r="E21" s="165"/>
      <c r="F21" s="172"/>
      <c r="G21" s="105">
        <v>2</v>
      </c>
      <c r="H21" s="103" t="str">
        <f>IF(Resultados!C195&lt;&gt;"",Resultados!C195,"")</f>
        <v>Lando Norris</v>
      </c>
    </row>
    <row r="22" spans="2:8" ht="12.75" customHeight="1" x14ac:dyDescent="0.2">
      <c r="B22" s="171"/>
      <c r="C22" s="170"/>
      <c r="D22" s="172"/>
      <c r="E22" s="166"/>
      <c r="F22" s="172"/>
      <c r="G22" s="106">
        <v>3</v>
      </c>
      <c r="H22" s="104" t="str">
        <f>IF(Resultados!C196&lt;&gt;"",Resultados!C196,"")</f>
        <v>Oscar Piastri</v>
      </c>
    </row>
    <row r="23" spans="2:8" ht="12.75" customHeight="1" x14ac:dyDescent="0.2">
      <c r="B23" s="171">
        <v>7</v>
      </c>
      <c r="C23" s="170">
        <f>'Calendário atual'!B8</f>
        <v>46166</v>
      </c>
      <c r="D23" s="172" t="str">
        <f>'Calendário atual'!C8</f>
        <v>Canadá</v>
      </c>
      <c r="E23" s="164" t="str">
        <f>'Calendário atual'!D8</f>
        <v>FORMULA 1 LENOVO GRAND PRIX DU CANADA 2026</v>
      </c>
      <c r="F23" s="172" t="str">
        <f>'Calendário atual'!E8</f>
        <v>Circuit Gilles Villeneuve</v>
      </c>
      <c r="G23" s="101">
        <v>1</v>
      </c>
      <c r="H23" s="102" t="str">
        <f>IF(Resultados!C247&lt;&gt;"",Resultados!C247,"")</f>
        <v>Kimi Antonelli</v>
      </c>
    </row>
    <row r="24" spans="2:8" ht="12.75" customHeight="1" x14ac:dyDescent="0.2">
      <c r="B24" s="171"/>
      <c r="C24" s="170"/>
      <c r="D24" s="172"/>
      <c r="E24" s="165"/>
      <c r="F24" s="172"/>
      <c r="G24" s="105">
        <v>2</v>
      </c>
      <c r="H24" s="103" t="str">
        <f>IF(Resultados!C248&lt;&gt;"",Resultados!C248,"")</f>
        <v>Lewis Hamilton</v>
      </c>
    </row>
    <row r="25" spans="2:8" ht="12.75" customHeight="1" x14ac:dyDescent="0.2">
      <c r="B25" s="171"/>
      <c r="C25" s="170"/>
      <c r="D25" s="172"/>
      <c r="E25" s="166"/>
      <c r="F25" s="172"/>
      <c r="G25" s="106">
        <v>3</v>
      </c>
      <c r="H25" s="104" t="str">
        <f>IF(Resultados!C249&lt;&gt;"",Resultados!C249,"")</f>
        <v>Max Verstappen</v>
      </c>
    </row>
    <row r="26" spans="2:8" ht="12.75" customHeight="1" x14ac:dyDescent="0.2">
      <c r="B26" s="171">
        <v>8</v>
      </c>
      <c r="C26" s="170">
        <f>'Calendário atual'!B9</f>
        <v>46180</v>
      </c>
      <c r="D26" s="172" t="str">
        <f>'Calendário atual'!C9</f>
        <v>Mônaco</v>
      </c>
      <c r="E26" s="164" t="str">
        <f>'Calendário atual'!D9</f>
        <v>FORMULA 1 LOUIS VUITTON GRAND PRIX DE MONACO 2026</v>
      </c>
      <c r="F26" s="172" t="str">
        <f>'Calendário atual'!E9</f>
        <v>Monaco</v>
      </c>
      <c r="G26" s="101">
        <v>1</v>
      </c>
      <c r="H26" s="102" t="str">
        <f>IF(Resultados!C275&lt;&gt;"",Resultados!C275,"")</f>
        <v>Kimi Antonelli</v>
      </c>
    </row>
    <row r="27" spans="2:8" ht="12.75" customHeight="1" x14ac:dyDescent="0.2">
      <c r="B27" s="171"/>
      <c r="C27" s="170"/>
      <c r="D27" s="172"/>
      <c r="E27" s="165"/>
      <c r="F27" s="172"/>
      <c r="G27" s="105">
        <v>2</v>
      </c>
      <c r="H27" s="103" t="str">
        <f>IF(Resultados!C276&lt;&gt;"",Resultados!C276,"")</f>
        <v>Lewis Hamilton</v>
      </c>
    </row>
    <row r="28" spans="2:8" ht="12.75" customHeight="1" x14ac:dyDescent="0.2">
      <c r="B28" s="171"/>
      <c r="C28" s="170"/>
      <c r="D28" s="172"/>
      <c r="E28" s="166"/>
      <c r="F28" s="172"/>
      <c r="G28" s="106">
        <v>3</v>
      </c>
      <c r="H28" s="104" t="str">
        <f>IF(Resultados!C277&lt;&gt;"",Resultados!C277,"")</f>
        <v>Isack Hadjar</v>
      </c>
    </row>
    <row r="29" spans="2:8" ht="12.75" customHeight="1" x14ac:dyDescent="0.2">
      <c r="B29" s="171">
        <v>9</v>
      </c>
      <c r="C29" s="170">
        <f>'Calendário atual'!B10</f>
        <v>46187</v>
      </c>
      <c r="D29" s="172" t="str">
        <f>'Calendário atual'!C10</f>
        <v>Espanha</v>
      </c>
      <c r="E29" s="164" t="str">
        <f>'Calendário atual'!D10</f>
        <v>FORMULA 1 MSC CRUISES GRAN PREMIO DE BARCELONA-CATALUNYA 2026</v>
      </c>
      <c r="F29" s="172" t="str">
        <f>'Calendário atual'!E10</f>
        <v>Circuit de Catalunya</v>
      </c>
      <c r="G29" s="101">
        <v>1</v>
      </c>
      <c r="H29" s="102" t="str">
        <f>IF(Resultados!C303&lt;&gt;"",Resultados!C303,"")</f>
        <v>Lewis Hamilton</v>
      </c>
    </row>
    <row r="30" spans="2:8" ht="12.75" customHeight="1" x14ac:dyDescent="0.2">
      <c r="B30" s="171"/>
      <c r="C30" s="170"/>
      <c r="D30" s="172"/>
      <c r="E30" s="165"/>
      <c r="F30" s="172"/>
      <c r="G30" s="105">
        <v>2</v>
      </c>
      <c r="H30" s="103" t="str">
        <f>IF(Resultados!C304&lt;&gt;"",Resultados!C304,"")</f>
        <v>George Russell</v>
      </c>
    </row>
    <row r="31" spans="2:8" ht="12.75" customHeight="1" x14ac:dyDescent="0.2">
      <c r="B31" s="171"/>
      <c r="C31" s="170"/>
      <c r="D31" s="172"/>
      <c r="E31" s="166"/>
      <c r="F31" s="172"/>
      <c r="G31" s="106">
        <v>3</v>
      </c>
      <c r="H31" s="104" t="str">
        <f>IF(Resultados!C305&lt;&gt;"",Resultados!C305,"")</f>
        <v>Lando Norris</v>
      </c>
    </row>
    <row r="32" spans="2:8" ht="12.75" customHeight="1" x14ac:dyDescent="0.2">
      <c r="B32" s="171">
        <v>10</v>
      </c>
      <c r="C32" s="170">
        <f>'Calendário atual'!B11</f>
        <v>46201</v>
      </c>
      <c r="D32" s="167" t="str">
        <f>'Calendário atual'!C11</f>
        <v>Austria</v>
      </c>
      <c r="E32" s="164" t="str">
        <f>'Calendário atual'!D11</f>
        <v>FORMULA 1 LENOVO AUSTRIAN GRAND PRIX 2026</v>
      </c>
      <c r="F32" s="167" t="str">
        <f>'Calendário atual'!E11</f>
        <v>Red Bull Ring</v>
      </c>
      <c r="G32" s="101">
        <v>1</v>
      </c>
      <c r="H32" s="102" t="str">
        <f>IF(Resultados!C331&lt;&gt;"",Resultados!C331,"")</f>
        <v>George Russell</v>
      </c>
    </row>
    <row r="33" spans="2:8" ht="12.75" customHeight="1" x14ac:dyDescent="0.2">
      <c r="B33" s="171"/>
      <c r="C33" s="170"/>
      <c r="D33" s="168"/>
      <c r="E33" s="165"/>
      <c r="F33" s="168"/>
      <c r="G33" s="105">
        <v>2</v>
      </c>
      <c r="H33" s="103" t="str">
        <f>IF(Resultados!C332&lt;&gt;"",Resultados!C332,"")</f>
        <v>Max Verstappen</v>
      </c>
    </row>
    <row r="34" spans="2:8" ht="12.75" customHeight="1" x14ac:dyDescent="0.2">
      <c r="B34" s="171"/>
      <c r="C34" s="170"/>
      <c r="D34" s="169"/>
      <c r="E34" s="166"/>
      <c r="F34" s="169"/>
      <c r="G34" s="106">
        <v>3</v>
      </c>
      <c r="H34" s="104" t="str">
        <f>IF(Resultados!C333&lt;&gt;"",Resultados!C333,"")</f>
        <v>Kimi Antonelli</v>
      </c>
    </row>
    <row r="35" spans="2:8" ht="12.75" customHeight="1" x14ac:dyDescent="0.2">
      <c r="B35" s="171">
        <v>11</v>
      </c>
      <c r="C35" s="170">
        <f>'Calendário atual'!B12</f>
        <v>46208</v>
      </c>
      <c r="D35" s="172" t="str">
        <f>'Calendário atual'!C12</f>
        <v>Inglaterra</v>
      </c>
      <c r="E35" s="164" t="str">
        <f>'Calendário atual'!D12</f>
        <v>FORMULA 1 PIRELLI BRITISH GRAND PRIX 2026</v>
      </c>
      <c r="F35" s="172" t="str">
        <f>'Calendário atual'!E12</f>
        <v>Silverstone</v>
      </c>
      <c r="G35" s="101">
        <v>1</v>
      </c>
      <c r="H35" s="102" t="str">
        <f>IF(Resultados!C384&lt;&gt;"",Resultados!C384,"")</f>
        <v>Charles Leclerc</v>
      </c>
    </row>
    <row r="36" spans="2:8" ht="12.75" customHeight="1" x14ac:dyDescent="0.2">
      <c r="B36" s="171"/>
      <c r="C36" s="170"/>
      <c r="D36" s="172"/>
      <c r="E36" s="165"/>
      <c r="F36" s="172"/>
      <c r="G36" s="105">
        <v>2</v>
      </c>
      <c r="H36" s="103" t="str">
        <f>IF(Resultados!C385&lt;&gt;"",Resultados!C385,"")</f>
        <v>George Russell</v>
      </c>
    </row>
    <row r="37" spans="2:8" ht="12.75" customHeight="1" x14ac:dyDescent="0.2">
      <c r="B37" s="171"/>
      <c r="C37" s="170"/>
      <c r="D37" s="172"/>
      <c r="E37" s="166"/>
      <c r="F37" s="172"/>
      <c r="G37" s="106">
        <v>3</v>
      </c>
      <c r="H37" s="104" t="str">
        <f>IF(Resultados!C386&lt;&gt;"",Resultados!C386,"")</f>
        <v>Lewis Hamilton</v>
      </c>
    </row>
    <row r="38" spans="2:8" ht="12.75" customHeight="1" x14ac:dyDescent="0.2">
      <c r="B38" s="171">
        <v>12</v>
      </c>
      <c r="C38" s="170">
        <f>'Calendário atual'!B13</f>
        <v>46222</v>
      </c>
      <c r="D38" s="172" t="str">
        <f>'Calendário atual'!C13</f>
        <v>Bélgica</v>
      </c>
      <c r="E38" s="164" t="str">
        <f>'Calendário atual'!D13</f>
        <v>FORMULA 1 MOËT &amp; CHANDON BELGIAN GRAND PRIX 2026</v>
      </c>
      <c r="F38" s="172" t="str">
        <f>'Calendário atual'!E13</f>
        <v>Spa-Francorchamps</v>
      </c>
      <c r="G38" s="101">
        <v>1</v>
      </c>
      <c r="H38" s="102" t="str">
        <f>IF(Resultados!C412&lt;&gt;"",Resultados!C412,"")</f>
        <v>Kimi Antonelli</v>
      </c>
    </row>
    <row r="39" spans="2:8" ht="12.75" customHeight="1" x14ac:dyDescent="0.2">
      <c r="B39" s="171"/>
      <c r="C39" s="170"/>
      <c r="D39" s="172"/>
      <c r="E39" s="165"/>
      <c r="F39" s="172"/>
      <c r="G39" s="105">
        <v>2</v>
      </c>
      <c r="H39" s="103" t="str">
        <f>IF(Resultados!C413&lt;&gt;"",Resultados!C413,"")</f>
        <v>Charles Leclerc</v>
      </c>
    </row>
    <row r="40" spans="2:8" ht="12.75" customHeight="1" x14ac:dyDescent="0.2">
      <c r="B40" s="171"/>
      <c r="C40" s="170"/>
      <c r="D40" s="172"/>
      <c r="E40" s="166"/>
      <c r="F40" s="172"/>
      <c r="G40" s="106">
        <v>3</v>
      </c>
      <c r="H40" s="104" t="str">
        <f>IF(Resultados!C414&lt;&gt;"",Resultados!C414,"")</f>
        <v>Max Verstappen</v>
      </c>
    </row>
    <row r="41" spans="2:8" ht="12.75" customHeight="1" x14ac:dyDescent="0.2">
      <c r="B41" s="171">
        <v>13</v>
      </c>
      <c r="C41" s="170">
        <f>'Calendário atual'!B14</f>
        <v>46229</v>
      </c>
      <c r="D41" s="172" t="str">
        <f>'Calendário atual'!C14</f>
        <v>Hungria</v>
      </c>
      <c r="E41" s="164" t="str">
        <f>'Calendário atual'!D14</f>
        <v>FORMULA 1 AWS HUNGARIAN GRAND PRIX 2026</v>
      </c>
      <c r="F41" s="172" t="str">
        <f>'Calendário atual'!E14</f>
        <v>Hungaroring</v>
      </c>
      <c r="G41" s="101">
        <v>1</v>
      </c>
      <c r="H41" s="102" t="str">
        <f>IF(Resultados!C440&lt;&gt;"",Resultados!C440,"")</f>
        <v>Lando Norris</v>
      </c>
    </row>
    <row r="42" spans="2:8" ht="12.75" customHeight="1" x14ac:dyDescent="0.2">
      <c r="B42" s="171"/>
      <c r="C42" s="170"/>
      <c r="D42" s="172"/>
      <c r="E42" s="165"/>
      <c r="F42" s="172"/>
      <c r="G42" s="105">
        <v>2</v>
      </c>
      <c r="H42" s="103" t="str">
        <f>IF(Resultados!C441&lt;&gt;"",Resultados!C441,"")</f>
        <v>Max Verstappen</v>
      </c>
    </row>
    <row r="43" spans="2:8" ht="12.75" customHeight="1" x14ac:dyDescent="0.2">
      <c r="B43" s="171"/>
      <c r="C43" s="170"/>
      <c r="D43" s="172"/>
      <c r="E43" s="166"/>
      <c r="F43" s="172"/>
      <c r="G43" s="106">
        <v>3</v>
      </c>
      <c r="H43" s="104" t="str">
        <f>IF(Resultados!C442&lt;&gt;"",Resultados!C442,"")</f>
        <v>Kimi Antonelli</v>
      </c>
    </row>
    <row r="44" spans="2:8" ht="12.75" customHeight="1" x14ac:dyDescent="0.2">
      <c r="B44" s="171">
        <v>14</v>
      </c>
      <c r="C44" s="170">
        <f>'Calendário atual'!B15</f>
        <v>46257</v>
      </c>
      <c r="D44" s="172" t="str">
        <f>'Calendário atual'!C15</f>
        <v>Holanda</v>
      </c>
      <c r="E44" s="164" t="str">
        <f>'Calendário atual'!D15</f>
        <v>FORMULA 1 HEINEKEN DUTCH GRAND PRIX 2026</v>
      </c>
      <c r="F44" s="172" t="str">
        <f>'Calendário atual'!E15</f>
        <v>Zandvoort</v>
      </c>
      <c r="G44" s="101">
        <v>1</v>
      </c>
      <c r="H44" s="102" t="str">
        <f>IF(Resultados!C493&lt;&gt;"",Resultados!C493,"")</f>
        <v>Lando Norris</v>
      </c>
    </row>
    <row r="45" spans="2:8" ht="12.75" customHeight="1" x14ac:dyDescent="0.2">
      <c r="B45" s="171"/>
      <c r="C45" s="170"/>
      <c r="D45" s="172"/>
      <c r="E45" s="165"/>
      <c r="F45" s="172"/>
      <c r="G45" s="105">
        <v>2</v>
      </c>
      <c r="H45" s="103" t="str">
        <f>IF(Resultados!C494&lt;&gt;"",Resultados!C494,"")</f>
        <v>Kimi Antonelli</v>
      </c>
    </row>
    <row r="46" spans="2:8" ht="12.75" customHeight="1" x14ac:dyDescent="0.2">
      <c r="B46" s="171"/>
      <c r="C46" s="170"/>
      <c r="D46" s="172"/>
      <c r="E46" s="166"/>
      <c r="F46" s="172"/>
      <c r="G46" s="106">
        <v>3</v>
      </c>
      <c r="H46" s="104" t="str">
        <f>IF(Resultados!C495&lt;&gt;"",Resultados!C495,"")</f>
        <v>George Russell</v>
      </c>
    </row>
    <row r="47" spans="2:8" ht="12.75" customHeight="1" x14ac:dyDescent="0.2">
      <c r="B47" s="171">
        <v>15</v>
      </c>
      <c r="C47" s="170">
        <f>'Calendário atual'!B16</f>
        <v>46271</v>
      </c>
      <c r="D47" s="172" t="str">
        <f>'Calendário atual'!C16</f>
        <v>Itália</v>
      </c>
      <c r="E47" s="164" t="str">
        <f>'Calendário atual'!D16</f>
        <v>FORMULA 1 PIRELLI GRAN PREMIO D’ITALIA 2026</v>
      </c>
      <c r="F47" s="172" t="str">
        <f>'Calendário atual'!E16</f>
        <v>Monza</v>
      </c>
      <c r="G47" s="101">
        <v>1</v>
      </c>
      <c r="H47" s="102" t="str">
        <f>IF(Resultados!C521&lt;&gt;"",Resultados!C521,"")</f>
        <v>Kimi Antonelli</v>
      </c>
    </row>
    <row r="48" spans="2:8" ht="12.75" customHeight="1" x14ac:dyDescent="0.2">
      <c r="B48" s="171"/>
      <c r="C48" s="170"/>
      <c r="D48" s="172"/>
      <c r="E48" s="165"/>
      <c r="F48" s="172"/>
      <c r="G48" s="105">
        <v>2</v>
      </c>
      <c r="H48" s="103" t="str">
        <f>IF(Resultados!C522&lt;&gt;"",Resultados!C522,"")</f>
        <v>George Russell</v>
      </c>
    </row>
    <row r="49" spans="2:8" ht="12.75" customHeight="1" x14ac:dyDescent="0.2">
      <c r="B49" s="171"/>
      <c r="C49" s="170"/>
      <c r="D49" s="172"/>
      <c r="E49" s="166"/>
      <c r="F49" s="172"/>
      <c r="G49" s="106">
        <v>3</v>
      </c>
      <c r="H49" s="104" t="str">
        <f>IF(Resultados!C523&lt;&gt;"",Resultados!C523,"")</f>
        <v>Max Verstappen</v>
      </c>
    </row>
    <row r="50" spans="2:8" ht="12.75" customHeight="1" x14ac:dyDescent="0.2">
      <c r="B50" s="171">
        <v>16</v>
      </c>
      <c r="C50" s="170">
        <f>'Calendário atual'!B17</f>
        <v>46278</v>
      </c>
      <c r="D50" s="172" t="str">
        <f>'Calendário atual'!C17</f>
        <v>Espanha</v>
      </c>
      <c r="E50" s="164" t="str">
        <f>'Calendário atual'!D17</f>
        <v>FORMULA 1 TAG HEUER GRAN PREMIO DE ESPAÑA 2026</v>
      </c>
      <c r="F50" s="172" t="str">
        <f>'Calendário atual'!E17</f>
        <v>Madrid</v>
      </c>
      <c r="G50" s="101">
        <v>1</v>
      </c>
      <c r="H50" s="102" t="str">
        <f>IF(Resultados!C549&lt;&gt;"",Resultados!C549,"")</f>
        <v>Kimi Antonelli</v>
      </c>
    </row>
    <row r="51" spans="2:8" ht="12.75" customHeight="1" x14ac:dyDescent="0.2">
      <c r="B51" s="171"/>
      <c r="C51" s="170"/>
      <c r="D51" s="172"/>
      <c r="E51" s="165"/>
      <c r="F51" s="172"/>
      <c r="G51" s="105">
        <v>2</v>
      </c>
      <c r="H51" s="103" t="str">
        <f>IF(Resultados!C550&lt;&gt;"",Resultados!C550,"")</f>
        <v>Max Verstappen</v>
      </c>
    </row>
    <row r="52" spans="2:8" ht="12.75" customHeight="1" x14ac:dyDescent="0.2">
      <c r="B52" s="171"/>
      <c r="C52" s="170"/>
      <c r="D52" s="172"/>
      <c r="E52" s="166"/>
      <c r="F52" s="172"/>
      <c r="G52" s="106">
        <v>3</v>
      </c>
      <c r="H52" s="104" t="str">
        <f>IF(Resultados!C551&lt;&gt;"",Resultados!C551,"")</f>
        <v>Lando Norris</v>
      </c>
    </row>
    <row r="53" spans="2:8" ht="12.75" customHeight="1" x14ac:dyDescent="0.2">
      <c r="B53" s="171">
        <v>17</v>
      </c>
      <c r="C53" s="170">
        <f>'Calendário atual'!B18</f>
        <v>46292</v>
      </c>
      <c r="D53" s="172" t="str">
        <f>'Calendário atual'!C18</f>
        <v>Azerbaijão</v>
      </c>
      <c r="E53" s="164" t="str">
        <f>'Calendário atual'!D18</f>
        <v>FORMULA 1 QATAR AIRWAYS AZERBAIJAN GRAND PRIX 2026</v>
      </c>
      <c r="F53" s="172" t="str">
        <f>'Calendário atual'!E18</f>
        <v>Baku City Circuit</v>
      </c>
      <c r="G53" s="101">
        <v>1</v>
      </c>
      <c r="H53" s="102" t="str">
        <f>IF(Resultados!C577&lt;&gt;"",Resultados!C577,"")</f>
        <v>George Russell</v>
      </c>
    </row>
    <row r="54" spans="2:8" ht="12.75" customHeight="1" x14ac:dyDescent="0.2">
      <c r="B54" s="171"/>
      <c r="C54" s="170"/>
      <c r="D54" s="172"/>
      <c r="E54" s="165"/>
      <c r="F54" s="172"/>
      <c r="G54" s="105">
        <v>2</v>
      </c>
      <c r="H54" s="103" t="str">
        <f>IF(Resultados!C578&lt;&gt;"",Resultados!C578,"")</f>
        <v>Max Verstappen</v>
      </c>
    </row>
    <row r="55" spans="2:8" ht="12.75" customHeight="1" x14ac:dyDescent="0.2">
      <c r="B55" s="171"/>
      <c r="C55" s="170"/>
      <c r="D55" s="172"/>
      <c r="E55" s="166"/>
      <c r="F55" s="172"/>
      <c r="G55" s="106">
        <v>3</v>
      </c>
      <c r="H55" s="104" t="str">
        <f>IF(Resultados!C579&lt;&gt;"",Resultados!C579,"")</f>
        <v>Isack Hadjar</v>
      </c>
    </row>
    <row r="56" spans="2:8" ht="12.75" customHeight="1" x14ac:dyDescent="0.2">
      <c r="B56" s="171">
        <v>18</v>
      </c>
      <c r="C56" s="170">
        <f>'Calendário atual'!B19</f>
        <v>46306</v>
      </c>
      <c r="D56" s="172" t="str">
        <f>'Calendário atual'!C19</f>
        <v>Singapura</v>
      </c>
      <c r="E56" s="164" t="str">
        <f>'Calendário atual'!D19</f>
        <v>FORMULA 1 SINGAPORE AIRLINES SINGAPORE GRAND PRIX 2026</v>
      </c>
      <c r="F56" s="172" t="str">
        <f>'Calendário atual'!E19</f>
        <v>Singapore</v>
      </c>
      <c r="G56" s="101">
        <v>1</v>
      </c>
      <c r="H56" s="102" t="str">
        <f>IF(Resultados!C630&lt;&gt;"",Resultados!C630,"")</f>
        <v>Max Verstappen</v>
      </c>
    </row>
    <row r="57" spans="2:8" ht="12.75" customHeight="1" x14ac:dyDescent="0.2">
      <c r="B57" s="171"/>
      <c r="C57" s="170"/>
      <c r="D57" s="172"/>
      <c r="E57" s="165"/>
      <c r="F57" s="172"/>
      <c r="G57" s="105">
        <v>2</v>
      </c>
      <c r="H57" s="103" t="str">
        <f>IF(Resultados!C631&lt;&gt;"",Resultados!C631,"")</f>
        <v>Charles Leclerc</v>
      </c>
    </row>
    <row r="58" spans="2:8" ht="12.75" customHeight="1" x14ac:dyDescent="0.2">
      <c r="B58" s="171"/>
      <c r="C58" s="170"/>
      <c r="D58" s="172"/>
      <c r="E58" s="166"/>
      <c r="F58" s="172"/>
      <c r="G58" s="106">
        <v>3</v>
      </c>
      <c r="H58" s="104" t="str">
        <f>IF(Resultados!C632&lt;&gt;"",Resultados!C632,"")</f>
        <v>Kimi Antonelli</v>
      </c>
    </row>
    <row r="59" spans="2:8" ht="12.75" customHeight="1" x14ac:dyDescent="0.2">
      <c r="B59" s="171">
        <v>19</v>
      </c>
      <c r="C59" s="170">
        <f>'Calendário atual'!B20</f>
        <v>46320</v>
      </c>
      <c r="D59" s="172" t="str">
        <f>'Calendário atual'!C20</f>
        <v>USA</v>
      </c>
      <c r="E59" s="164" t="str">
        <f>'Calendário atual'!D20</f>
        <v>FORMULA 1 MSC CRUISES UNITED STATES GRAND PRIX 2026</v>
      </c>
      <c r="F59" s="172" t="str">
        <f>'Calendário atual'!E20</f>
        <v>Circuit of the Americas</v>
      </c>
      <c r="G59" s="101">
        <v>1</v>
      </c>
      <c r="H59" s="102" t="str">
        <f>IF(Resultados!C658&lt;&gt;"",Resultados!C658,"")</f>
        <v/>
      </c>
    </row>
    <row r="60" spans="2:8" ht="12.75" customHeight="1" x14ac:dyDescent="0.2">
      <c r="B60" s="171"/>
      <c r="C60" s="170"/>
      <c r="D60" s="172"/>
      <c r="E60" s="165"/>
      <c r="F60" s="172"/>
      <c r="G60" s="105">
        <v>2</v>
      </c>
      <c r="H60" s="103" t="str">
        <f>IF(Resultados!C659&lt;&gt;"",Resultados!C659,"")</f>
        <v/>
      </c>
    </row>
    <row r="61" spans="2:8" ht="12.75" customHeight="1" x14ac:dyDescent="0.2">
      <c r="B61" s="171"/>
      <c r="C61" s="170"/>
      <c r="D61" s="172"/>
      <c r="E61" s="166"/>
      <c r="F61" s="172"/>
      <c r="G61" s="106">
        <v>3</v>
      </c>
      <c r="H61" s="104" t="str">
        <f>IF(Resultados!C660&lt;&gt;"",Resultados!C660,"")</f>
        <v/>
      </c>
    </row>
    <row r="62" spans="2:8" ht="12.75" customHeight="1" x14ac:dyDescent="0.2">
      <c r="B62" s="171">
        <v>20</v>
      </c>
      <c r="C62" s="170">
        <f>'Calendário atual'!B21</f>
        <v>46327</v>
      </c>
      <c r="D62" s="172" t="str">
        <f>'Calendário atual'!C21</f>
        <v>México</v>
      </c>
      <c r="E62" s="164" t="str">
        <f>'Calendário atual'!D21</f>
        <v>FORMULA 1 GRAN PREMIO DE LA CIUDAD DE MÉXICO 2026</v>
      </c>
      <c r="F62" s="172" t="str">
        <f>'Calendário atual'!E21</f>
        <v>Autodromo Hermanos Rodriguez</v>
      </c>
      <c r="G62" s="101">
        <v>1</v>
      </c>
      <c r="H62" s="102" t="str">
        <f>IF(Resultados!C686&lt;&gt;"",Resultados!C686,"")</f>
        <v/>
      </c>
    </row>
    <row r="63" spans="2:8" ht="12.75" customHeight="1" x14ac:dyDescent="0.2">
      <c r="B63" s="171"/>
      <c r="C63" s="170"/>
      <c r="D63" s="172"/>
      <c r="E63" s="165"/>
      <c r="F63" s="172"/>
      <c r="G63" s="105">
        <v>2</v>
      </c>
      <c r="H63" s="103" t="str">
        <f>IF(Resultados!C687&lt;&gt;"",Resultados!C687,"")</f>
        <v/>
      </c>
    </row>
    <row r="64" spans="2:8" ht="12.75" customHeight="1" x14ac:dyDescent="0.2">
      <c r="B64" s="171"/>
      <c r="C64" s="170"/>
      <c r="D64" s="172"/>
      <c r="E64" s="166"/>
      <c r="F64" s="172"/>
      <c r="G64" s="106">
        <v>3</v>
      </c>
      <c r="H64" s="104" t="str">
        <f>IF(Resultados!C688&lt;&gt;"",Resultados!C688,"")</f>
        <v/>
      </c>
    </row>
    <row r="65" spans="2:8" ht="12.75" customHeight="1" x14ac:dyDescent="0.2">
      <c r="B65" s="171">
        <v>21</v>
      </c>
      <c r="C65" s="170">
        <f>'Calendário atual'!B22</f>
        <v>46334</v>
      </c>
      <c r="D65" s="172" t="str">
        <f>'Calendário atual'!C22</f>
        <v>Brasil</v>
      </c>
      <c r="E65" s="164" t="str">
        <f>'Calendário atual'!D22</f>
        <v>FORMULA 1 MSC CRUISES GRANDE PRÊMIO DE SÃO PAULO 2026</v>
      </c>
      <c r="F65" s="172" t="str">
        <f>'Calendário atual'!E22</f>
        <v>Interlagos</v>
      </c>
      <c r="G65" s="101">
        <v>1</v>
      </c>
      <c r="H65" s="102" t="str">
        <f>IF(Resultados!C714&lt;&gt;"",Resultados!C714,"")</f>
        <v/>
      </c>
    </row>
    <row r="66" spans="2:8" ht="12.75" customHeight="1" x14ac:dyDescent="0.2">
      <c r="B66" s="171"/>
      <c r="C66" s="170"/>
      <c r="D66" s="172"/>
      <c r="E66" s="165"/>
      <c r="F66" s="172"/>
      <c r="G66" s="105">
        <v>2</v>
      </c>
      <c r="H66" s="103" t="str">
        <f>IF(Resultados!C715&lt;&gt;"",Resultados!C715,"")</f>
        <v/>
      </c>
    </row>
    <row r="67" spans="2:8" ht="12.75" customHeight="1" x14ac:dyDescent="0.2">
      <c r="B67" s="171"/>
      <c r="C67" s="170"/>
      <c r="D67" s="172"/>
      <c r="E67" s="166"/>
      <c r="F67" s="172"/>
      <c r="G67" s="106">
        <v>3</v>
      </c>
      <c r="H67" s="104" t="str">
        <f>IF(Resultados!C716&lt;&gt;"",Resultados!C716,"")</f>
        <v/>
      </c>
    </row>
    <row r="68" spans="2:8" ht="12.75" customHeight="1" x14ac:dyDescent="0.2">
      <c r="B68" s="171">
        <v>22</v>
      </c>
      <c r="C68" s="170">
        <f>'Calendário atual'!B23</f>
        <v>46347</v>
      </c>
      <c r="D68" s="172" t="str">
        <f>'Calendário atual'!C23</f>
        <v>USA</v>
      </c>
      <c r="E68" s="164" t="str">
        <f>'Calendário atual'!D23</f>
        <v>FORMULA 1 HEINEKEN LAS VEGAS GRAND PRIX 2026</v>
      </c>
      <c r="F68" s="172" t="str">
        <f>'Calendário atual'!E23</f>
        <v>Las Vegas Strip Circuit</v>
      </c>
      <c r="G68" s="101">
        <v>1</v>
      </c>
      <c r="H68" s="102" t="str">
        <f>IF(Resultados!C742&lt;&gt;"",Resultados!C742,"")</f>
        <v/>
      </c>
    </row>
    <row r="69" spans="2:8" ht="12.75" customHeight="1" x14ac:dyDescent="0.2">
      <c r="B69" s="171"/>
      <c r="C69" s="170"/>
      <c r="D69" s="172"/>
      <c r="E69" s="165"/>
      <c r="F69" s="172"/>
      <c r="G69" s="105">
        <v>2</v>
      </c>
      <c r="H69" s="103" t="str">
        <f>IF(Resultados!C743&lt;&gt;"",Resultados!C743,"")</f>
        <v/>
      </c>
    </row>
    <row r="70" spans="2:8" ht="12.75" customHeight="1" x14ac:dyDescent="0.2">
      <c r="B70" s="171"/>
      <c r="C70" s="170"/>
      <c r="D70" s="172"/>
      <c r="E70" s="166"/>
      <c r="F70" s="172"/>
      <c r="G70" s="106">
        <v>3</v>
      </c>
      <c r="H70" s="104" t="str">
        <f>IF(Resultados!C744&lt;&gt;"",Resultados!C744,"")</f>
        <v/>
      </c>
    </row>
    <row r="71" spans="2:8" ht="12.75" customHeight="1" x14ac:dyDescent="0.2">
      <c r="B71" s="171">
        <v>23</v>
      </c>
      <c r="C71" s="170">
        <f>'Calendário atual'!B24</f>
        <v>46355</v>
      </c>
      <c r="D71" s="172" t="str">
        <f>'Calendário atual'!C24</f>
        <v>Qatar</v>
      </c>
      <c r="E71" s="164" t="str">
        <f>'Calendário atual'!D24</f>
        <v>FORMULA 1 QATAR AIRWAYS QATAR GRAND PRIX 2026</v>
      </c>
      <c r="F71" s="172" t="str">
        <f>'Calendário atual'!E24</f>
        <v>Losail International Circuit</v>
      </c>
      <c r="G71" s="101">
        <v>1</v>
      </c>
      <c r="H71" s="102" t="str">
        <f>IF(Resultados!C770&lt;&gt;"",Resultados!C770,"")</f>
        <v/>
      </c>
    </row>
    <row r="72" spans="2:8" ht="12.75" customHeight="1" x14ac:dyDescent="0.2">
      <c r="B72" s="171"/>
      <c r="C72" s="170"/>
      <c r="D72" s="172"/>
      <c r="E72" s="165"/>
      <c r="F72" s="172"/>
      <c r="G72" s="105">
        <v>2</v>
      </c>
      <c r="H72" s="103" t="str">
        <f>IF(Resultados!C771&lt;&gt;"",Resultados!C771,"")</f>
        <v/>
      </c>
    </row>
    <row r="73" spans="2:8" ht="12.75" customHeight="1" x14ac:dyDescent="0.2">
      <c r="B73" s="171"/>
      <c r="C73" s="170"/>
      <c r="D73" s="172"/>
      <c r="E73" s="166"/>
      <c r="F73" s="172"/>
      <c r="G73" s="106">
        <v>3</v>
      </c>
      <c r="H73" s="104" t="str">
        <f>IF(Resultados!C772&lt;&gt;"",Resultados!C772,"")</f>
        <v/>
      </c>
    </row>
    <row r="74" spans="2:8" ht="12.75" customHeight="1" x14ac:dyDescent="0.2">
      <c r="B74" s="171">
        <v>24</v>
      </c>
      <c r="C74" s="170">
        <f>'Calendário atual'!B25</f>
        <v>46362</v>
      </c>
      <c r="D74" s="172" t="str">
        <f>'Calendário atual'!C25</f>
        <v>Abu Dhabi</v>
      </c>
      <c r="E74" s="164" t="str">
        <f>'Calendário atual'!D25</f>
        <v>FORMULA 1 ETIHAD AIRWAYS ABU DHABI GRAND PRIX 2026</v>
      </c>
      <c r="F74" s="172" t="str">
        <f>'Calendário atual'!E25</f>
        <v>Yas Marina Circuit</v>
      </c>
      <c r="G74" s="101">
        <v>1</v>
      </c>
      <c r="H74" s="102" t="str">
        <f>IF(Resultados!C798&lt;&gt;"",Resultados!C798,"")</f>
        <v/>
      </c>
    </row>
    <row r="75" spans="2:8" ht="12.75" customHeight="1" x14ac:dyDescent="0.2">
      <c r="B75" s="171"/>
      <c r="C75" s="170"/>
      <c r="D75" s="172"/>
      <c r="E75" s="165"/>
      <c r="F75" s="172"/>
      <c r="G75" s="105">
        <v>2</v>
      </c>
      <c r="H75" s="103" t="str">
        <f>IF(Resultados!C799&lt;&gt;"",Resultados!C799,"")</f>
        <v/>
      </c>
    </row>
    <row r="76" spans="2:8" ht="12.75" customHeight="1" x14ac:dyDescent="0.2">
      <c r="B76" s="171"/>
      <c r="C76" s="170"/>
      <c r="D76" s="172"/>
      <c r="E76" s="166"/>
      <c r="F76" s="172"/>
      <c r="G76" s="106">
        <v>3</v>
      </c>
      <c r="H76" s="104" t="str">
        <f>IF(Resultados!C800&lt;&gt;"",Resultados!C800,"")</f>
        <v/>
      </c>
    </row>
  </sheetData>
  <sheetProtection algorithmName="SHA-512" hashValue="SOsDR1Jvg9Olwg30okSzmg1B6kRWWn7UGbAOdQaEcj2qzWJmT/2W+tasIEaZ5Yk7hQKKL4WaSvNJUEiBoi+AdQ==" saltValue="QQuIlReayGo9DmYzN6Et5g==" spinCount="100000" sheet="1" selectLockedCells="1" selectUnlockedCells="1"/>
  <mergeCells count="122">
    <mergeCell ref="B74:B76"/>
    <mergeCell ref="C74:C76"/>
    <mergeCell ref="D74:D76"/>
    <mergeCell ref="E74:E76"/>
    <mergeCell ref="F74:F76"/>
    <mergeCell ref="B71:B73"/>
    <mergeCell ref="C71:C73"/>
    <mergeCell ref="D71:D73"/>
    <mergeCell ref="E71:E73"/>
    <mergeCell ref="F71:F73"/>
    <mergeCell ref="B68:B70"/>
    <mergeCell ref="C68:C70"/>
    <mergeCell ref="D68:D70"/>
    <mergeCell ref="E68:E70"/>
    <mergeCell ref="F68:F70"/>
    <mergeCell ref="B65:B67"/>
    <mergeCell ref="C65:C67"/>
    <mergeCell ref="D65:D67"/>
    <mergeCell ref="E65:E67"/>
    <mergeCell ref="F65:F67"/>
    <mergeCell ref="B62:B64"/>
    <mergeCell ref="C62:C64"/>
    <mergeCell ref="D62:D64"/>
    <mergeCell ref="E62:E64"/>
    <mergeCell ref="F62:F64"/>
    <mergeCell ref="B59:B61"/>
    <mergeCell ref="C59:C61"/>
    <mergeCell ref="D59:D61"/>
    <mergeCell ref="E59:E61"/>
    <mergeCell ref="F59:F61"/>
    <mergeCell ref="B56:B58"/>
    <mergeCell ref="C56:C58"/>
    <mergeCell ref="D56:D58"/>
    <mergeCell ref="E56:E58"/>
    <mergeCell ref="F56:F58"/>
    <mergeCell ref="B38:B40"/>
    <mergeCell ref="C53:C55"/>
    <mergeCell ref="C20:C22"/>
    <mergeCell ref="C23:C25"/>
    <mergeCell ref="C26:C28"/>
    <mergeCell ref="C29:C31"/>
    <mergeCell ref="B53:B55"/>
    <mergeCell ref="B41:B43"/>
    <mergeCell ref="B44:B46"/>
    <mergeCell ref="B47:B49"/>
    <mergeCell ref="C38:C40"/>
    <mergeCell ref="B50:B52"/>
    <mergeCell ref="C50:C52"/>
    <mergeCell ref="C47:C49"/>
    <mergeCell ref="C41:C43"/>
    <mergeCell ref="C44:C46"/>
    <mergeCell ref="F50:F52"/>
    <mergeCell ref="E53:E55"/>
    <mergeCell ref="D53:D55"/>
    <mergeCell ref="C17:C19"/>
    <mergeCell ref="B29:B31"/>
    <mergeCell ref="B32:B34"/>
    <mergeCell ref="B35:B37"/>
    <mergeCell ref="B20:B22"/>
    <mergeCell ref="B23:B25"/>
    <mergeCell ref="B26:B28"/>
    <mergeCell ref="C32:C34"/>
    <mergeCell ref="C35:C37"/>
    <mergeCell ref="B17:B19"/>
    <mergeCell ref="F23:F25"/>
    <mergeCell ref="F53:F55"/>
    <mergeCell ref="E44:E46"/>
    <mergeCell ref="D44:D46"/>
    <mergeCell ref="F44:F46"/>
    <mergeCell ref="E47:E49"/>
    <mergeCell ref="D47:D49"/>
    <mergeCell ref="F47:F49"/>
    <mergeCell ref="E50:E52"/>
    <mergeCell ref="D50:D52"/>
    <mergeCell ref="F8:F10"/>
    <mergeCell ref="E35:E37"/>
    <mergeCell ref="D35:D37"/>
    <mergeCell ref="F35:F37"/>
    <mergeCell ref="F41:F43"/>
    <mergeCell ref="E32:E34"/>
    <mergeCell ref="D32:D34"/>
    <mergeCell ref="E38:E40"/>
    <mergeCell ref="D38:D40"/>
    <mergeCell ref="F38:F40"/>
    <mergeCell ref="F32:F34"/>
    <mergeCell ref="E41:E43"/>
    <mergeCell ref="D41:D43"/>
    <mergeCell ref="E29:E31"/>
    <mergeCell ref="E26:E28"/>
    <mergeCell ref="D26:D28"/>
    <mergeCell ref="F26:F28"/>
    <mergeCell ref="D29:D31"/>
    <mergeCell ref="F29:F31"/>
    <mergeCell ref="E20:E22"/>
    <mergeCell ref="D20:D22"/>
    <mergeCell ref="F20:F22"/>
    <mergeCell ref="E23:E25"/>
    <mergeCell ref="D23:D25"/>
    <mergeCell ref="B2:H2"/>
    <mergeCell ref="E5:E7"/>
    <mergeCell ref="D5:D7"/>
    <mergeCell ref="F5:F7"/>
    <mergeCell ref="C5:C7"/>
    <mergeCell ref="B5:B7"/>
    <mergeCell ref="E17:E19"/>
    <mergeCell ref="D17:D19"/>
    <mergeCell ref="F17:F19"/>
    <mergeCell ref="E11:E13"/>
    <mergeCell ref="D14:D16"/>
    <mergeCell ref="F14:F16"/>
    <mergeCell ref="C8:C10"/>
    <mergeCell ref="G4:H4"/>
    <mergeCell ref="B8:B10"/>
    <mergeCell ref="B11:B13"/>
    <mergeCell ref="B14:B16"/>
    <mergeCell ref="E14:E16"/>
    <mergeCell ref="C14:C16"/>
    <mergeCell ref="C11:C13"/>
    <mergeCell ref="D11:D13"/>
    <mergeCell ref="F11:F13"/>
    <mergeCell ref="E8:E10"/>
    <mergeCell ref="D8:D10"/>
  </mergeCells>
  <phoneticPr fontId="1" type="noConversion"/>
  <printOptions horizontalCentered="1" verticalCentered="1"/>
  <pageMargins left="0.37" right="0.41" top="0.33" bottom="0.34" header="0.2" footer="0.24"/>
  <pageSetup paperSize="9" scale="66" orientation="landscape" horizontalDpi="300" verticalDpi="300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1">
    <tabColor theme="8" tint="-0.499984740745262"/>
  </sheetPr>
  <dimension ref="A1:Z862"/>
  <sheetViews>
    <sheetView showGridLines="0" showRowColHeaders="0" topLeftCell="A656" workbookViewId="0">
      <selection activeCell="C658" sqref="C658"/>
    </sheetView>
  </sheetViews>
  <sheetFormatPr defaultRowHeight="12.75" x14ac:dyDescent="0.2"/>
  <cols>
    <col min="1" max="1" width="2.7109375" style="91" customWidth="1"/>
    <col min="2" max="2" width="9.140625" style="69"/>
    <col min="3" max="3" width="35.7109375" style="85" customWidth="1"/>
    <col min="4" max="5" width="25.7109375" style="74" customWidth="1"/>
    <col min="6" max="6" width="16.5703125" style="69" bestFit="1" customWidth="1"/>
    <col min="7" max="7" width="4.7109375" style="69" hidden="1" customWidth="1"/>
    <col min="8" max="8" width="4.5703125" style="69" hidden="1" customWidth="1"/>
    <col min="9" max="9" width="4.42578125" style="69" hidden="1" customWidth="1"/>
    <col min="10" max="10" width="3.7109375" style="70" hidden="1" customWidth="1"/>
    <col min="11" max="11" width="16.7109375" style="71" hidden="1" customWidth="1"/>
    <col min="12" max="12" width="8.85546875" style="71" hidden="1" customWidth="1"/>
    <col min="13" max="13" width="3.7109375" style="72" hidden="1" customWidth="1"/>
    <col min="14" max="14" width="4.140625" style="72" hidden="1" customWidth="1"/>
    <col min="15" max="15" width="2" style="72" hidden="1" customWidth="1"/>
    <col min="16" max="16" width="2" style="71" hidden="1" customWidth="1"/>
    <col min="17" max="17" width="4.42578125" style="71" hidden="1" customWidth="1"/>
    <col min="18" max="19" width="2" style="71" hidden="1" customWidth="1"/>
    <col min="20" max="20" width="3.5703125" style="71" hidden="1" customWidth="1"/>
    <col min="21" max="21" width="2" style="71" hidden="1" customWidth="1"/>
    <col min="22" max="22" width="6.5703125" style="73" hidden="1" customWidth="1"/>
    <col min="23" max="23" width="4" style="73" hidden="1" customWidth="1"/>
    <col min="24" max="26" width="9.140625" style="73"/>
    <col min="27" max="16384" width="9.140625" style="74"/>
  </cols>
  <sheetData>
    <row r="1" spans="1:26" ht="13.5" thickBot="1" x14ac:dyDescent="0.25">
      <c r="B1" s="66"/>
      <c r="C1" s="67"/>
      <c r="D1" s="68"/>
      <c r="E1" s="68"/>
      <c r="F1" s="66"/>
    </row>
    <row r="2" spans="1:26" x14ac:dyDescent="0.2">
      <c r="A2" s="91">
        <v>1</v>
      </c>
      <c r="B2" s="132">
        <f>VLOOKUP($A2,'Calendário atual'!$A$2:$E$30,2,FALSE)</f>
        <v>46089</v>
      </c>
      <c r="C2" s="175" t="str">
        <f>VLOOKUP($A2,'Calendário atual'!$A$2:$E$30,4,FALSE)</f>
        <v>FORMULA 1 QATAR AIRWAYS AUSTRALIAN GRAND PRIX 2026</v>
      </c>
      <c r="D2" s="175"/>
      <c r="E2" s="175"/>
      <c r="F2" s="133" t="str">
        <f>VLOOKUP($A2,'Calendário atual'!$A$2:$E$30,3,FALSE)</f>
        <v>Australia</v>
      </c>
      <c r="G2" s="75"/>
      <c r="H2" s="75"/>
      <c r="I2" s="75"/>
      <c r="J2" s="76">
        <f>IF(K2="","",J1+1)</f>
        <v>1</v>
      </c>
      <c r="K2" s="74" t="str">
        <f>IF('Equipes e Pilotos'!C3&lt;&gt;"",'Equipes e Pilotos'!C3,"")</f>
        <v>Lando Norris</v>
      </c>
      <c r="M2" s="177" t="s">
        <v>229</v>
      </c>
      <c r="N2" s="177"/>
      <c r="O2" s="177"/>
      <c r="P2" s="177" t="s">
        <v>230</v>
      </c>
      <c r="Q2" s="177"/>
      <c r="R2" s="177"/>
      <c r="S2" s="176" t="s">
        <v>262</v>
      </c>
      <c r="T2" s="176"/>
      <c r="U2" s="176"/>
      <c r="V2" s="71"/>
      <c r="W2" s="71"/>
      <c r="X2" s="71"/>
    </row>
    <row r="3" spans="1:26" x14ac:dyDescent="0.2">
      <c r="B3" s="134" t="s">
        <v>14</v>
      </c>
      <c r="C3" s="90" t="s">
        <v>29</v>
      </c>
      <c r="D3" s="90" t="s">
        <v>16</v>
      </c>
      <c r="E3" s="90" t="s">
        <v>17</v>
      </c>
      <c r="F3" s="135" t="s">
        <v>18</v>
      </c>
      <c r="J3" s="76">
        <f>IF(K3="","",J2+1)</f>
        <v>2</v>
      </c>
      <c r="K3" s="74" t="str">
        <f>IF('Equipes e Pilotos'!C4&lt;&gt;"",'Equipes e Pilotos'!C4,"")</f>
        <v>Oscar Piastri</v>
      </c>
      <c r="M3" s="77" t="str">
        <f>C4</f>
        <v>George Russell</v>
      </c>
      <c r="N3" s="77" t="str">
        <f>E4</f>
        <v>Mercedes</v>
      </c>
      <c r="O3" s="77">
        <v>1</v>
      </c>
      <c r="P3" s="77" t="str">
        <f>C28</f>
        <v>George Russell</v>
      </c>
      <c r="Q3" s="77" t="str">
        <f>E28</f>
        <v>Mercedes</v>
      </c>
      <c r="R3" s="77">
        <v>1</v>
      </c>
      <c r="S3" s="77" t="str">
        <f>C29</f>
        <v>Max Verstappen</v>
      </c>
      <c r="T3" s="77" t="str">
        <f>E29</f>
        <v>Red Bull</v>
      </c>
      <c r="U3" s="71">
        <v>1</v>
      </c>
      <c r="V3" s="71"/>
      <c r="W3" s="71"/>
      <c r="X3" s="71"/>
    </row>
    <row r="4" spans="1:26" x14ac:dyDescent="0.2">
      <c r="B4" s="136">
        <f>$J$2</f>
        <v>1</v>
      </c>
      <c r="C4" s="86" t="s">
        <v>353</v>
      </c>
      <c r="D4" s="87" t="str">
        <f>IF(C4&lt;&gt;"",VLOOKUP(C4,'Dummy Table'!$B$3:$C$30,2,FALSE),"")</f>
        <v>Inglaterra</v>
      </c>
      <c r="E4" s="87" t="str">
        <f>IF(C4&lt;&gt;"",VLOOKUP(C4,'Dummy Table'!$B$3:$D$30,3,FALSE),"")</f>
        <v>Mercedes</v>
      </c>
      <c r="F4" s="137">
        <v>25</v>
      </c>
      <c r="G4" s="69">
        <f>IF(C4="",F4,0)</f>
        <v>0</v>
      </c>
      <c r="H4" s="69">
        <f>IF(C4="",F4,0)</f>
        <v>0</v>
      </c>
      <c r="I4" s="69">
        <f>IF(C4="",1,0)</f>
        <v>0</v>
      </c>
      <c r="J4" s="76">
        <f t="shared" ref="J4:J27" si="0">IF(K4="","",J3+1)</f>
        <v>3</v>
      </c>
      <c r="K4" s="74" t="str">
        <f>IF('Equipes e Pilotos'!C5&lt;&gt;"",'Equipes e Pilotos'!C5,"")</f>
        <v>George Russell</v>
      </c>
      <c r="M4" s="77" t="str">
        <f>C57</f>
        <v>Kimi Antonelli</v>
      </c>
      <c r="N4" s="77" t="str">
        <f>E57</f>
        <v>Mercedes</v>
      </c>
      <c r="O4" s="77">
        <v>1</v>
      </c>
      <c r="P4" s="77" t="str">
        <f>C81</f>
        <v>Kimi Antonelli</v>
      </c>
      <c r="Q4" s="77" t="str">
        <f>E81</f>
        <v>Mercedes</v>
      </c>
      <c r="R4" s="77">
        <v>1</v>
      </c>
      <c r="S4" s="77" t="str">
        <f>C82</f>
        <v>Kimi Antonelli</v>
      </c>
      <c r="T4" s="77" t="str">
        <f>E82</f>
        <v>Mercedes</v>
      </c>
      <c r="U4" s="71">
        <v>1</v>
      </c>
      <c r="V4" s="71"/>
      <c r="W4" s="71"/>
      <c r="X4" s="71"/>
    </row>
    <row r="5" spans="1:26" x14ac:dyDescent="0.2">
      <c r="B5" s="138">
        <f>$J$3</f>
        <v>2</v>
      </c>
      <c r="C5" s="86" t="s">
        <v>324</v>
      </c>
      <c r="D5" s="87" t="str">
        <f>IF(C5&lt;&gt;"",VLOOKUP(C5,'Dummy Table'!$B$3:$C$30,2,FALSE),"")</f>
        <v>Itália</v>
      </c>
      <c r="E5" s="87" t="str">
        <f>IF(C5&lt;&gt;"",VLOOKUP(C5,'Dummy Table'!$B$3:$D$30,3,FALSE),"")</f>
        <v>Mercedes</v>
      </c>
      <c r="F5" s="137">
        <v>18</v>
      </c>
      <c r="H5" s="69">
        <f>IF(C5="",F5,0)</f>
        <v>0</v>
      </c>
      <c r="J5" s="76">
        <f t="shared" si="0"/>
        <v>4</v>
      </c>
      <c r="K5" s="74" t="str">
        <f>IF('Equipes e Pilotos'!C6&lt;&gt;"",'Equipes e Pilotos'!C6,"")</f>
        <v>Kimi Antonelli</v>
      </c>
      <c r="M5" s="77" t="str">
        <f>C85</f>
        <v>Kimi Antonelli</v>
      </c>
      <c r="N5" s="77" t="str">
        <f>E85</f>
        <v>Mercedes</v>
      </c>
      <c r="O5" s="77">
        <v>1</v>
      </c>
      <c r="P5" s="77" t="str">
        <f>C109</f>
        <v>Kimi Antonelli</v>
      </c>
      <c r="Q5" s="77" t="str">
        <f>E109</f>
        <v>Mercedes</v>
      </c>
      <c r="R5" s="77">
        <v>1</v>
      </c>
      <c r="S5" s="77" t="str">
        <f>C110</f>
        <v>Kimi Antonelli</v>
      </c>
      <c r="T5" s="77" t="str">
        <f>E110</f>
        <v>Mercedes</v>
      </c>
      <c r="U5" s="71">
        <v>1</v>
      </c>
      <c r="V5" s="71"/>
      <c r="W5" s="71"/>
      <c r="X5" s="71"/>
    </row>
    <row r="6" spans="1:26" x14ac:dyDescent="0.2">
      <c r="B6" s="138">
        <f>$J$4</f>
        <v>3</v>
      </c>
      <c r="C6" s="86" t="s">
        <v>307</v>
      </c>
      <c r="D6" s="87" t="str">
        <f>IF(C6&lt;&gt;"",VLOOKUP(C6,'Dummy Table'!$B$3:$C$30,2,FALSE),"")</f>
        <v>Mônaco</v>
      </c>
      <c r="E6" s="87" t="str">
        <f>IF(C6&lt;&gt;"",VLOOKUP(C6,'Dummy Table'!$B$3:$D$30,3,FALSE),"")</f>
        <v>Ferrari</v>
      </c>
      <c r="F6" s="137">
        <v>15</v>
      </c>
      <c r="J6" s="76">
        <f t="shared" si="0"/>
        <v>5</v>
      </c>
      <c r="K6" s="74" t="str">
        <f>IF('Equipes e Pilotos'!C7&lt;&gt;"",'Equipes e Pilotos'!C7,"")</f>
        <v>Max Verstappen</v>
      </c>
      <c r="M6" s="77" t="str">
        <f>C113</f>
        <v>Max Verstappen</v>
      </c>
      <c r="N6" s="77" t="str">
        <f>E113</f>
        <v>Red Bull</v>
      </c>
      <c r="O6" s="77">
        <v>1</v>
      </c>
      <c r="P6" s="77" t="str">
        <f>C137</f>
        <v>Max Verstappen</v>
      </c>
      <c r="Q6" s="77" t="str">
        <f>E137</f>
        <v>Red Bull</v>
      </c>
      <c r="R6" s="77">
        <v>1</v>
      </c>
      <c r="S6" s="77" t="str">
        <f>C138</f>
        <v>Max Verstappen</v>
      </c>
      <c r="T6" s="77" t="str">
        <f>E138</f>
        <v>Red Bull</v>
      </c>
      <c r="U6" s="71">
        <v>1</v>
      </c>
      <c r="V6" s="71"/>
      <c r="W6" s="71">
        <v>28</v>
      </c>
      <c r="X6" s="71"/>
    </row>
    <row r="7" spans="1:26" x14ac:dyDescent="0.2">
      <c r="B7" s="138">
        <f>$J$5</f>
        <v>4</v>
      </c>
      <c r="C7" s="86" t="s">
        <v>1</v>
      </c>
      <c r="D7" s="87" t="str">
        <f>IF(C7&lt;&gt;"",VLOOKUP(C7,'Dummy Table'!$B$3:$C$30,2,FALSE),"")</f>
        <v>Inglaterra</v>
      </c>
      <c r="E7" s="87" t="str">
        <f>IF(C7&lt;&gt;"",VLOOKUP(C7,'Dummy Table'!$B$3:$D$30,3,FALSE),"")</f>
        <v>Ferrari</v>
      </c>
      <c r="F7" s="137">
        <v>12</v>
      </c>
      <c r="J7" s="76">
        <f t="shared" si="0"/>
        <v>6</v>
      </c>
      <c r="K7" s="74" t="str">
        <f>IF('Equipes e Pilotos'!C8&lt;&gt;"",'Equipes e Pilotos'!C8,"")</f>
        <v>Isack Hadjar</v>
      </c>
      <c r="M7" s="77">
        <f>C141</f>
        <v>0</v>
      </c>
      <c r="N7" s="77" t="str">
        <f>E141</f>
        <v/>
      </c>
      <c r="O7" s="77">
        <v>1</v>
      </c>
      <c r="P7" s="77">
        <f>C165</f>
        <v>0</v>
      </c>
      <c r="Q7" s="77" t="str">
        <f>E165</f>
        <v/>
      </c>
      <c r="R7" s="77">
        <v>1</v>
      </c>
      <c r="S7" s="77">
        <f>C166</f>
        <v>0</v>
      </c>
      <c r="T7" s="77" t="str">
        <f>E166</f>
        <v/>
      </c>
      <c r="U7" s="71">
        <v>1</v>
      </c>
      <c r="V7" s="71"/>
      <c r="W7" s="71"/>
      <c r="X7" s="71"/>
    </row>
    <row r="8" spans="1:26" x14ac:dyDescent="0.2">
      <c r="B8" s="138">
        <f>$J$6</f>
        <v>5</v>
      </c>
      <c r="C8" s="86" t="s">
        <v>310</v>
      </c>
      <c r="D8" s="87" t="str">
        <f>IF(C8&lt;&gt;"",VLOOKUP(C8,'Dummy Table'!$B$3:$C$30,2,FALSE),"")</f>
        <v>Inglaterra</v>
      </c>
      <c r="E8" s="87" t="str">
        <f>IF(C8&lt;&gt;"",VLOOKUP(C8,'Dummy Table'!$B$3:$D$30,3,FALSE),"")</f>
        <v>McLaren</v>
      </c>
      <c r="F8" s="137">
        <v>10</v>
      </c>
      <c r="J8" s="76">
        <f t="shared" si="0"/>
        <v>7</v>
      </c>
      <c r="K8" s="74" t="str">
        <f>IF('Equipes e Pilotos'!C9&lt;&gt;"",'Equipes e Pilotos'!C9,"")</f>
        <v>Charles Leclerc</v>
      </c>
      <c r="M8" s="77" t="str">
        <f>C194</f>
        <v>Kimi Antonelli</v>
      </c>
      <c r="N8" s="77" t="str">
        <f>E194</f>
        <v>Mercedes</v>
      </c>
      <c r="O8" s="77">
        <v>1</v>
      </c>
      <c r="P8" s="77" t="str">
        <f>C218</f>
        <v>Kimi Antonelli</v>
      </c>
      <c r="Q8" s="77" t="str">
        <f>E218</f>
        <v>Mercedes</v>
      </c>
      <c r="R8" s="77">
        <v>1</v>
      </c>
      <c r="S8" s="77" t="str">
        <f>C219</f>
        <v>Lando Norris</v>
      </c>
      <c r="T8" s="77" t="str">
        <f>E219</f>
        <v>McLaren</v>
      </c>
      <c r="U8" s="71">
        <v>1</v>
      </c>
      <c r="V8" s="71"/>
      <c r="W8" s="71"/>
      <c r="X8" s="71"/>
    </row>
    <row r="9" spans="1:26" x14ac:dyDescent="0.2">
      <c r="B9" s="138">
        <f>$J$7</f>
        <v>6</v>
      </c>
      <c r="C9" s="86" t="s">
        <v>299</v>
      </c>
      <c r="D9" s="87" t="str">
        <f>IF(C9&lt;&gt;"",VLOOKUP(C9,'Dummy Table'!$B$3:$C$30,2,FALSE),"")</f>
        <v>Holanda</v>
      </c>
      <c r="E9" s="87" t="str">
        <f>IF(C9&lt;&gt;"",VLOOKUP(C9,'Dummy Table'!$B$3:$D$30,3,FALSE),"")</f>
        <v>Red Bull</v>
      </c>
      <c r="F9" s="137">
        <v>8</v>
      </c>
      <c r="J9" s="76">
        <f t="shared" si="0"/>
        <v>8</v>
      </c>
      <c r="K9" s="74" t="str">
        <f>IF('Equipes e Pilotos'!C10&lt;&gt;"",'Equipes e Pilotos'!C10,"")</f>
        <v>Lewis Hamilton</v>
      </c>
      <c r="M9" s="77" t="str">
        <f>C247</f>
        <v>Kimi Antonelli</v>
      </c>
      <c r="N9" s="77" t="str">
        <f>E247</f>
        <v>Mercedes</v>
      </c>
      <c r="O9" s="77">
        <v>1</v>
      </c>
      <c r="P9" s="77" t="str">
        <f>C271</f>
        <v>George Russell</v>
      </c>
      <c r="Q9" s="77" t="str">
        <f>D271</f>
        <v>Inglaterra</v>
      </c>
      <c r="R9" s="77">
        <v>1</v>
      </c>
      <c r="S9" s="77" t="str">
        <f>C272</f>
        <v>Kimi Antonelli</v>
      </c>
      <c r="T9" s="77" t="str">
        <f>E272</f>
        <v>Mercedes</v>
      </c>
      <c r="U9" s="71">
        <v>1</v>
      </c>
      <c r="V9" s="71"/>
      <c r="W9" s="71">
        <v>477</v>
      </c>
      <c r="X9" s="71"/>
    </row>
    <row r="10" spans="1:26" x14ac:dyDescent="0.2">
      <c r="B10" s="138">
        <f>$J$8</f>
        <v>7</v>
      </c>
      <c r="C10" s="86" t="s">
        <v>325</v>
      </c>
      <c r="D10" s="87" t="str">
        <f>IF(C10&lt;&gt;"",VLOOKUP(C10,'Dummy Table'!$B$3:$C$30,2,FALSE),"")</f>
        <v>Inglaterra</v>
      </c>
      <c r="E10" s="87" t="str">
        <f>IF(C10&lt;&gt;"",VLOOKUP(C10,'Dummy Table'!$B$3:$D$30,3,FALSE),"")</f>
        <v>Haas</v>
      </c>
      <c r="F10" s="137">
        <v>6</v>
      </c>
      <c r="J10" s="76">
        <f t="shared" si="0"/>
        <v>9</v>
      </c>
      <c r="K10" s="74" t="str">
        <f>IF('Equipes e Pilotos'!C11&lt;&gt;"",'Equipes e Pilotos'!C11,"")</f>
        <v>Alexander Albon</v>
      </c>
      <c r="M10" s="77" t="str">
        <f>C275</f>
        <v>Kimi Antonelli</v>
      </c>
      <c r="N10" s="77" t="str">
        <f>E275</f>
        <v>Mercedes</v>
      </c>
      <c r="O10" s="77">
        <v>1</v>
      </c>
      <c r="P10" s="77" t="str">
        <f>C299</f>
        <v>Kimi Antonelli</v>
      </c>
      <c r="Q10" s="77" t="str">
        <f>E299</f>
        <v>Mercedes</v>
      </c>
      <c r="R10" s="77">
        <v>1</v>
      </c>
      <c r="S10" s="77" t="str">
        <f>C300</f>
        <v>Kimi Antonelli</v>
      </c>
      <c r="T10" s="77" t="str">
        <f>E300</f>
        <v>Mercedes</v>
      </c>
      <c r="U10" s="71">
        <v>1</v>
      </c>
      <c r="V10" s="71"/>
      <c r="W10" s="71">
        <f>W9+W$6</f>
        <v>505</v>
      </c>
      <c r="X10" s="71"/>
    </row>
    <row r="11" spans="1:26" x14ac:dyDescent="0.2">
      <c r="B11" s="138">
        <f>$J$9</f>
        <v>8</v>
      </c>
      <c r="C11" s="86" t="s">
        <v>407</v>
      </c>
      <c r="D11" s="87" t="str">
        <f>IF(C11&lt;&gt;"",VLOOKUP(C11,'Dummy Table'!$B$3:$C$30,2,FALSE),"")</f>
        <v>Inglaterra</v>
      </c>
      <c r="E11" s="87" t="str">
        <f>IF(C11&lt;&gt;"",VLOOKUP(C11,'Dummy Table'!$B$3:$D$30,3,FALSE),"")</f>
        <v>Racing Bulls</v>
      </c>
      <c r="F11" s="137">
        <v>4</v>
      </c>
      <c r="J11" s="76">
        <f t="shared" si="0"/>
        <v>10</v>
      </c>
      <c r="K11" s="74" t="str">
        <f>IF('Equipes e Pilotos'!C12&lt;&gt;"",'Equipes e Pilotos'!C12,"")</f>
        <v>Carlos Sainz</v>
      </c>
      <c r="M11" s="77" t="str">
        <f>C303</f>
        <v>Lewis Hamilton</v>
      </c>
      <c r="N11" s="77" t="str">
        <f>E303</f>
        <v>Ferrari</v>
      </c>
      <c r="O11" s="77">
        <v>1</v>
      </c>
      <c r="P11" s="77" t="str">
        <f>C327</f>
        <v>George Russell</v>
      </c>
      <c r="Q11" s="77" t="str">
        <f>E327</f>
        <v>Mercedes</v>
      </c>
      <c r="R11" s="77">
        <v>1</v>
      </c>
      <c r="S11" s="77" t="str">
        <f>C328</f>
        <v>Lewis Hamilton</v>
      </c>
      <c r="T11" s="77" t="str">
        <f>E328</f>
        <v>Ferrari</v>
      </c>
      <c r="U11" s="71">
        <v>1</v>
      </c>
      <c r="V11" s="71"/>
      <c r="W11" s="71">
        <f t="shared" ref="W11:W16" si="1">W10+W$6</f>
        <v>533</v>
      </c>
      <c r="X11" s="71"/>
    </row>
    <row r="12" spans="1:26" x14ac:dyDescent="0.2">
      <c r="B12" s="138">
        <f>$J$10</f>
        <v>9</v>
      </c>
      <c r="C12" s="86" t="s">
        <v>329</v>
      </c>
      <c r="D12" s="87" t="str">
        <f>IF(C12&lt;&gt;"",VLOOKUP(C12,'Dummy Table'!$B$3:$C$30,2,FALSE),"")</f>
        <v>Brasil</v>
      </c>
      <c r="E12" s="87" t="str">
        <f>IF(C12&lt;&gt;"",VLOOKUP(C12,'Dummy Table'!$B$3:$D$30,3,FALSE),"")</f>
        <v>Audi</v>
      </c>
      <c r="F12" s="137">
        <v>2</v>
      </c>
      <c r="J12" s="76">
        <f t="shared" si="0"/>
        <v>11</v>
      </c>
      <c r="K12" s="74" t="str">
        <f>IF('Equipes e Pilotos'!C13&lt;&gt;"",'Equipes e Pilotos'!C13,"")</f>
        <v>Liam Lawson</v>
      </c>
      <c r="M12" s="77" t="str">
        <f>C331</f>
        <v>George Russell</v>
      </c>
      <c r="N12" s="77" t="str">
        <f>E331</f>
        <v>Mercedes</v>
      </c>
      <c r="O12" s="77">
        <v>1</v>
      </c>
      <c r="P12" s="77" t="str">
        <f>C355</f>
        <v>George Russell</v>
      </c>
      <c r="Q12" s="77" t="str">
        <f>E355</f>
        <v>Mercedes</v>
      </c>
      <c r="R12" s="77">
        <v>1</v>
      </c>
      <c r="S12" s="77" t="str">
        <f>C356</f>
        <v>Kimi Antonelli</v>
      </c>
      <c r="T12" s="77" t="str">
        <f>E356</f>
        <v>Mercedes</v>
      </c>
      <c r="U12" s="71">
        <v>1</v>
      </c>
      <c r="V12" s="71"/>
      <c r="W12" s="71">
        <f t="shared" si="1"/>
        <v>561</v>
      </c>
      <c r="X12" s="71"/>
    </row>
    <row r="13" spans="1:26" x14ac:dyDescent="0.2">
      <c r="B13" s="138">
        <f>$J$11</f>
        <v>10</v>
      </c>
      <c r="C13" s="86" t="s">
        <v>306</v>
      </c>
      <c r="D13" s="87" t="str">
        <f>IF(C13&lt;&gt;"",VLOOKUP(C13,'Dummy Table'!$B$3:$C$30,2,FALSE),"")</f>
        <v>França</v>
      </c>
      <c r="E13" s="87" t="str">
        <f>IF(C13&lt;&gt;"",VLOOKUP(C13,'Dummy Table'!$B$3:$D$30,3,FALSE),"")</f>
        <v>Alpine</v>
      </c>
      <c r="F13" s="137">
        <v>1</v>
      </c>
      <c r="J13" s="76">
        <f t="shared" si="0"/>
        <v>12</v>
      </c>
      <c r="K13" s="74" t="str">
        <f>IF('Equipes e Pilotos'!C14&lt;&gt;"",'Equipes e Pilotos'!C14,"")</f>
        <v>Arvid Lindblad</v>
      </c>
      <c r="M13" s="77" t="str">
        <f>C384</f>
        <v>Charles Leclerc</v>
      </c>
      <c r="N13" s="77" t="str">
        <f>E384</f>
        <v>Ferrari</v>
      </c>
      <c r="O13" s="77">
        <v>1</v>
      </c>
      <c r="P13" s="77" t="str">
        <f>C408</f>
        <v>Kimi Antonelli</v>
      </c>
      <c r="Q13" s="77" t="str">
        <f>E408</f>
        <v>Mercedes</v>
      </c>
      <c r="R13" s="77">
        <v>1</v>
      </c>
      <c r="S13" s="77" t="str">
        <f>C409</f>
        <v>Kimi Antonelli</v>
      </c>
      <c r="T13" s="77" t="str">
        <f>E409</f>
        <v>Mercedes</v>
      </c>
      <c r="U13" s="71">
        <v>1</v>
      </c>
      <c r="V13" s="71"/>
      <c r="W13" s="71">
        <f t="shared" si="1"/>
        <v>589</v>
      </c>
      <c r="X13" s="71"/>
    </row>
    <row r="14" spans="1:26" x14ac:dyDescent="0.2">
      <c r="B14" s="138">
        <f>$J$12</f>
        <v>11</v>
      </c>
      <c r="C14" s="86" t="s">
        <v>313</v>
      </c>
      <c r="D14" s="87" t="str">
        <f>IF(C14&lt;&gt;"",VLOOKUP(C14,'Dummy Table'!$B$3:$C$30,2,FALSE),"")</f>
        <v>França</v>
      </c>
      <c r="E14" s="87" t="str">
        <f>IF(C14&lt;&gt;"",VLOOKUP(C14,'Dummy Table'!$B$3:$D$30,3,FALSE),"")</f>
        <v>Haas</v>
      </c>
      <c r="F14" s="139"/>
      <c r="J14" s="76">
        <f t="shared" si="0"/>
        <v>13</v>
      </c>
      <c r="K14" s="74" t="str">
        <f>IF('Equipes e Pilotos'!C15&lt;&gt;"",'Equipes e Pilotos'!C15,"")</f>
        <v>Esteban Ocon</v>
      </c>
      <c r="M14" s="77" t="str">
        <f>C412</f>
        <v>Kimi Antonelli</v>
      </c>
      <c r="N14" s="77" t="str">
        <f>E412</f>
        <v>Mercedes</v>
      </c>
      <c r="O14" s="77">
        <v>1</v>
      </c>
      <c r="P14" s="77" t="str">
        <f>C436</f>
        <v>Kimi Antonelli</v>
      </c>
      <c r="Q14" s="77" t="str">
        <f>E436</f>
        <v>Mercedes</v>
      </c>
      <c r="R14" s="77">
        <v>1</v>
      </c>
      <c r="S14" s="77" t="str">
        <f>C437</f>
        <v>Lando Norris</v>
      </c>
      <c r="T14" s="77" t="str">
        <f>E437</f>
        <v>McLaren</v>
      </c>
      <c r="U14" s="71">
        <v>1</v>
      </c>
      <c r="V14" s="71"/>
      <c r="W14" s="71">
        <f t="shared" si="1"/>
        <v>617</v>
      </c>
      <c r="X14" s="71"/>
    </row>
    <row r="15" spans="1:26" x14ac:dyDescent="0.2">
      <c r="B15" s="138">
        <f>$J$13</f>
        <v>12</v>
      </c>
      <c r="C15" s="86" t="s">
        <v>309</v>
      </c>
      <c r="D15" s="87" t="str">
        <f>IF(C15&lt;&gt;"",VLOOKUP(C15,'Dummy Table'!$B$3:$C$30,2,FALSE),"")</f>
        <v>Tailandia</v>
      </c>
      <c r="E15" s="87" t="str">
        <f>IF(C15&lt;&gt;"",VLOOKUP(C15,'Dummy Table'!$B$3:$D$30,3,FALSE),"")</f>
        <v>Williams</v>
      </c>
      <c r="F15" s="139"/>
      <c r="J15" s="76">
        <f t="shared" si="0"/>
        <v>14</v>
      </c>
      <c r="K15" s="74" t="str">
        <f>IF('Equipes e Pilotos'!C16&lt;&gt;"",'Equipes e Pilotos'!C16,"")</f>
        <v>Oliver Bearman</v>
      </c>
      <c r="M15" s="77" t="str">
        <f>C440</f>
        <v>Lando Norris</v>
      </c>
      <c r="N15" s="77" t="str">
        <f>E440</f>
        <v>McLaren</v>
      </c>
      <c r="O15" s="77">
        <v>1</v>
      </c>
      <c r="P15" s="77" t="str">
        <f>C464</f>
        <v>Lando Norris</v>
      </c>
      <c r="Q15" s="77" t="str">
        <f>E464</f>
        <v>McLaren</v>
      </c>
      <c r="R15" s="77">
        <v>1</v>
      </c>
      <c r="S15" s="77" t="str">
        <f>C465</f>
        <v>Charles Leclerc</v>
      </c>
      <c r="T15" s="77" t="str">
        <f>E465</f>
        <v>Ferrari</v>
      </c>
      <c r="U15" s="71">
        <v>1</v>
      </c>
      <c r="V15" s="71"/>
      <c r="W15" s="71">
        <f t="shared" si="1"/>
        <v>645</v>
      </c>
      <c r="X15" s="71"/>
    </row>
    <row r="16" spans="1:26" s="80" customFormat="1" x14ac:dyDescent="0.2">
      <c r="A16" s="91"/>
      <c r="B16" s="138">
        <f>$J$14</f>
        <v>13</v>
      </c>
      <c r="C16" s="86" t="s">
        <v>408</v>
      </c>
      <c r="D16" s="87" t="str">
        <f>IF(C16&lt;&gt;"",VLOOKUP(C16,'Dummy Table'!$B$3:$C$30,2,FALSE),"")</f>
        <v>Austrália</v>
      </c>
      <c r="E16" s="87" t="str">
        <f>IF(C16&lt;&gt;"",VLOOKUP(C16,'Dummy Table'!$B$3:$D$30,3,FALSE),"")</f>
        <v>Racing Bulls</v>
      </c>
      <c r="F16" s="139"/>
      <c r="G16" s="75"/>
      <c r="H16" s="75"/>
      <c r="I16" s="75"/>
      <c r="J16" s="76">
        <f t="shared" si="0"/>
        <v>15</v>
      </c>
      <c r="K16" s="74" t="str">
        <f>IF('Equipes e Pilotos'!C17&lt;&gt;"",'Equipes e Pilotos'!C17,"")</f>
        <v>Lance Stroll</v>
      </c>
      <c r="L16" s="79"/>
      <c r="M16" s="77" t="str">
        <f>C493</f>
        <v>Lando Norris</v>
      </c>
      <c r="N16" s="77" t="str">
        <f>E493</f>
        <v>McLaren</v>
      </c>
      <c r="O16" s="77">
        <v>1</v>
      </c>
      <c r="P16" s="77" t="str">
        <f>C517</f>
        <v>Lando Norris</v>
      </c>
      <c r="Q16" s="77" t="str">
        <f>E517</f>
        <v>McLaren</v>
      </c>
      <c r="R16" s="77">
        <v>1</v>
      </c>
      <c r="S16" s="77" t="str">
        <f>C518</f>
        <v>Charles Leclerc</v>
      </c>
      <c r="T16" s="77" t="str">
        <f>E518</f>
        <v>Ferrari</v>
      </c>
      <c r="U16" s="71">
        <v>1</v>
      </c>
      <c r="V16" s="79"/>
      <c r="W16" s="71">
        <f t="shared" si="1"/>
        <v>673</v>
      </c>
      <c r="X16" s="79"/>
      <c r="Y16" s="79"/>
      <c r="Z16" s="79"/>
    </row>
    <row r="17" spans="1:24" x14ac:dyDescent="0.2">
      <c r="B17" s="138">
        <f>$J$15</f>
        <v>14</v>
      </c>
      <c r="C17" s="86" t="s">
        <v>412</v>
      </c>
      <c r="D17" s="87" t="str">
        <f>IF(C17&lt;&gt;"",VLOOKUP(C17,'Dummy Table'!$B$3:$C$30,2,FALSE),"")</f>
        <v>Argentina</v>
      </c>
      <c r="E17" s="87" t="str">
        <f>IF(C17&lt;&gt;"",VLOOKUP(C17,'Dummy Table'!$B$3:$D$30,3,FALSE),"")</f>
        <v>Alpine</v>
      </c>
      <c r="F17" s="139"/>
      <c r="G17" s="75"/>
      <c r="H17" s="75"/>
      <c r="I17" s="75"/>
      <c r="J17" s="76">
        <f t="shared" si="0"/>
        <v>16</v>
      </c>
      <c r="K17" s="74" t="str">
        <f>IF('Equipes e Pilotos'!C18&lt;&gt;"",'Equipes e Pilotos'!C18,"")</f>
        <v>Fernando Alonso</v>
      </c>
      <c r="M17" s="77" t="str">
        <f>C521</f>
        <v>Kimi Antonelli</v>
      </c>
      <c r="N17" s="77" t="str">
        <f>E521</f>
        <v>Mercedes</v>
      </c>
      <c r="O17" s="77">
        <v>1</v>
      </c>
      <c r="P17" s="77" t="str">
        <f>C545</f>
        <v>Pierre Gasly</v>
      </c>
      <c r="Q17" s="77" t="str">
        <f>E545</f>
        <v>Alpine</v>
      </c>
      <c r="R17" s="77">
        <v>1</v>
      </c>
      <c r="S17" s="77" t="str">
        <f>C546</f>
        <v>Kimi Antonelli</v>
      </c>
      <c r="T17" s="77" t="str">
        <f>E546</f>
        <v>Mercedes</v>
      </c>
      <c r="U17" s="71">
        <v>1</v>
      </c>
      <c r="V17" s="71"/>
      <c r="W17" s="71"/>
      <c r="X17" s="71"/>
    </row>
    <row r="18" spans="1:24" x14ac:dyDescent="0.2">
      <c r="B18" s="138">
        <f>$J$16</f>
        <v>15</v>
      </c>
      <c r="C18" s="86" t="s">
        <v>328</v>
      </c>
      <c r="D18" s="87" t="str">
        <f>IF(C18&lt;&gt;"",VLOOKUP(C18,'Dummy Table'!$B$3:$C$30,2,FALSE),"")</f>
        <v>Espanha</v>
      </c>
      <c r="E18" s="87" t="str">
        <f>IF(C18&lt;&gt;"",VLOOKUP(C18,'Dummy Table'!$B$3:$D$30,3,FALSE),"")</f>
        <v>Williams</v>
      </c>
      <c r="F18" s="139"/>
      <c r="G18" s="75"/>
      <c r="H18" s="75"/>
      <c r="I18" s="75"/>
      <c r="J18" s="76">
        <f t="shared" si="0"/>
        <v>17</v>
      </c>
      <c r="K18" s="74" t="str">
        <f>IF('Equipes e Pilotos'!C19&lt;&gt;"",'Equipes e Pilotos'!C19,"")</f>
        <v>Nico Hulkenberg</v>
      </c>
      <c r="M18" s="77" t="str">
        <f>C549</f>
        <v>Kimi Antonelli</v>
      </c>
      <c r="N18" s="77" t="str">
        <f>E549</f>
        <v>Mercedes</v>
      </c>
      <c r="O18" s="77">
        <v>1</v>
      </c>
      <c r="P18" s="77" t="str">
        <f>C573</f>
        <v>Lando Norris</v>
      </c>
      <c r="Q18" s="77" t="str">
        <f>E573</f>
        <v>McLaren</v>
      </c>
      <c r="R18" s="77">
        <v>1</v>
      </c>
      <c r="S18" s="77" t="str">
        <f>C574</f>
        <v>George Russell</v>
      </c>
      <c r="T18" s="77" t="str">
        <f>E574</f>
        <v>Mercedes</v>
      </c>
      <c r="U18" s="71">
        <v>1</v>
      </c>
      <c r="V18" s="71"/>
      <c r="W18" s="71"/>
      <c r="X18" s="71"/>
    </row>
    <row r="19" spans="1:24" x14ac:dyDescent="0.2">
      <c r="B19" s="138">
        <f>$J$17</f>
        <v>16</v>
      </c>
      <c r="C19" s="86" t="s">
        <v>396</v>
      </c>
      <c r="D19" s="87" t="str">
        <f>IF(C19&lt;&gt;"",VLOOKUP(C19,'Dummy Table'!$B$3:$C$30,2,FALSE),"")</f>
        <v>México</v>
      </c>
      <c r="E19" s="87" t="str">
        <f>IF(C19&lt;&gt;"",VLOOKUP(C19,'Dummy Table'!$B$3:$D$30,3,FALSE),"")</f>
        <v>Cadillac</v>
      </c>
      <c r="F19" s="139"/>
      <c r="G19" s="75"/>
      <c r="H19" s="75"/>
      <c r="I19" s="75"/>
      <c r="J19" s="76">
        <f t="shared" si="0"/>
        <v>18</v>
      </c>
      <c r="K19" s="74" t="str">
        <f>IF('Equipes e Pilotos'!C20&lt;&gt;"",'Equipes e Pilotos'!C20,"")</f>
        <v>Gabriel Bortoleto</v>
      </c>
      <c r="M19" s="77" t="str">
        <f>C577</f>
        <v>George Russell</v>
      </c>
      <c r="N19" s="77" t="str">
        <f>E577</f>
        <v>Mercedes</v>
      </c>
      <c r="O19" s="77">
        <v>1</v>
      </c>
      <c r="P19" s="77" t="str">
        <f>C601</f>
        <v>George Russell</v>
      </c>
      <c r="Q19" s="77" t="str">
        <f>E601</f>
        <v>Mercedes</v>
      </c>
      <c r="R19" s="77">
        <v>1</v>
      </c>
      <c r="S19" s="77" t="str">
        <f>C602</f>
        <v>George Russell</v>
      </c>
      <c r="T19" s="77" t="str">
        <f>E602</f>
        <v>Mercedes</v>
      </c>
      <c r="U19" s="71">
        <v>1</v>
      </c>
      <c r="V19" s="71"/>
      <c r="W19" s="71"/>
      <c r="X19" s="71"/>
    </row>
    <row r="20" spans="1:24" x14ac:dyDescent="0.2">
      <c r="B20" s="138">
        <f>$J$18</f>
        <v>17</v>
      </c>
      <c r="C20" s="86" t="s">
        <v>305</v>
      </c>
      <c r="D20" s="87" t="str">
        <f>IF(C20&lt;&gt;"",VLOOKUP(C20,'Dummy Table'!$B$3:$C$30,2,FALSE),"")</f>
        <v>Canadá</v>
      </c>
      <c r="E20" s="87" t="str">
        <f>IF(C20&lt;&gt;"",VLOOKUP(C20,'Dummy Table'!$B$3:$D$30,3,FALSE),"")</f>
        <v>Aston Martin</v>
      </c>
      <c r="F20" s="139" t="s">
        <v>427</v>
      </c>
      <c r="G20" s="75"/>
      <c r="H20" s="75"/>
      <c r="I20" s="75"/>
      <c r="J20" s="76">
        <f t="shared" si="0"/>
        <v>19</v>
      </c>
      <c r="K20" s="74" t="str">
        <f>IF('Equipes e Pilotos'!C21&lt;&gt;"",'Equipes e Pilotos'!C21,"")</f>
        <v>Pierre Gasly</v>
      </c>
      <c r="M20" s="77" t="str">
        <f>C630</f>
        <v>Max Verstappen</v>
      </c>
      <c r="N20" s="77" t="str">
        <f>E630</f>
        <v>Red Bull</v>
      </c>
      <c r="O20" s="77">
        <v>1</v>
      </c>
      <c r="P20" s="77" t="str">
        <f>C654</f>
        <v>Max Verstappen</v>
      </c>
      <c r="Q20" s="77" t="str">
        <f>E654</f>
        <v>Red Bull</v>
      </c>
      <c r="R20" s="77">
        <v>1</v>
      </c>
      <c r="S20" s="77" t="str">
        <f>C655</f>
        <v>Charles Leclerc</v>
      </c>
      <c r="T20" s="77" t="str">
        <f>E655</f>
        <v>Ferrari</v>
      </c>
      <c r="U20" s="71">
        <v>1</v>
      </c>
      <c r="V20" s="71"/>
      <c r="W20" s="71"/>
      <c r="X20" s="71"/>
    </row>
    <row r="21" spans="1:24" x14ac:dyDescent="0.2">
      <c r="B21" s="138">
        <f>$J$19</f>
        <v>18</v>
      </c>
      <c r="C21" s="86" t="s">
        <v>30</v>
      </c>
      <c r="D21" s="87" t="str">
        <f>IF(C21&lt;&gt;"",VLOOKUP(C21,'Dummy Table'!$B$3:$C$30,2,FALSE),"")</f>
        <v>Espanha</v>
      </c>
      <c r="E21" s="87" t="str">
        <f>IF(C21&lt;&gt;"",VLOOKUP(C21,'Dummy Table'!$B$3:$D$30,3,FALSE),"")</f>
        <v>Aston Martin</v>
      </c>
      <c r="F21" s="139" t="s">
        <v>427</v>
      </c>
      <c r="G21" s="75"/>
      <c r="H21" s="75"/>
      <c r="I21" s="75"/>
      <c r="J21" s="76">
        <f t="shared" si="0"/>
        <v>20</v>
      </c>
      <c r="K21" s="74" t="str">
        <f>IF('Equipes e Pilotos'!C22&lt;&gt;"",'Equipes e Pilotos'!C22,"")</f>
        <v>Franco Colapinto</v>
      </c>
      <c r="M21" s="77">
        <f>C658</f>
        <v>0</v>
      </c>
      <c r="N21" s="77" t="str">
        <f>E658</f>
        <v/>
      </c>
      <c r="O21" s="77">
        <v>1</v>
      </c>
      <c r="P21" s="77">
        <f>C682</f>
        <v>0</v>
      </c>
      <c r="Q21" s="77" t="str">
        <f>E682</f>
        <v/>
      </c>
      <c r="R21" s="77">
        <v>1</v>
      </c>
      <c r="S21" s="77">
        <f>C683</f>
        <v>0</v>
      </c>
      <c r="T21" s="77" t="str">
        <f>E683</f>
        <v/>
      </c>
      <c r="U21" s="71">
        <v>1</v>
      </c>
      <c r="V21" s="71"/>
      <c r="W21" s="71"/>
      <c r="X21" s="71"/>
    </row>
    <row r="22" spans="1:24" x14ac:dyDescent="0.2">
      <c r="B22" s="138">
        <f>$J$20</f>
        <v>19</v>
      </c>
      <c r="C22" s="86" t="s">
        <v>397</v>
      </c>
      <c r="D22" s="87" t="str">
        <f>IF(C22&lt;&gt;"",VLOOKUP(C22,'Dummy Table'!$B$3:$C$30,2,FALSE),"")</f>
        <v>Finlândia</v>
      </c>
      <c r="E22" s="87" t="str">
        <f>IF(C22&lt;&gt;"",VLOOKUP(C22,'Dummy Table'!$B$3:$D$30,3,FALSE),"")</f>
        <v>Cadillac</v>
      </c>
      <c r="F22" s="139" t="s">
        <v>427</v>
      </c>
      <c r="G22" s="75"/>
      <c r="H22" s="75"/>
      <c r="I22" s="75"/>
      <c r="J22" s="76">
        <f t="shared" si="0"/>
        <v>21</v>
      </c>
      <c r="K22" s="74" t="str">
        <f>IF('Equipes e Pilotos'!C23&lt;&gt;"",'Equipes e Pilotos'!C23,"")</f>
        <v>Sergio Perez</v>
      </c>
      <c r="M22" s="77">
        <f>C686</f>
        <v>0</v>
      </c>
      <c r="N22" s="77" t="str">
        <f>E686</f>
        <v/>
      </c>
      <c r="O22" s="77">
        <v>1</v>
      </c>
      <c r="P22" s="77">
        <f>C710</f>
        <v>0</v>
      </c>
      <c r="Q22" s="77" t="str">
        <f>E710</f>
        <v/>
      </c>
      <c r="R22" s="77">
        <v>1</v>
      </c>
      <c r="S22" s="77">
        <f>C711</f>
        <v>0</v>
      </c>
      <c r="T22" s="77" t="str">
        <f>E711</f>
        <v/>
      </c>
      <c r="U22" s="71">
        <v>1</v>
      </c>
      <c r="V22" s="71"/>
      <c r="W22" s="71"/>
      <c r="X22" s="71"/>
    </row>
    <row r="23" spans="1:24" x14ac:dyDescent="0.2">
      <c r="B23" s="138">
        <f>$J$21</f>
        <v>20</v>
      </c>
      <c r="C23" s="86" t="s">
        <v>406</v>
      </c>
      <c r="D23" s="87" t="str">
        <f>IF(C23&lt;&gt;"",VLOOKUP(C23,'Dummy Table'!$B$3:$C$30,2,FALSE),"")</f>
        <v>França</v>
      </c>
      <c r="E23" s="87" t="str">
        <f>IF(C23&lt;&gt;"",VLOOKUP(C23,'Dummy Table'!$B$3:$D$30,3,FALSE),"")</f>
        <v>Red Bull</v>
      </c>
      <c r="F23" s="139" t="s">
        <v>427</v>
      </c>
      <c r="G23" s="75"/>
      <c r="H23" s="75"/>
      <c r="I23" s="75"/>
      <c r="J23" s="76">
        <f t="shared" si="0"/>
        <v>22</v>
      </c>
      <c r="K23" s="74" t="str">
        <f>IF('Equipes e Pilotos'!C24&lt;&gt;"",'Equipes e Pilotos'!C24,"")</f>
        <v>Valtteri Bottas</v>
      </c>
      <c r="M23" s="77">
        <f>C714</f>
        <v>0</v>
      </c>
      <c r="N23" s="77" t="str">
        <f>E714</f>
        <v/>
      </c>
      <c r="O23" s="77">
        <v>1</v>
      </c>
      <c r="P23" s="77">
        <f>C738</f>
        <v>0</v>
      </c>
      <c r="Q23" s="77" t="str">
        <f>E738</f>
        <v/>
      </c>
      <c r="R23" s="77">
        <v>1</v>
      </c>
      <c r="S23" s="77">
        <f>C739</f>
        <v>0</v>
      </c>
      <c r="T23" s="77" t="str">
        <f>E739</f>
        <v/>
      </c>
      <c r="U23" s="71">
        <v>1</v>
      </c>
      <c r="V23" s="71"/>
      <c r="W23" s="71"/>
      <c r="X23" s="71"/>
    </row>
    <row r="24" spans="1:24" x14ac:dyDescent="0.2">
      <c r="B24" s="138">
        <f>$J$22</f>
        <v>21</v>
      </c>
      <c r="C24" s="86" t="s">
        <v>323</v>
      </c>
      <c r="D24" s="87" t="str">
        <f>IF(C24&lt;&gt;"",VLOOKUP(C24,'Dummy Table'!$B$3:$C$30,2,FALSE),"")</f>
        <v>Austrália</v>
      </c>
      <c r="E24" s="87" t="str">
        <f>IF(C24&lt;&gt;"",VLOOKUP(C24,'Dummy Table'!$B$3:$D$30,3,FALSE),"")</f>
        <v>McLaren</v>
      </c>
      <c r="F24" s="139" t="s">
        <v>428</v>
      </c>
      <c r="G24" s="75"/>
      <c r="H24" s="75"/>
      <c r="I24" s="75"/>
      <c r="J24" s="76">
        <f t="shared" si="0"/>
        <v>23</v>
      </c>
      <c r="K24" s="74" t="str">
        <f>IF('Equipes e Pilotos'!C25&lt;&gt;"",'Equipes e Pilotos'!C25,"")</f>
        <v>Yuki Tsunoda</v>
      </c>
      <c r="M24" s="77">
        <f>C742</f>
        <v>0</v>
      </c>
      <c r="N24" s="77" t="str">
        <f>E742</f>
        <v/>
      </c>
      <c r="O24" s="77">
        <v>1</v>
      </c>
      <c r="P24" s="77">
        <f>C766</f>
        <v>0</v>
      </c>
      <c r="Q24" s="77" t="str">
        <f>E766</f>
        <v/>
      </c>
      <c r="R24" s="77">
        <v>1</v>
      </c>
      <c r="S24" s="77">
        <f>C767</f>
        <v>0</v>
      </c>
      <c r="T24" s="77" t="str">
        <f>E767</f>
        <v/>
      </c>
      <c r="U24" s="71">
        <v>1</v>
      </c>
      <c r="V24" s="71"/>
      <c r="W24" s="71"/>
      <c r="X24" s="71"/>
    </row>
    <row r="25" spans="1:24" x14ac:dyDescent="0.2">
      <c r="B25" s="138">
        <f>$J$23</f>
        <v>22</v>
      </c>
      <c r="C25" s="86" t="s">
        <v>252</v>
      </c>
      <c r="D25" s="87" t="str">
        <f>IF(C25&lt;&gt;"",VLOOKUP(C25,'Dummy Table'!$B$3:$C$30,2,FALSE),"")</f>
        <v>Alemanha</v>
      </c>
      <c r="E25" s="87" t="str">
        <f>IF(C25&lt;&gt;"",VLOOKUP(C25,'Dummy Table'!$B$3:$D$30,3,FALSE),"")</f>
        <v>Audi</v>
      </c>
      <c r="F25" s="139" t="s">
        <v>428</v>
      </c>
      <c r="G25" s="75"/>
      <c r="H25" s="75"/>
      <c r="I25" s="75"/>
      <c r="J25" s="76" t="str">
        <f t="shared" si="0"/>
        <v/>
      </c>
      <c r="K25" s="74" t="str">
        <f>IF('Equipes e Pilotos'!C26&lt;&gt;"",'Equipes e Pilotos'!C26,"")</f>
        <v/>
      </c>
      <c r="M25" s="77">
        <f>C770</f>
        <v>0</v>
      </c>
      <c r="N25" s="77" t="str">
        <f>E770</f>
        <v/>
      </c>
      <c r="O25" s="77">
        <v>1</v>
      </c>
      <c r="P25" s="77">
        <f>C794</f>
        <v>0</v>
      </c>
      <c r="Q25" s="77" t="str">
        <f>E794</f>
        <v/>
      </c>
      <c r="R25" s="77">
        <v>1</v>
      </c>
      <c r="S25" s="77">
        <f>C795</f>
        <v>0</v>
      </c>
      <c r="T25" s="77" t="str">
        <f>E795</f>
        <v/>
      </c>
      <c r="U25" s="71">
        <v>1</v>
      </c>
      <c r="V25" s="71"/>
      <c r="W25" s="71"/>
      <c r="X25" s="71"/>
    </row>
    <row r="26" spans="1:24" ht="12.75" hidden="1" customHeight="1" x14ac:dyDescent="0.2">
      <c r="B26" s="138">
        <f>$J$24</f>
        <v>23</v>
      </c>
      <c r="C26" s="78"/>
      <c r="D26" s="68" t="str">
        <f>IF(C26&lt;&gt;"",VLOOKUP(C26,'Dummy Table'!$B$3:$C$30,2,FALSE),"")</f>
        <v/>
      </c>
      <c r="E26" s="68" t="str">
        <f>IF(C26&lt;&gt;"",VLOOKUP(C26,'Dummy Table'!$B$3:$D$30,3,FALSE),"")</f>
        <v/>
      </c>
      <c r="F26" s="140"/>
      <c r="G26" s="75"/>
      <c r="H26" s="75"/>
      <c r="I26" s="75"/>
      <c r="J26" s="76" t="str">
        <f t="shared" si="0"/>
        <v/>
      </c>
      <c r="K26" s="74" t="str">
        <f>IF('Equipes e Pilotos'!C27&lt;&gt;"",'Equipes e Pilotos'!C27,"")</f>
        <v/>
      </c>
      <c r="M26" s="77">
        <f>C798</f>
        <v>0</v>
      </c>
      <c r="N26" s="77" t="str">
        <f>E798</f>
        <v/>
      </c>
      <c r="O26" s="77">
        <v>1</v>
      </c>
      <c r="P26" s="77">
        <f>C822</f>
        <v>0</v>
      </c>
      <c r="Q26" s="77" t="str">
        <f>E822</f>
        <v/>
      </c>
      <c r="R26" s="77">
        <v>1</v>
      </c>
      <c r="S26" s="77">
        <f>C823</f>
        <v>0</v>
      </c>
      <c r="T26" s="77" t="str">
        <f>E823</f>
        <v/>
      </c>
      <c r="U26" s="71">
        <v>1</v>
      </c>
      <c r="V26" s="71"/>
      <c r="W26" s="71"/>
      <c r="X26" s="71"/>
    </row>
    <row r="27" spans="1:24" ht="12.75" hidden="1" customHeight="1" x14ac:dyDescent="0.2">
      <c r="B27" s="138" t="str">
        <f>$J$25</f>
        <v/>
      </c>
      <c r="C27" s="78"/>
      <c r="D27" s="68" t="str">
        <f>IF(C27&lt;&gt;"",VLOOKUP(C27,'Dummy Table'!$B$3:$C$30,2,FALSE),"")</f>
        <v/>
      </c>
      <c r="E27" s="68" t="str">
        <f>IF(C27&lt;&gt;"",VLOOKUP(C27,'Dummy Table'!$B$3:$D$30,3,FALSE),"")</f>
        <v/>
      </c>
      <c r="F27" s="140"/>
      <c r="G27" s="75"/>
      <c r="H27" s="75"/>
      <c r="I27" s="75"/>
      <c r="J27" s="76" t="str">
        <f t="shared" si="0"/>
        <v/>
      </c>
      <c r="K27" s="74" t="str">
        <f>IF('Equipes e Pilotos'!C28&lt;&gt;"",'Equipes e Pilotos'!C28,"")</f>
        <v/>
      </c>
      <c r="O27" s="77"/>
      <c r="P27" s="77"/>
      <c r="Q27" s="77"/>
      <c r="R27" s="77"/>
      <c r="S27" s="77"/>
      <c r="T27" s="77"/>
      <c r="V27" s="71"/>
      <c r="W27" s="71"/>
      <c r="X27" s="71"/>
    </row>
    <row r="28" spans="1:24" x14ac:dyDescent="0.2">
      <c r="B28" s="141" t="s">
        <v>243</v>
      </c>
      <c r="C28" s="88" t="s">
        <v>353</v>
      </c>
      <c r="D28" s="89" t="str">
        <f>IF(C28&lt;&gt;"",VLOOKUP(C28,'Dummy Table'!$B$3:$C$30,2,FALSE),"")</f>
        <v>Inglaterra</v>
      </c>
      <c r="E28" s="89" t="str">
        <f>IF(C28&lt;&gt;"",VLOOKUP(C28,'Dummy Table'!$B$3:$D$30,3,FALSE),"")</f>
        <v>Mercedes</v>
      </c>
      <c r="F28" s="142"/>
      <c r="G28" s="75"/>
      <c r="H28" s="75"/>
      <c r="I28" s="75"/>
      <c r="J28" s="76" t="str">
        <f>IF(K28="","",J27+1)</f>
        <v/>
      </c>
      <c r="K28" s="74" t="str">
        <f>IF('Equipes e Pilotos'!C29&lt;&gt;"",'Equipes e Pilotos'!C29,"")</f>
        <v/>
      </c>
      <c r="M28" s="77"/>
      <c r="N28" s="77" t="str">
        <f>E742</f>
        <v/>
      </c>
      <c r="O28" s="77"/>
      <c r="P28" s="77"/>
      <c r="Q28" s="77" t="str">
        <f>E766</f>
        <v/>
      </c>
      <c r="R28" s="77"/>
      <c r="S28" s="77"/>
      <c r="T28" s="77" t="str">
        <f>E767</f>
        <v/>
      </c>
      <c r="V28" s="71"/>
      <c r="W28" s="71"/>
      <c r="X28" s="71"/>
    </row>
    <row r="29" spans="1:24" ht="13.5" thickBot="1" x14ac:dyDescent="0.25">
      <c r="B29" s="143" t="s">
        <v>234</v>
      </c>
      <c r="C29" s="144" t="s">
        <v>299</v>
      </c>
      <c r="D29" s="145" t="str">
        <f>IF(C29&lt;&gt;"",VLOOKUP(C29,'Dummy Table'!$B$3:$C$30,2,FALSE),"")</f>
        <v>Holanda</v>
      </c>
      <c r="E29" s="145" t="str">
        <f>IF(C29&lt;&gt;"",VLOOKUP(C29,'Dummy Table'!$B$3:$D$30,3,FALSE),"")</f>
        <v>Red Bull</v>
      </c>
      <c r="F29" s="146"/>
      <c r="G29" s="75"/>
      <c r="H29" s="69">
        <f>IF(C29="",F29,0)</f>
        <v>0</v>
      </c>
      <c r="I29" s="75"/>
      <c r="J29" s="76" t="str">
        <f>IF(K29="","",J28+1)</f>
        <v/>
      </c>
      <c r="K29" s="74" t="str">
        <f>IF('Equipes e Pilotos'!C30&lt;&gt;"",'Equipes e Pilotos'!C30,"")</f>
        <v/>
      </c>
      <c r="M29" s="77"/>
      <c r="N29" s="77" t="str">
        <f>E770</f>
        <v/>
      </c>
      <c r="O29" s="77"/>
      <c r="P29" s="77"/>
      <c r="Q29" s="77" t="str">
        <f>E794</f>
        <v/>
      </c>
      <c r="R29" s="77"/>
      <c r="S29" s="77"/>
      <c r="T29" s="77" t="str">
        <f>E795</f>
        <v/>
      </c>
      <c r="V29" s="71"/>
      <c r="W29" s="71"/>
      <c r="X29" s="71"/>
    </row>
    <row r="30" spans="1:24" x14ac:dyDescent="0.2">
      <c r="A30" s="91">
        <v>2</v>
      </c>
      <c r="B30" s="132">
        <f>VLOOKUP($A30,'Calendário atual'!$A$2:$E$30,2,FALSE)</f>
        <v>46096</v>
      </c>
      <c r="C30" s="175" t="str">
        <f>VLOOKUP($A30,'Calendário atual'!$A$2:$E$30,4,FALSE)</f>
        <v>FORMULA 1 HEINEKEN CHINESE GRAND PRIX 2026</v>
      </c>
      <c r="D30" s="175"/>
      <c r="E30" s="175"/>
      <c r="F30" s="133" t="str">
        <f>VLOOKUP($A30,'Calendário atual'!$A$2:$E$30,3,FALSE)</f>
        <v>China</v>
      </c>
      <c r="G30" s="75"/>
      <c r="H30" s="75"/>
      <c r="I30" s="75"/>
      <c r="K30" s="81">
        <f>SUM(H:H)</f>
        <v>301</v>
      </c>
      <c r="M30" s="77"/>
      <c r="N30" s="77" t="str">
        <f>E798</f>
        <v/>
      </c>
      <c r="O30" s="77"/>
      <c r="P30" s="77"/>
      <c r="Q30" s="77" t="str">
        <f>E822</f>
        <v/>
      </c>
      <c r="R30" s="77"/>
      <c r="S30" s="77"/>
      <c r="T30" s="77" t="str">
        <f>E823</f>
        <v/>
      </c>
      <c r="V30" s="71"/>
      <c r="W30" s="71"/>
      <c r="X30" s="71"/>
    </row>
    <row r="31" spans="1:24" x14ac:dyDescent="0.2">
      <c r="B31" s="147"/>
      <c r="C31" s="93" t="s">
        <v>354</v>
      </c>
      <c r="D31" s="94"/>
      <c r="E31" s="94"/>
      <c r="F31" s="148"/>
      <c r="G31" s="75"/>
      <c r="H31" s="75"/>
      <c r="I31" s="75"/>
      <c r="K31" s="81"/>
      <c r="M31" s="77"/>
      <c r="N31" s="77"/>
      <c r="O31" s="77"/>
      <c r="P31" s="77"/>
      <c r="Q31" s="77"/>
      <c r="R31" s="77"/>
      <c r="S31" s="77"/>
      <c r="T31" s="77"/>
      <c r="V31" s="71"/>
      <c r="W31" s="71"/>
      <c r="X31" s="71"/>
    </row>
    <row r="32" spans="1:24" x14ac:dyDescent="0.2">
      <c r="B32" s="134" t="s">
        <v>14</v>
      </c>
      <c r="C32" s="90" t="s">
        <v>29</v>
      </c>
      <c r="D32" s="90" t="s">
        <v>16</v>
      </c>
      <c r="E32" s="90" t="s">
        <v>17</v>
      </c>
      <c r="F32" s="135" t="s">
        <v>18</v>
      </c>
      <c r="M32" s="82"/>
      <c r="N32" s="82"/>
      <c r="O32" s="82"/>
      <c r="P32" s="79"/>
      <c r="Q32" s="79"/>
      <c r="R32" s="79"/>
      <c r="V32" s="71"/>
      <c r="W32" s="71"/>
      <c r="X32" s="71"/>
    </row>
    <row r="33" spans="1:26" x14ac:dyDescent="0.2">
      <c r="B33" s="136">
        <f>$J$2</f>
        <v>1</v>
      </c>
      <c r="C33" s="86" t="s">
        <v>353</v>
      </c>
      <c r="D33" s="87" t="str">
        <f>IF(C33&lt;&gt;"",VLOOKUP(C33,'Dummy Table'!$B$3:$C$30,2,FALSE),"")</f>
        <v>Inglaterra</v>
      </c>
      <c r="E33" s="87" t="str">
        <f>IF(C33&lt;&gt;"",VLOOKUP(C33,'Dummy Table'!$B$3:$D$30,3,FALSE),"")</f>
        <v>Mercedes</v>
      </c>
      <c r="F33" s="137">
        <v>8</v>
      </c>
      <c r="G33" s="69">
        <f>IF(C33="",F33,0)</f>
        <v>0</v>
      </c>
      <c r="H33" s="69">
        <f>IF(C33="",F33,0)</f>
        <v>0</v>
      </c>
      <c r="K33" s="74"/>
      <c r="V33" s="71"/>
      <c r="W33" s="71"/>
      <c r="X33" s="71"/>
    </row>
    <row r="34" spans="1:26" x14ac:dyDescent="0.2">
      <c r="B34" s="138">
        <f>$J$3</f>
        <v>2</v>
      </c>
      <c r="C34" s="86" t="s">
        <v>307</v>
      </c>
      <c r="D34" s="87" t="str">
        <f>IF(C34&lt;&gt;"",VLOOKUP(C34,'Dummy Table'!$B$3:$C$30,2,FALSE),"")</f>
        <v>Mônaco</v>
      </c>
      <c r="E34" s="87" t="str">
        <f>IF(C34&lt;&gt;"",VLOOKUP(C34,'Dummy Table'!$B$3:$D$30,3,FALSE),"")</f>
        <v>Ferrari</v>
      </c>
      <c r="F34" s="137">
        <v>7</v>
      </c>
      <c r="H34" s="69">
        <f>IF(C34="",F34,0)</f>
        <v>0</v>
      </c>
      <c r="K34" s="77" t="s">
        <v>291</v>
      </c>
      <c r="L34" s="77" t="s">
        <v>291</v>
      </c>
    </row>
    <row r="35" spans="1:26" x14ac:dyDescent="0.2">
      <c r="B35" s="138">
        <f>$J$4</f>
        <v>3</v>
      </c>
      <c r="C35" s="86" t="s">
        <v>1</v>
      </c>
      <c r="D35" s="87" t="str">
        <f>IF(C35&lt;&gt;"",VLOOKUP(C35,'Dummy Table'!$B$3:$C$30,2,FALSE),"")</f>
        <v>Inglaterra</v>
      </c>
      <c r="E35" s="87" t="str">
        <f>IF(C35&lt;&gt;"",VLOOKUP(C35,'Dummy Table'!$B$3:$D$30,3,FALSE),"")</f>
        <v>Ferrari</v>
      </c>
      <c r="F35" s="137">
        <v>6</v>
      </c>
      <c r="K35" s="77">
        <f>SUM(G:G)</f>
        <v>175</v>
      </c>
      <c r="L35" s="77">
        <f>SUM(H:H)</f>
        <v>301</v>
      </c>
    </row>
    <row r="36" spans="1:26" x14ac:dyDescent="0.2">
      <c r="B36" s="138">
        <f>$J$5</f>
        <v>4</v>
      </c>
      <c r="C36" s="86" t="s">
        <v>310</v>
      </c>
      <c r="D36" s="87" t="str">
        <f>IF(C36&lt;&gt;"",VLOOKUP(C36,'Dummy Table'!$B$3:$C$30,2,FALSE),"")</f>
        <v>Inglaterra</v>
      </c>
      <c r="E36" s="87" t="str">
        <f>IF(C36&lt;&gt;"",VLOOKUP(C36,'Dummy Table'!$B$3:$D$30,3,FALSE),"")</f>
        <v>McLaren</v>
      </c>
      <c r="F36" s="137">
        <v>5</v>
      </c>
      <c r="K36" s="77" t="s">
        <v>292</v>
      </c>
      <c r="L36" s="77" t="s">
        <v>292</v>
      </c>
    </row>
    <row r="37" spans="1:26" x14ac:dyDescent="0.2">
      <c r="B37" s="138">
        <f>$J$6</f>
        <v>5</v>
      </c>
      <c r="C37" s="86" t="s">
        <v>324</v>
      </c>
      <c r="D37" s="87" t="str">
        <f>IF(C37&lt;&gt;"",VLOOKUP(C37,'Dummy Table'!$B$3:$C$30,2,FALSE),"")</f>
        <v>Itália</v>
      </c>
      <c r="E37" s="87" t="str">
        <f>IF(C37&lt;&gt;"",VLOOKUP(C37,'Dummy Table'!$B$3:$D$30,3,FALSE),"")</f>
        <v>Mercedes</v>
      </c>
      <c r="F37" s="137">
        <v>4</v>
      </c>
    </row>
    <row r="38" spans="1:26" x14ac:dyDescent="0.2">
      <c r="B38" s="138">
        <f>$J$7</f>
        <v>6</v>
      </c>
      <c r="C38" s="86" t="s">
        <v>323</v>
      </c>
      <c r="D38" s="87" t="str">
        <f>IF(C38&lt;&gt;"",VLOOKUP(C38,'Dummy Table'!$B$3:$C$30,2,FALSE),"")</f>
        <v>Austrália</v>
      </c>
      <c r="E38" s="87" t="str">
        <f>IF(C38&lt;&gt;"",VLOOKUP(C38,'Dummy Table'!$B$3:$D$30,3,FALSE),"")</f>
        <v>McLaren</v>
      </c>
      <c r="F38" s="137">
        <v>3</v>
      </c>
      <c r="K38" s="74"/>
    </row>
    <row r="39" spans="1:26" x14ac:dyDescent="0.2">
      <c r="B39" s="138">
        <f>$J$8</f>
        <v>7</v>
      </c>
      <c r="C39" s="86" t="s">
        <v>408</v>
      </c>
      <c r="D39" s="87" t="str">
        <f>IF(C39&lt;&gt;"",VLOOKUP(C39,'Dummy Table'!$B$3:$C$30,2,FALSE),"")</f>
        <v>Austrália</v>
      </c>
      <c r="E39" s="87" t="str">
        <f>IF(C39&lt;&gt;"",VLOOKUP(C39,'Dummy Table'!$B$3:$D$30,3,FALSE),"")</f>
        <v>Racing Bulls</v>
      </c>
      <c r="F39" s="137">
        <v>2</v>
      </c>
      <c r="K39" s="74"/>
    </row>
    <row r="40" spans="1:26" x14ac:dyDescent="0.2">
      <c r="B40" s="138">
        <f>$J$9</f>
        <v>8</v>
      </c>
      <c r="C40" s="86" t="s">
        <v>325</v>
      </c>
      <c r="D40" s="87" t="str">
        <f>IF(C40&lt;&gt;"",VLOOKUP(C40,'Dummy Table'!$B$3:$C$30,2,FALSE),"")</f>
        <v>Inglaterra</v>
      </c>
      <c r="E40" s="87" t="str">
        <f>IF(C40&lt;&gt;"",VLOOKUP(C40,'Dummy Table'!$B$3:$D$30,3,FALSE),"")</f>
        <v>Haas</v>
      </c>
      <c r="F40" s="137">
        <v>1</v>
      </c>
      <c r="K40" s="74"/>
    </row>
    <row r="41" spans="1:26" s="80" customFormat="1" x14ac:dyDescent="0.2">
      <c r="A41" s="91"/>
      <c r="B41" s="138">
        <f>$J$10</f>
        <v>9</v>
      </c>
      <c r="C41" s="86" t="s">
        <v>299</v>
      </c>
      <c r="D41" s="87" t="str">
        <f>IF(C41&lt;&gt;"",VLOOKUP(C41,'Dummy Table'!$B$3:$C$30,2,FALSE),"")</f>
        <v>Holanda</v>
      </c>
      <c r="E41" s="87" t="str">
        <f>IF(C41&lt;&gt;"",VLOOKUP(C41,'Dummy Table'!$B$3:$D$30,3,FALSE),"")</f>
        <v>Red Bull</v>
      </c>
      <c r="F41" s="137"/>
      <c r="G41" s="69"/>
      <c r="H41" s="69"/>
      <c r="I41" s="69"/>
      <c r="J41" s="76"/>
      <c r="K41" s="74"/>
      <c r="L41" s="79"/>
      <c r="M41" s="72"/>
      <c r="N41" s="72"/>
      <c r="O41" s="72"/>
      <c r="P41" s="71"/>
      <c r="Q41" s="71"/>
      <c r="R41" s="71"/>
      <c r="S41" s="79"/>
      <c r="T41" s="79"/>
      <c r="U41" s="79"/>
      <c r="V41" s="79"/>
      <c r="W41" s="79"/>
      <c r="X41" s="79"/>
      <c r="Y41" s="79"/>
      <c r="Z41" s="79"/>
    </row>
    <row r="42" spans="1:26" x14ac:dyDescent="0.2">
      <c r="B42" s="138">
        <f>$J$11</f>
        <v>10</v>
      </c>
      <c r="C42" s="86" t="s">
        <v>313</v>
      </c>
      <c r="D42" s="87" t="str">
        <f>IF(C42&lt;&gt;"",VLOOKUP(C42,'Dummy Table'!$B$3:$C$30,2,FALSE),"")</f>
        <v>França</v>
      </c>
      <c r="E42" s="87" t="str">
        <f>IF(C42&lt;&gt;"",VLOOKUP(C42,'Dummy Table'!$B$3:$D$30,3,FALSE),"")</f>
        <v>Haas</v>
      </c>
      <c r="F42" s="137"/>
      <c r="K42" s="74"/>
    </row>
    <row r="43" spans="1:26" x14ac:dyDescent="0.2">
      <c r="B43" s="138">
        <f>$J$12</f>
        <v>11</v>
      </c>
      <c r="C43" s="86" t="s">
        <v>306</v>
      </c>
      <c r="D43" s="87" t="str">
        <f>IF(C43&lt;&gt;"",VLOOKUP(C43,'Dummy Table'!$B$3:$C$30,2,FALSE),"")</f>
        <v>França</v>
      </c>
      <c r="E43" s="87" t="str">
        <f>IF(C43&lt;&gt;"",VLOOKUP(C43,'Dummy Table'!$B$3:$D$30,3,FALSE),"")</f>
        <v>Alpine</v>
      </c>
      <c r="F43" s="139"/>
      <c r="K43" s="74"/>
    </row>
    <row r="44" spans="1:26" x14ac:dyDescent="0.2">
      <c r="B44" s="138">
        <f>$J$13</f>
        <v>12</v>
      </c>
      <c r="C44" s="86" t="s">
        <v>328</v>
      </c>
      <c r="D44" s="87" t="str">
        <f>IF(C44&lt;&gt;"",VLOOKUP(C44,'Dummy Table'!$B$3:$C$30,2,FALSE),"")</f>
        <v>Espanha</v>
      </c>
      <c r="E44" s="87" t="str">
        <f>IF(C44&lt;&gt;"",VLOOKUP(C44,'Dummy Table'!$B$3:$D$30,3,FALSE),"")</f>
        <v>Williams</v>
      </c>
      <c r="F44" s="139"/>
      <c r="K44" s="74"/>
    </row>
    <row r="45" spans="1:26" x14ac:dyDescent="0.2">
      <c r="B45" s="138">
        <f>$J$14</f>
        <v>13</v>
      </c>
      <c r="C45" s="86" t="s">
        <v>329</v>
      </c>
      <c r="D45" s="87" t="str">
        <f>IF(C45&lt;&gt;"",VLOOKUP(C45,'Dummy Table'!$B$3:$C$30,2,FALSE),"")</f>
        <v>Brasil</v>
      </c>
      <c r="E45" s="87" t="str">
        <f>IF(C45&lt;&gt;"",VLOOKUP(C45,'Dummy Table'!$B$3:$D$30,3,FALSE),"")</f>
        <v>Audi</v>
      </c>
      <c r="F45" s="139"/>
      <c r="G45" s="75"/>
      <c r="H45" s="75"/>
      <c r="I45" s="75"/>
      <c r="K45" s="74"/>
    </row>
    <row r="46" spans="1:26" x14ac:dyDescent="0.2">
      <c r="B46" s="138">
        <f>$J$15</f>
        <v>14</v>
      </c>
      <c r="C46" s="86" t="s">
        <v>412</v>
      </c>
      <c r="D46" s="87" t="str">
        <f>IF(C46&lt;&gt;"",VLOOKUP(C46,'Dummy Table'!$B$3:$C$30,2,FALSE),"")</f>
        <v>Argentina</v>
      </c>
      <c r="E46" s="87" t="str">
        <f>IF(C46&lt;&gt;"",VLOOKUP(C46,'Dummy Table'!$B$3:$D$30,3,FALSE),"")</f>
        <v>Alpine</v>
      </c>
      <c r="F46" s="139"/>
      <c r="G46" s="75"/>
      <c r="H46" s="75"/>
      <c r="I46" s="75"/>
      <c r="K46" s="74"/>
      <c r="M46" s="82"/>
      <c r="N46" s="82"/>
      <c r="O46" s="82"/>
      <c r="P46" s="79"/>
      <c r="Q46" s="79"/>
      <c r="R46" s="79"/>
    </row>
    <row r="47" spans="1:26" x14ac:dyDescent="0.2">
      <c r="B47" s="138">
        <f>$J$16</f>
        <v>15</v>
      </c>
      <c r="C47" s="86" t="s">
        <v>406</v>
      </c>
      <c r="D47" s="87" t="str">
        <f>IF(C47&lt;&gt;"",VLOOKUP(C47,'Dummy Table'!$B$3:$C$30,2,FALSE),"")</f>
        <v>França</v>
      </c>
      <c r="E47" s="87" t="str">
        <f>IF(C47&lt;&gt;"",VLOOKUP(C47,'Dummy Table'!$B$3:$D$30,3,FALSE),"")</f>
        <v>Red Bull</v>
      </c>
      <c r="F47" s="139"/>
      <c r="G47" s="75"/>
      <c r="H47" s="75"/>
      <c r="I47" s="75"/>
      <c r="K47" s="74"/>
    </row>
    <row r="48" spans="1:26" x14ac:dyDescent="0.2">
      <c r="B48" s="138">
        <f>$J$17</f>
        <v>16</v>
      </c>
      <c r="C48" s="86" t="s">
        <v>309</v>
      </c>
      <c r="D48" s="87" t="str">
        <f>IF(C48&lt;&gt;"",VLOOKUP(C48,'Dummy Table'!$B$3:$C$30,2,FALSE),"")</f>
        <v>Tailandia</v>
      </c>
      <c r="E48" s="87" t="str">
        <f>IF(C48&lt;&gt;"",VLOOKUP(C48,'Dummy Table'!$B$3:$D$30,3,FALSE),"")</f>
        <v>Williams</v>
      </c>
      <c r="F48" s="139"/>
      <c r="G48" s="75"/>
      <c r="H48" s="75"/>
      <c r="I48" s="75"/>
      <c r="K48" s="74"/>
    </row>
    <row r="49" spans="2:24" x14ac:dyDescent="0.2">
      <c r="B49" s="138">
        <f>$J$18</f>
        <v>17</v>
      </c>
      <c r="C49" s="86" t="s">
        <v>30</v>
      </c>
      <c r="D49" s="87" t="str">
        <f>IF(C49&lt;&gt;"",VLOOKUP(C49,'Dummy Table'!$B$3:$C$30,2,FALSE),"")</f>
        <v>Espanha</v>
      </c>
      <c r="E49" s="87" t="str">
        <f>IF(C49&lt;&gt;"",VLOOKUP(C49,'Dummy Table'!$B$3:$D$30,3,FALSE),"")</f>
        <v>Aston Martin</v>
      </c>
      <c r="F49" s="139"/>
      <c r="G49" s="75"/>
      <c r="H49" s="75"/>
      <c r="I49" s="75"/>
    </row>
    <row r="50" spans="2:24" x14ac:dyDescent="0.2">
      <c r="B50" s="138">
        <f>$J$19</f>
        <v>18</v>
      </c>
      <c r="C50" s="86" t="s">
        <v>305</v>
      </c>
      <c r="D50" s="87" t="str">
        <f>IF(C50&lt;&gt;"",VLOOKUP(C50,'Dummy Table'!$B$3:$C$30,2,FALSE),"")</f>
        <v>Canadá</v>
      </c>
      <c r="E50" s="87" t="str">
        <f>IF(C50&lt;&gt;"",VLOOKUP(C50,'Dummy Table'!$B$3:$D$30,3,FALSE),"")</f>
        <v>Aston Martin</v>
      </c>
      <c r="F50" s="139"/>
      <c r="G50" s="75"/>
      <c r="H50" s="75"/>
      <c r="I50" s="75"/>
      <c r="K50" s="79"/>
    </row>
    <row r="51" spans="2:24" x14ac:dyDescent="0.2">
      <c r="B51" s="138">
        <f>$J$20</f>
        <v>19</v>
      </c>
      <c r="C51" s="86" t="s">
        <v>396</v>
      </c>
      <c r="D51" s="87" t="str">
        <f>IF(C51&lt;&gt;"",VLOOKUP(C51,'Dummy Table'!$B$3:$C$30,2,FALSE),"")</f>
        <v>México</v>
      </c>
      <c r="E51" s="87" t="str">
        <f>IF(C51&lt;&gt;"",VLOOKUP(C51,'Dummy Table'!$B$3:$D$30,3,FALSE),"")</f>
        <v>Cadillac</v>
      </c>
      <c r="F51" s="139"/>
      <c r="G51" s="75"/>
      <c r="H51" s="75"/>
      <c r="I51" s="75"/>
    </row>
    <row r="52" spans="2:24" x14ac:dyDescent="0.2">
      <c r="B52" s="138">
        <f>$J$21</f>
        <v>20</v>
      </c>
      <c r="C52" s="86" t="s">
        <v>252</v>
      </c>
      <c r="D52" s="87" t="str">
        <f>IF(C52&lt;&gt;"",VLOOKUP(C52,'Dummy Table'!$B$3:$C$30,2,FALSE),"")</f>
        <v>Alemanha</v>
      </c>
      <c r="E52" s="87" t="str">
        <f>IF(C52&lt;&gt;"",VLOOKUP(C52,'Dummy Table'!$B$3:$D$30,3,FALSE),"")</f>
        <v>Audi</v>
      </c>
      <c r="F52" s="139" t="s">
        <v>427</v>
      </c>
      <c r="G52" s="75"/>
      <c r="H52" s="75"/>
      <c r="I52" s="75"/>
      <c r="K52" s="74"/>
    </row>
    <row r="53" spans="2:24" x14ac:dyDescent="0.2">
      <c r="B53" s="138">
        <f>$J$22</f>
        <v>21</v>
      </c>
      <c r="C53" s="86" t="s">
        <v>397</v>
      </c>
      <c r="D53" s="87" t="str">
        <f>IF(C53&lt;&gt;"",VLOOKUP(C53,'Dummy Table'!$B$3:$C$30,2,FALSE),"")</f>
        <v>Finlândia</v>
      </c>
      <c r="E53" s="87" t="str">
        <f>IF(C53&lt;&gt;"",VLOOKUP(C53,'Dummy Table'!$B$3:$D$30,3,FALSE),"")</f>
        <v>Cadillac</v>
      </c>
      <c r="F53" s="139" t="s">
        <v>427</v>
      </c>
      <c r="G53" s="75"/>
      <c r="H53" s="75"/>
      <c r="I53" s="75"/>
      <c r="K53" s="74"/>
    </row>
    <row r="54" spans="2:24" x14ac:dyDescent="0.2">
      <c r="B54" s="138">
        <f>$J$23</f>
        <v>22</v>
      </c>
      <c r="C54" s="86" t="s">
        <v>407</v>
      </c>
      <c r="D54" s="87" t="str">
        <f>IF(C54&lt;&gt;"",VLOOKUP(C54,'Dummy Table'!$B$3:$C$30,2,FALSE),"")</f>
        <v>Inglaterra</v>
      </c>
      <c r="E54" s="87" t="str">
        <f>IF(C54&lt;&gt;"",VLOOKUP(C54,'Dummy Table'!$B$3:$D$30,3,FALSE),"")</f>
        <v>Racing Bulls</v>
      </c>
      <c r="F54" s="139" t="s">
        <v>427</v>
      </c>
      <c r="G54" s="75"/>
      <c r="H54" s="75"/>
      <c r="I54" s="75"/>
      <c r="K54" s="74"/>
    </row>
    <row r="55" spans="2:24" x14ac:dyDescent="0.2">
      <c r="B55" s="147"/>
      <c r="C55" s="93" t="s">
        <v>355</v>
      </c>
      <c r="D55" s="94"/>
      <c r="E55" s="94"/>
      <c r="F55" s="148"/>
      <c r="G55" s="75"/>
      <c r="H55" s="75"/>
      <c r="I55" s="75"/>
      <c r="K55" s="81"/>
      <c r="M55" s="77"/>
      <c r="N55" s="77"/>
      <c r="O55" s="77"/>
      <c r="P55" s="77"/>
      <c r="Q55" s="77"/>
      <c r="R55" s="77"/>
      <c r="S55" s="77"/>
      <c r="T55" s="77"/>
      <c r="V55" s="71"/>
      <c r="W55" s="71"/>
      <c r="X55" s="71"/>
    </row>
    <row r="56" spans="2:24" x14ac:dyDescent="0.2">
      <c r="B56" s="134" t="s">
        <v>14</v>
      </c>
      <c r="C56" s="90" t="s">
        <v>29</v>
      </c>
      <c r="D56" s="90" t="s">
        <v>16</v>
      </c>
      <c r="E56" s="90" t="s">
        <v>17</v>
      </c>
      <c r="F56" s="135" t="s">
        <v>18</v>
      </c>
      <c r="M56" s="82"/>
      <c r="N56" s="82"/>
      <c r="O56" s="82"/>
      <c r="P56" s="79"/>
      <c r="Q56" s="79"/>
      <c r="R56" s="79"/>
      <c r="V56" s="71"/>
      <c r="W56" s="71"/>
      <c r="X56" s="71"/>
    </row>
    <row r="57" spans="2:24" x14ac:dyDescent="0.2">
      <c r="B57" s="136">
        <f>$J$2</f>
        <v>1</v>
      </c>
      <c r="C57" s="86" t="s">
        <v>324</v>
      </c>
      <c r="D57" s="87" t="str">
        <f>IF(C57&lt;&gt;"",VLOOKUP(C57,'Dummy Table'!$B$3:$C$30,2,FALSE),"")</f>
        <v>Itália</v>
      </c>
      <c r="E57" s="87" t="str">
        <f>IF(C57&lt;&gt;"",VLOOKUP(C57,'Dummy Table'!$B$3:$D$30,3,FALSE),"")</f>
        <v>Mercedes</v>
      </c>
      <c r="F57" s="137">
        <v>25</v>
      </c>
      <c r="G57" s="69">
        <f>IF(C57="",F57,0)</f>
        <v>0</v>
      </c>
      <c r="H57" s="69">
        <f>IF(C57="",F57,0)</f>
        <v>0</v>
      </c>
      <c r="I57" s="69">
        <f>IF(C57="",1,0)</f>
        <v>0</v>
      </c>
      <c r="K57" s="74"/>
      <c r="V57" s="71"/>
      <c r="W57" s="71"/>
      <c r="X57" s="71"/>
    </row>
    <row r="58" spans="2:24" x14ac:dyDescent="0.2">
      <c r="B58" s="138">
        <f>$J$3</f>
        <v>2</v>
      </c>
      <c r="C58" s="86" t="s">
        <v>353</v>
      </c>
      <c r="D58" s="87" t="str">
        <f>IF(C58&lt;&gt;"",VLOOKUP(C58,'Dummy Table'!$B$3:$C$30,2,FALSE),"")</f>
        <v>Inglaterra</v>
      </c>
      <c r="E58" s="87" t="str">
        <f>IF(C58&lt;&gt;"",VLOOKUP(C58,'Dummy Table'!$B$3:$D$30,3,FALSE),"")</f>
        <v>Mercedes</v>
      </c>
      <c r="F58" s="137">
        <v>18</v>
      </c>
      <c r="H58" s="69">
        <f>IF(C58="",F58,0)</f>
        <v>0</v>
      </c>
      <c r="K58" s="74"/>
    </row>
    <row r="59" spans="2:24" x14ac:dyDescent="0.2">
      <c r="B59" s="138">
        <f>$J$4</f>
        <v>3</v>
      </c>
      <c r="C59" s="86" t="s">
        <v>1</v>
      </c>
      <c r="D59" s="87" t="str">
        <f>IF(C59&lt;&gt;"",VLOOKUP(C59,'Dummy Table'!$B$3:$C$30,2,FALSE),"")</f>
        <v>Inglaterra</v>
      </c>
      <c r="E59" s="87" t="str">
        <f>IF(C59&lt;&gt;"",VLOOKUP(C59,'Dummy Table'!$B$3:$D$30,3,FALSE),"")</f>
        <v>Ferrari</v>
      </c>
      <c r="F59" s="137">
        <v>15</v>
      </c>
    </row>
    <row r="60" spans="2:24" x14ac:dyDescent="0.2">
      <c r="B60" s="138">
        <f>$J$5</f>
        <v>4</v>
      </c>
      <c r="C60" s="86" t="s">
        <v>307</v>
      </c>
      <c r="D60" s="87" t="str">
        <f>IF(C60&lt;&gt;"",VLOOKUP(C60,'Dummy Table'!$B$3:$C$30,2,FALSE),"")</f>
        <v>Mônaco</v>
      </c>
      <c r="E60" s="87" t="str">
        <f>IF(C60&lt;&gt;"",VLOOKUP(C60,'Dummy Table'!$B$3:$D$30,3,FALSE),"")</f>
        <v>Ferrari</v>
      </c>
      <c r="F60" s="137">
        <v>12</v>
      </c>
      <c r="K60" s="79"/>
    </row>
    <row r="61" spans="2:24" x14ac:dyDescent="0.2">
      <c r="B61" s="138">
        <f>$J$6</f>
        <v>5</v>
      </c>
      <c r="C61" s="86" t="s">
        <v>325</v>
      </c>
      <c r="D61" s="87" t="str">
        <f>IF(C61&lt;&gt;"",VLOOKUP(C61,'Dummy Table'!$B$3:$C$30,2,FALSE),"")</f>
        <v>Inglaterra</v>
      </c>
      <c r="E61" s="87" t="str">
        <f>IF(C61&lt;&gt;"",VLOOKUP(C61,'Dummy Table'!$B$3:$D$30,3,FALSE),"")</f>
        <v>Haas</v>
      </c>
      <c r="F61" s="137">
        <v>10</v>
      </c>
    </row>
    <row r="62" spans="2:24" x14ac:dyDescent="0.2">
      <c r="B62" s="138">
        <f>$J$7</f>
        <v>6</v>
      </c>
      <c r="C62" s="86" t="s">
        <v>306</v>
      </c>
      <c r="D62" s="87" t="str">
        <f>IF(C62&lt;&gt;"",VLOOKUP(C62,'Dummy Table'!$B$3:$C$30,2,FALSE),"")</f>
        <v>França</v>
      </c>
      <c r="E62" s="87" t="str">
        <f>IF(C62&lt;&gt;"",VLOOKUP(C62,'Dummy Table'!$B$3:$D$30,3,FALSE),"")</f>
        <v>Alpine</v>
      </c>
      <c r="F62" s="137">
        <v>8</v>
      </c>
      <c r="K62" s="74"/>
    </row>
    <row r="63" spans="2:24" x14ac:dyDescent="0.2">
      <c r="B63" s="138">
        <f>$J$8</f>
        <v>7</v>
      </c>
      <c r="C63" s="86" t="s">
        <v>408</v>
      </c>
      <c r="D63" s="87" t="str">
        <f>IF(C63&lt;&gt;"",VLOOKUP(C63,'Dummy Table'!$B$3:$C$30,2,FALSE),"")</f>
        <v>Austrália</v>
      </c>
      <c r="E63" s="87" t="str">
        <f>IF(C63&lt;&gt;"",VLOOKUP(C63,'Dummy Table'!$B$3:$D$30,3,FALSE),"")</f>
        <v>Racing Bulls</v>
      </c>
      <c r="F63" s="137">
        <v>6</v>
      </c>
      <c r="K63" s="74"/>
    </row>
    <row r="64" spans="2:24" x14ac:dyDescent="0.2">
      <c r="B64" s="138">
        <f>$J$9</f>
        <v>8</v>
      </c>
      <c r="C64" s="86" t="s">
        <v>406</v>
      </c>
      <c r="D64" s="87" t="str">
        <f>IF(C64&lt;&gt;"",VLOOKUP(C64,'Dummy Table'!$B$3:$C$30,2,FALSE),"")</f>
        <v>França</v>
      </c>
      <c r="E64" s="87" t="str">
        <f>IF(C64&lt;&gt;"",VLOOKUP(C64,'Dummy Table'!$B$3:$D$30,3,FALSE),"")</f>
        <v>Red Bull</v>
      </c>
      <c r="F64" s="137">
        <v>4</v>
      </c>
      <c r="K64" s="74"/>
    </row>
    <row r="65" spans="1:26" s="80" customFormat="1" x14ac:dyDescent="0.2">
      <c r="A65" s="91"/>
      <c r="B65" s="138">
        <f>$J$10</f>
        <v>9</v>
      </c>
      <c r="C65" s="86" t="s">
        <v>328</v>
      </c>
      <c r="D65" s="87" t="str">
        <f>IF(C65&lt;&gt;"",VLOOKUP(C65,'Dummy Table'!$B$3:$C$30,2,FALSE),"")</f>
        <v>Espanha</v>
      </c>
      <c r="E65" s="87" t="str">
        <f>IF(C65&lt;&gt;"",VLOOKUP(C65,'Dummy Table'!$B$3:$D$30,3,FALSE),"")</f>
        <v>Williams</v>
      </c>
      <c r="F65" s="137">
        <v>2</v>
      </c>
      <c r="G65" s="69"/>
      <c r="H65" s="69"/>
      <c r="I65" s="69"/>
      <c r="J65" s="76"/>
      <c r="K65" s="74"/>
      <c r="L65" s="79"/>
      <c r="M65" s="72"/>
      <c r="N65" s="72"/>
      <c r="O65" s="72"/>
      <c r="P65" s="71"/>
      <c r="Q65" s="71"/>
      <c r="R65" s="71"/>
      <c r="S65" s="79"/>
      <c r="T65" s="79"/>
      <c r="U65" s="79"/>
      <c r="V65" s="79"/>
      <c r="W65" s="79"/>
      <c r="X65" s="79"/>
      <c r="Y65" s="79"/>
      <c r="Z65" s="79"/>
    </row>
    <row r="66" spans="1:26" x14ac:dyDescent="0.2">
      <c r="B66" s="138">
        <f>$J$11</f>
        <v>10</v>
      </c>
      <c r="C66" s="86" t="s">
        <v>412</v>
      </c>
      <c r="D66" s="87" t="str">
        <f>IF(C66&lt;&gt;"",VLOOKUP(C66,'Dummy Table'!$B$3:$C$30,2,FALSE),"")</f>
        <v>Argentina</v>
      </c>
      <c r="E66" s="87" t="str">
        <f>IF(C66&lt;&gt;"",VLOOKUP(C66,'Dummy Table'!$B$3:$D$30,3,FALSE),"")</f>
        <v>Alpine</v>
      </c>
      <c r="F66" s="137">
        <v>1</v>
      </c>
      <c r="K66" s="74"/>
    </row>
    <row r="67" spans="1:26" x14ac:dyDescent="0.2">
      <c r="B67" s="138">
        <f>$J$12</f>
        <v>11</v>
      </c>
      <c r="C67" s="86" t="s">
        <v>252</v>
      </c>
      <c r="D67" s="87" t="str">
        <f>IF(C67&lt;&gt;"",VLOOKUP(C67,'Dummy Table'!$B$3:$C$30,2,FALSE),"")</f>
        <v>Alemanha</v>
      </c>
      <c r="E67" s="87" t="str">
        <f>IF(C67&lt;&gt;"",VLOOKUP(C67,'Dummy Table'!$B$3:$D$30,3,FALSE),"")</f>
        <v>Audi</v>
      </c>
      <c r="F67" s="139"/>
      <c r="K67" s="74"/>
    </row>
    <row r="68" spans="1:26" x14ac:dyDescent="0.2">
      <c r="B68" s="138">
        <f>$J$13</f>
        <v>12</v>
      </c>
      <c r="C68" s="86" t="s">
        <v>407</v>
      </c>
      <c r="D68" s="87" t="str">
        <f>IF(C68&lt;&gt;"",VLOOKUP(C68,'Dummy Table'!$B$3:$C$30,2,FALSE),"")</f>
        <v>Inglaterra</v>
      </c>
      <c r="E68" s="87" t="str">
        <f>IF(C68&lt;&gt;"",VLOOKUP(C68,'Dummy Table'!$B$3:$D$30,3,FALSE),"")</f>
        <v>Racing Bulls</v>
      </c>
      <c r="F68" s="139"/>
      <c r="K68" s="74"/>
    </row>
    <row r="69" spans="1:26" x14ac:dyDescent="0.2">
      <c r="B69" s="138">
        <f>$J$14</f>
        <v>13</v>
      </c>
      <c r="C69" s="86" t="s">
        <v>397</v>
      </c>
      <c r="D69" s="87" t="str">
        <f>IF(C69&lt;&gt;"",VLOOKUP(C69,'Dummy Table'!$B$3:$C$30,2,FALSE),"")</f>
        <v>Finlândia</v>
      </c>
      <c r="E69" s="87" t="str">
        <f>IF(C69&lt;&gt;"",VLOOKUP(C69,'Dummy Table'!$B$3:$D$30,3,FALSE),"")</f>
        <v>Cadillac</v>
      </c>
      <c r="F69" s="139"/>
      <c r="G69" s="75"/>
      <c r="H69" s="75"/>
      <c r="I69" s="75"/>
      <c r="K69" s="74"/>
    </row>
    <row r="70" spans="1:26" x14ac:dyDescent="0.2">
      <c r="B70" s="138">
        <f>$J$15</f>
        <v>14</v>
      </c>
      <c r="C70" s="86" t="s">
        <v>313</v>
      </c>
      <c r="D70" s="87" t="str">
        <f>IF(C70&lt;&gt;"",VLOOKUP(C70,'Dummy Table'!$B$3:$C$30,2,FALSE),"")</f>
        <v>França</v>
      </c>
      <c r="E70" s="87" t="str">
        <f>IF(C70&lt;&gt;"",VLOOKUP(C70,'Dummy Table'!$B$3:$D$30,3,FALSE),"")</f>
        <v>Haas</v>
      </c>
      <c r="F70" s="139"/>
      <c r="G70" s="75"/>
      <c r="H70" s="75"/>
      <c r="I70" s="75"/>
      <c r="K70" s="74"/>
      <c r="M70" s="82"/>
      <c r="N70" s="82"/>
      <c r="O70" s="82"/>
      <c r="P70" s="79"/>
      <c r="Q70" s="79"/>
      <c r="R70" s="79"/>
    </row>
    <row r="71" spans="1:26" x14ac:dyDescent="0.2">
      <c r="B71" s="138">
        <f>$J$16</f>
        <v>15</v>
      </c>
      <c r="C71" s="86" t="s">
        <v>396</v>
      </c>
      <c r="D71" s="87" t="str">
        <f>IF(C71&lt;&gt;"",VLOOKUP(C71,'Dummy Table'!$B$3:$C$30,2,FALSE),"")</f>
        <v>México</v>
      </c>
      <c r="E71" s="87" t="str">
        <f>IF(C71&lt;&gt;"",VLOOKUP(C71,'Dummy Table'!$B$3:$D$30,3,FALSE),"")</f>
        <v>Cadillac</v>
      </c>
      <c r="F71" s="139"/>
      <c r="G71" s="75"/>
      <c r="H71" s="75"/>
      <c r="I71" s="75"/>
      <c r="K71" s="74"/>
    </row>
    <row r="72" spans="1:26" x14ac:dyDescent="0.2">
      <c r="B72" s="138">
        <f>$J$17</f>
        <v>16</v>
      </c>
      <c r="C72" s="86" t="s">
        <v>299</v>
      </c>
      <c r="D72" s="87" t="str">
        <f>IF(C72&lt;&gt;"",VLOOKUP(C72,'Dummy Table'!$B$3:$C$30,2,FALSE),"")</f>
        <v>Holanda</v>
      </c>
      <c r="E72" s="87" t="str">
        <f>IF(C72&lt;&gt;"",VLOOKUP(C72,'Dummy Table'!$B$3:$D$30,3,FALSE),"")</f>
        <v>Red Bull</v>
      </c>
      <c r="F72" s="139" t="s">
        <v>427</v>
      </c>
      <c r="G72" s="75"/>
      <c r="H72" s="75"/>
      <c r="I72" s="75"/>
      <c r="K72" s="74"/>
    </row>
    <row r="73" spans="1:26" x14ac:dyDescent="0.2">
      <c r="B73" s="138">
        <f>$J$18</f>
        <v>17</v>
      </c>
      <c r="C73" s="86" t="s">
        <v>30</v>
      </c>
      <c r="D73" s="87" t="str">
        <f>IF(C73&lt;&gt;"",VLOOKUP(C73,'Dummy Table'!$B$3:$C$30,2,FALSE),"")</f>
        <v>Espanha</v>
      </c>
      <c r="E73" s="87" t="str">
        <f>IF(C73&lt;&gt;"",VLOOKUP(C73,'Dummy Table'!$B$3:$D$30,3,FALSE),"")</f>
        <v>Aston Martin</v>
      </c>
      <c r="F73" s="139" t="s">
        <v>427</v>
      </c>
      <c r="G73" s="75"/>
      <c r="H73" s="75"/>
      <c r="I73" s="75"/>
    </row>
    <row r="74" spans="1:26" x14ac:dyDescent="0.2">
      <c r="B74" s="138">
        <f>$J$19</f>
        <v>18</v>
      </c>
      <c r="C74" s="86" t="s">
        <v>305</v>
      </c>
      <c r="D74" s="87" t="str">
        <f>IF(C74&lt;&gt;"",VLOOKUP(C74,'Dummy Table'!$B$3:$C$30,2,FALSE),"")</f>
        <v>Canadá</v>
      </c>
      <c r="E74" s="87" t="str">
        <f>IF(C74&lt;&gt;"",VLOOKUP(C74,'Dummy Table'!$B$3:$D$30,3,FALSE),"")</f>
        <v>Aston Martin</v>
      </c>
      <c r="F74" s="139" t="s">
        <v>427</v>
      </c>
      <c r="G74" s="75"/>
      <c r="H74" s="75"/>
      <c r="I74" s="75"/>
      <c r="K74" s="79"/>
    </row>
    <row r="75" spans="1:26" x14ac:dyDescent="0.2">
      <c r="B75" s="138">
        <f>$J$20</f>
        <v>19</v>
      </c>
      <c r="C75" s="86" t="s">
        <v>323</v>
      </c>
      <c r="D75" s="87" t="str">
        <f>IF(C75&lt;&gt;"",VLOOKUP(C75,'Dummy Table'!$B$3:$C$30,2,FALSE),"")</f>
        <v>Austrália</v>
      </c>
      <c r="E75" s="87" t="str">
        <f>IF(C75&lt;&gt;"",VLOOKUP(C75,'Dummy Table'!$B$3:$D$30,3,FALSE),"")</f>
        <v>McLaren</v>
      </c>
      <c r="F75" s="139" t="s">
        <v>428</v>
      </c>
      <c r="G75" s="75"/>
      <c r="H75" s="75"/>
      <c r="I75" s="75"/>
    </row>
    <row r="76" spans="1:26" x14ac:dyDescent="0.2">
      <c r="B76" s="138">
        <f>$J$21</f>
        <v>20</v>
      </c>
      <c r="C76" s="86" t="s">
        <v>310</v>
      </c>
      <c r="D76" s="87" t="str">
        <f>IF(C76&lt;&gt;"",VLOOKUP(C76,'Dummy Table'!$B$3:$C$30,2,FALSE),"")</f>
        <v>Inglaterra</v>
      </c>
      <c r="E76" s="87" t="str">
        <f>IF(C76&lt;&gt;"",VLOOKUP(C76,'Dummy Table'!$B$3:$D$30,3,FALSE),"")</f>
        <v>McLaren</v>
      </c>
      <c r="F76" s="139" t="s">
        <v>428</v>
      </c>
      <c r="G76" s="75"/>
      <c r="H76" s="75"/>
      <c r="I76" s="75"/>
      <c r="K76" s="74"/>
    </row>
    <row r="77" spans="1:26" x14ac:dyDescent="0.2">
      <c r="B77" s="138">
        <f>$J$22</f>
        <v>21</v>
      </c>
      <c r="C77" s="86" t="s">
        <v>329</v>
      </c>
      <c r="D77" s="87" t="str">
        <f>IF(C77&lt;&gt;"",VLOOKUP(C77,'Dummy Table'!$B$3:$C$30,2,FALSE),"")</f>
        <v>Brasil</v>
      </c>
      <c r="E77" s="87" t="str">
        <f>IF(C77&lt;&gt;"",VLOOKUP(C77,'Dummy Table'!$B$3:$D$30,3,FALSE),"")</f>
        <v>Audi</v>
      </c>
      <c r="F77" s="139" t="s">
        <v>428</v>
      </c>
      <c r="G77" s="75"/>
      <c r="H77" s="75"/>
      <c r="I77" s="75"/>
      <c r="K77" s="74"/>
    </row>
    <row r="78" spans="1:26" x14ac:dyDescent="0.2">
      <c r="B78" s="138">
        <f>$J$23</f>
        <v>22</v>
      </c>
      <c r="C78" s="86" t="s">
        <v>309</v>
      </c>
      <c r="D78" s="87" t="str">
        <f>IF(C78&lt;&gt;"",VLOOKUP(C78,'Dummy Table'!$B$3:$C$30,2,FALSE),"")</f>
        <v>Tailandia</v>
      </c>
      <c r="E78" s="87" t="str">
        <f>IF(C78&lt;&gt;"",VLOOKUP(C78,'Dummy Table'!$B$3:$D$30,3,FALSE),"")</f>
        <v>Williams</v>
      </c>
      <c r="F78" s="139" t="s">
        <v>428</v>
      </c>
      <c r="G78" s="75"/>
      <c r="H78" s="75"/>
      <c r="I78" s="75"/>
      <c r="K78" s="74"/>
    </row>
    <row r="79" spans="1:26" s="80" customFormat="1" hidden="1" x14ac:dyDescent="0.2">
      <c r="A79" s="91"/>
      <c r="B79" s="149">
        <f>IF(F79="",$J$24,"Ret")</f>
        <v>23</v>
      </c>
      <c r="C79" s="78"/>
      <c r="D79" s="68" t="str">
        <f>IF(C79&lt;&gt;"",VLOOKUP(C79,'Dummy Table'!$B$3:$C$30,2,FALSE),"")</f>
        <v/>
      </c>
      <c r="E79" s="68" t="str">
        <f>IF(C79&lt;&gt;"",VLOOKUP(C79,'Dummy Table'!$B$3:$D$30,3,FALSE),"")</f>
        <v/>
      </c>
      <c r="F79" s="140"/>
      <c r="G79" s="75"/>
      <c r="H79" s="75"/>
      <c r="I79" s="75"/>
      <c r="J79" s="76"/>
      <c r="K79" s="74"/>
      <c r="L79" s="79"/>
      <c r="M79" s="72"/>
      <c r="N79" s="72"/>
      <c r="O79" s="72"/>
      <c r="P79" s="71"/>
      <c r="Q79" s="71"/>
      <c r="R79" s="71"/>
      <c r="S79" s="79"/>
      <c r="T79" s="79"/>
      <c r="U79" s="79"/>
      <c r="V79" s="79"/>
      <c r="W79" s="79"/>
      <c r="X79" s="79"/>
      <c r="Y79" s="79"/>
      <c r="Z79" s="79"/>
    </row>
    <row r="80" spans="1:26" ht="12.75" hidden="1" customHeight="1" x14ac:dyDescent="0.2">
      <c r="B80" s="149" t="str">
        <f>IF(F80="",$J$25,"Ret")</f>
        <v/>
      </c>
      <c r="C80" s="78"/>
      <c r="D80" s="68" t="str">
        <f>IF(C80&lt;&gt;"",VLOOKUP(C80,'Dummy Table'!$B$3:$C$30,2,FALSE),"")</f>
        <v/>
      </c>
      <c r="E80" s="68" t="str">
        <f>IF(C80&lt;&gt;"",VLOOKUP(C80,'Dummy Table'!$B$3:$D$30,3,FALSE),"")</f>
        <v/>
      </c>
      <c r="F80" s="140"/>
      <c r="G80" s="75"/>
      <c r="H80" s="75"/>
      <c r="I80" s="75"/>
      <c r="K80" s="74"/>
    </row>
    <row r="81" spans="1:26" x14ac:dyDescent="0.2">
      <c r="B81" s="141" t="s">
        <v>243</v>
      </c>
      <c r="C81" s="88" t="s">
        <v>324</v>
      </c>
      <c r="D81" s="89" t="str">
        <f>IF(C81&lt;&gt;"",VLOOKUP(C81,'Dummy Table'!$B$3:$C$30,2,FALSE),"")</f>
        <v>Itália</v>
      </c>
      <c r="E81" s="89" t="str">
        <f>IF(C81&lt;&gt;"",VLOOKUP(C81,'Dummy Table'!$B$3:$D$30,3,FALSE),"")</f>
        <v>Mercedes</v>
      </c>
      <c r="F81" s="142"/>
      <c r="H81" s="75"/>
      <c r="K81" s="74"/>
    </row>
    <row r="82" spans="1:26" ht="13.5" thickBot="1" x14ac:dyDescent="0.25">
      <c r="B82" s="143" t="s">
        <v>234</v>
      </c>
      <c r="C82" s="144" t="s">
        <v>324</v>
      </c>
      <c r="D82" s="145" t="str">
        <f>IF(C82&lt;&gt;"",VLOOKUP(C82,'Dummy Table'!$B$3:$C$30,2,FALSE),"")</f>
        <v>Itália</v>
      </c>
      <c r="E82" s="145" t="str">
        <f>IF(C82&lt;&gt;"",VLOOKUP(C82,'Dummy Table'!$B$3:$D$30,3,FALSE),"")</f>
        <v>Mercedes</v>
      </c>
      <c r="F82" s="146"/>
      <c r="H82" s="69">
        <f>IF(C82="",F82,0)</f>
        <v>0</v>
      </c>
      <c r="K82" s="74"/>
    </row>
    <row r="83" spans="1:26" x14ac:dyDescent="0.2">
      <c r="A83" s="91">
        <v>3</v>
      </c>
      <c r="B83" s="132">
        <f>VLOOKUP(A83,'Calendário atual'!$A$2:$E$30,2,FALSE)</f>
        <v>46110</v>
      </c>
      <c r="C83" s="175" t="str">
        <f>VLOOKUP(A83,'Calendário atual'!$A$2:$E$30,4,FALSE)</f>
        <v>FORMULA 1 ARAMCO JAPANESE GRAND PRIX 2026</v>
      </c>
      <c r="D83" s="175"/>
      <c r="E83" s="175"/>
      <c r="F83" s="133" t="str">
        <f>VLOOKUP(A83,'Calendário atual'!$A$2:$E$30,3,FALSE)</f>
        <v>Japão</v>
      </c>
      <c r="G83" s="75"/>
      <c r="H83" s="75"/>
      <c r="I83" s="75"/>
      <c r="K83" s="74"/>
    </row>
    <row r="84" spans="1:26" x14ac:dyDescent="0.2">
      <c r="B84" s="134" t="s">
        <v>14</v>
      </c>
      <c r="C84" s="90" t="s">
        <v>29</v>
      </c>
      <c r="D84" s="90" t="s">
        <v>16</v>
      </c>
      <c r="E84" s="90" t="s">
        <v>17</v>
      </c>
      <c r="F84" s="135" t="s">
        <v>18</v>
      </c>
      <c r="K84" s="74"/>
      <c r="M84" s="82"/>
      <c r="N84" s="82"/>
      <c r="O84" s="82"/>
      <c r="P84" s="79"/>
      <c r="Q84" s="79"/>
      <c r="R84" s="79"/>
    </row>
    <row r="85" spans="1:26" x14ac:dyDescent="0.2">
      <c r="B85" s="136">
        <f>$J$2</f>
        <v>1</v>
      </c>
      <c r="C85" s="86" t="s">
        <v>324</v>
      </c>
      <c r="D85" s="87" t="str">
        <f>IF(C85&lt;&gt;"",VLOOKUP(C85,'Dummy Table'!$B$3:$C$30,2,FALSE),"")</f>
        <v>Itália</v>
      </c>
      <c r="E85" s="87" t="str">
        <f>IF(C85&lt;&gt;"",VLOOKUP(C85,'Dummy Table'!$B$3:$D$30,3,FALSE),"")</f>
        <v>Mercedes</v>
      </c>
      <c r="F85" s="137">
        <v>25</v>
      </c>
      <c r="G85" s="69">
        <f>IF(C85="",F85,0)</f>
        <v>0</v>
      </c>
      <c r="H85" s="69">
        <f>IF(C85="",F85,0)</f>
        <v>0</v>
      </c>
      <c r="I85" s="69">
        <f>IF(C85="",1,0)</f>
        <v>0</v>
      </c>
      <c r="K85" s="74"/>
    </row>
    <row r="86" spans="1:26" x14ac:dyDescent="0.2">
      <c r="B86" s="138">
        <f>$J$3</f>
        <v>2</v>
      </c>
      <c r="C86" s="86" t="s">
        <v>323</v>
      </c>
      <c r="D86" s="87" t="str">
        <f>IF(C86&lt;&gt;"",VLOOKUP(C86,'Dummy Table'!$B$3:$C$30,2,FALSE),"")</f>
        <v>Austrália</v>
      </c>
      <c r="E86" s="87" t="str">
        <f>IF(C86&lt;&gt;"",VLOOKUP(C86,'Dummy Table'!$B$3:$D$30,3,FALSE),"")</f>
        <v>McLaren</v>
      </c>
      <c r="F86" s="137">
        <v>18</v>
      </c>
      <c r="H86" s="69">
        <f>IF(C86="",F86,0)</f>
        <v>0</v>
      </c>
      <c r="K86" s="74"/>
    </row>
    <row r="87" spans="1:26" x14ac:dyDescent="0.2">
      <c r="B87" s="138">
        <f>$J$4</f>
        <v>3</v>
      </c>
      <c r="C87" s="86" t="s">
        <v>307</v>
      </c>
      <c r="D87" s="87" t="str">
        <f>IF(C87&lt;&gt;"",VLOOKUP(C87,'Dummy Table'!$B$3:$C$30,2,FALSE),"")</f>
        <v>Mônaco</v>
      </c>
      <c r="E87" s="87" t="str">
        <f>IF(C87&lt;&gt;"",VLOOKUP(C87,'Dummy Table'!$B$3:$D$30,3,FALSE),"")</f>
        <v>Ferrari</v>
      </c>
      <c r="F87" s="137">
        <v>15</v>
      </c>
    </row>
    <row r="88" spans="1:26" x14ac:dyDescent="0.2">
      <c r="B88" s="138">
        <f>$J$5</f>
        <v>4</v>
      </c>
      <c r="C88" s="86" t="s">
        <v>353</v>
      </c>
      <c r="D88" s="87" t="str">
        <f>IF(C88&lt;&gt;"",VLOOKUP(C88,'Dummy Table'!$B$3:$C$30,2,FALSE),"")</f>
        <v>Inglaterra</v>
      </c>
      <c r="E88" s="87" t="str">
        <f>IF(C88&lt;&gt;"",VLOOKUP(C88,'Dummy Table'!$B$3:$D$30,3,FALSE),"")</f>
        <v>Mercedes</v>
      </c>
      <c r="F88" s="137">
        <v>12</v>
      </c>
      <c r="K88" s="79"/>
    </row>
    <row r="89" spans="1:26" x14ac:dyDescent="0.2">
      <c r="B89" s="138">
        <f>$J$6</f>
        <v>5</v>
      </c>
      <c r="C89" s="86" t="s">
        <v>310</v>
      </c>
      <c r="D89" s="87" t="str">
        <f>IF(C89&lt;&gt;"",VLOOKUP(C89,'Dummy Table'!$B$3:$C$30,2,FALSE),"")</f>
        <v>Inglaterra</v>
      </c>
      <c r="E89" s="87" t="str">
        <f>IF(C89&lt;&gt;"",VLOOKUP(C89,'Dummy Table'!$B$3:$D$30,3,FALSE),"")</f>
        <v>McLaren</v>
      </c>
      <c r="F89" s="137">
        <v>10</v>
      </c>
    </row>
    <row r="90" spans="1:26" x14ac:dyDescent="0.2">
      <c r="B90" s="138">
        <f>$J$7</f>
        <v>6</v>
      </c>
      <c r="C90" s="86" t="s">
        <v>1</v>
      </c>
      <c r="D90" s="87" t="str">
        <f>IF(C90&lt;&gt;"",VLOOKUP(C90,'Dummy Table'!$B$3:$C$30,2,FALSE),"")</f>
        <v>Inglaterra</v>
      </c>
      <c r="E90" s="87" t="str">
        <f>IF(C90&lt;&gt;"",VLOOKUP(C90,'Dummy Table'!$B$3:$D$30,3,FALSE),"")</f>
        <v>Ferrari</v>
      </c>
      <c r="F90" s="137">
        <v>8</v>
      </c>
      <c r="K90" s="74"/>
    </row>
    <row r="91" spans="1:26" x14ac:dyDescent="0.2">
      <c r="B91" s="138">
        <f>$J$8</f>
        <v>7</v>
      </c>
      <c r="C91" s="86" t="s">
        <v>306</v>
      </c>
      <c r="D91" s="87" t="str">
        <f>IF(C91&lt;&gt;"",VLOOKUP(C91,'Dummy Table'!$B$3:$C$30,2,FALSE),"")</f>
        <v>França</v>
      </c>
      <c r="E91" s="87" t="str">
        <f>IF(C91&lt;&gt;"",VLOOKUP(C91,'Dummy Table'!$B$3:$D$30,3,FALSE),"")</f>
        <v>Alpine</v>
      </c>
      <c r="F91" s="137">
        <v>6</v>
      </c>
      <c r="K91" s="74"/>
    </row>
    <row r="92" spans="1:26" x14ac:dyDescent="0.2">
      <c r="B92" s="138">
        <f>$J$9</f>
        <v>8</v>
      </c>
      <c r="C92" s="86" t="s">
        <v>299</v>
      </c>
      <c r="D92" s="87" t="str">
        <f>IF(C92&lt;&gt;"",VLOOKUP(C92,'Dummy Table'!$B$3:$C$30,2,FALSE),"")</f>
        <v>Holanda</v>
      </c>
      <c r="E92" s="87" t="str">
        <f>IF(C92&lt;&gt;"",VLOOKUP(C92,'Dummy Table'!$B$3:$D$30,3,FALSE),"")</f>
        <v>Red Bull</v>
      </c>
      <c r="F92" s="137">
        <v>4</v>
      </c>
      <c r="K92" s="74"/>
    </row>
    <row r="93" spans="1:26" s="80" customFormat="1" x14ac:dyDescent="0.2">
      <c r="A93" s="91"/>
      <c r="B93" s="138">
        <f>$J$10</f>
        <v>9</v>
      </c>
      <c r="C93" s="86" t="s">
        <v>408</v>
      </c>
      <c r="D93" s="87" t="str">
        <f>IF(C93&lt;&gt;"",VLOOKUP(C93,'Dummy Table'!$B$3:$C$30,2,FALSE),"")</f>
        <v>Austrália</v>
      </c>
      <c r="E93" s="87" t="str">
        <f>IF(C93&lt;&gt;"",VLOOKUP(C93,'Dummy Table'!$B$3:$D$30,3,FALSE),"")</f>
        <v>Racing Bulls</v>
      </c>
      <c r="F93" s="137">
        <v>2</v>
      </c>
      <c r="G93" s="69"/>
      <c r="H93" s="69"/>
      <c r="I93" s="69"/>
      <c r="J93" s="76"/>
      <c r="K93" s="74"/>
      <c r="L93" s="79"/>
      <c r="M93" s="72"/>
      <c r="N93" s="72"/>
      <c r="O93" s="72"/>
      <c r="P93" s="71"/>
      <c r="Q93" s="71"/>
      <c r="R93" s="71"/>
      <c r="S93" s="79"/>
      <c r="T93" s="79"/>
      <c r="U93" s="79"/>
      <c r="V93" s="79"/>
      <c r="W93" s="79"/>
      <c r="X93" s="79"/>
      <c r="Y93" s="79"/>
      <c r="Z93" s="79"/>
    </row>
    <row r="94" spans="1:26" x14ac:dyDescent="0.2">
      <c r="B94" s="138">
        <f>$J$11</f>
        <v>10</v>
      </c>
      <c r="C94" s="86" t="s">
        <v>313</v>
      </c>
      <c r="D94" s="87" t="str">
        <f>IF(C94&lt;&gt;"",VLOOKUP(C94,'Dummy Table'!$B$3:$C$30,2,FALSE),"")</f>
        <v>França</v>
      </c>
      <c r="E94" s="87" t="str">
        <f>IF(C94&lt;&gt;"",VLOOKUP(C94,'Dummy Table'!$B$3:$D$30,3,FALSE),"")</f>
        <v>Haas</v>
      </c>
      <c r="F94" s="137">
        <v>1</v>
      </c>
      <c r="K94" s="74"/>
    </row>
    <row r="95" spans="1:26" x14ac:dyDescent="0.2">
      <c r="B95" s="138">
        <f>$J$12</f>
        <v>11</v>
      </c>
      <c r="C95" s="86" t="s">
        <v>252</v>
      </c>
      <c r="D95" s="87" t="str">
        <f>IF(C95&lt;&gt;"",VLOOKUP(C95,'Dummy Table'!$B$3:$C$30,2,FALSE),"")</f>
        <v>Alemanha</v>
      </c>
      <c r="E95" s="87" t="str">
        <f>IF(C95&lt;&gt;"",VLOOKUP(C95,'Dummy Table'!$B$3:$D$30,3,FALSE),"")</f>
        <v>Audi</v>
      </c>
      <c r="F95" s="139"/>
      <c r="K95" s="74"/>
    </row>
    <row r="96" spans="1:26" x14ac:dyDescent="0.2">
      <c r="B96" s="138">
        <f>$J$13</f>
        <v>12</v>
      </c>
      <c r="C96" s="86" t="s">
        <v>406</v>
      </c>
      <c r="D96" s="87" t="str">
        <f>IF(C96&lt;&gt;"",VLOOKUP(C96,'Dummy Table'!$B$3:$C$30,2,FALSE),"")</f>
        <v>França</v>
      </c>
      <c r="E96" s="87" t="str">
        <f>IF(C96&lt;&gt;"",VLOOKUP(C96,'Dummy Table'!$B$3:$D$30,3,FALSE),"")</f>
        <v>Red Bull</v>
      </c>
      <c r="F96" s="139"/>
      <c r="K96" s="74"/>
    </row>
    <row r="97" spans="1:26" x14ac:dyDescent="0.2">
      <c r="B97" s="138">
        <f>$J$14</f>
        <v>13</v>
      </c>
      <c r="C97" s="86" t="s">
        <v>329</v>
      </c>
      <c r="D97" s="87" t="str">
        <f>IF(C97&lt;&gt;"",VLOOKUP(C97,'Dummy Table'!$B$3:$C$30,2,FALSE),"")</f>
        <v>Brasil</v>
      </c>
      <c r="E97" s="87" t="str">
        <f>IF(C97&lt;&gt;"",VLOOKUP(C97,'Dummy Table'!$B$3:$D$30,3,FALSE),"")</f>
        <v>Audi</v>
      </c>
      <c r="F97" s="139"/>
      <c r="G97" s="75"/>
      <c r="H97" s="75"/>
      <c r="I97" s="75"/>
      <c r="K97" s="74"/>
    </row>
    <row r="98" spans="1:26" x14ac:dyDescent="0.2">
      <c r="B98" s="138">
        <f>$J$15</f>
        <v>14</v>
      </c>
      <c r="C98" s="86" t="s">
        <v>407</v>
      </c>
      <c r="D98" s="87" t="str">
        <f>IF(C98&lt;&gt;"",VLOOKUP(C98,'Dummy Table'!$B$3:$C$30,2,FALSE),"")</f>
        <v>Inglaterra</v>
      </c>
      <c r="E98" s="87" t="str">
        <f>IF(C98&lt;&gt;"",VLOOKUP(C98,'Dummy Table'!$B$3:$D$30,3,FALSE),"")</f>
        <v>Racing Bulls</v>
      </c>
      <c r="F98" s="139"/>
      <c r="G98" s="75"/>
      <c r="H98" s="75"/>
      <c r="I98" s="75"/>
      <c r="K98" s="74"/>
      <c r="M98" s="82"/>
      <c r="N98" s="82"/>
      <c r="O98" s="82"/>
      <c r="P98" s="79"/>
      <c r="Q98" s="79"/>
      <c r="R98" s="79"/>
    </row>
    <row r="99" spans="1:26" x14ac:dyDescent="0.2">
      <c r="B99" s="138">
        <f>$J$16</f>
        <v>15</v>
      </c>
      <c r="C99" s="86" t="s">
        <v>328</v>
      </c>
      <c r="D99" s="87" t="str">
        <f>IF(C99&lt;&gt;"",VLOOKUP(C99,'Dummy Table'!$B$3:$C$30,2,FALSE),"")</f>
        <v>Espanha</v>
      </c>
      <c r="E99" s="87" t="str">
        <f>IF(C99&lt;&gt;"",VLOOKUP(C99,'Dummy Table'!$B$3:$D$30,3,FALSE),"")</f>
        <v>Williams</v>
      </c>
      <c r="F99" s="139"/>
      <c r="G99" s="75"/>
      <c r="H99" s="75"/>
      <c r="I99" s="75"/>
      <c r="K99" s="74"/>
    </row>
    <row r="100" spans="1:26" x14ac:dyDescent="0.2">
      <c r="B100" s="138">
        <f>$J$17</f>
        <v>16</v>
      </c>
      <c r="C100" s="86" t="s">
        <v>412</v>
      </c>
      <c r="D100" s="87" t="str">
        <f>IF(C100&lt;&gt;"",VLOOKUP(C100,'Dummy Table'!$B$3:$C$30,2,FALSE),"")</f>
        <v>Argentina</v>
      </c>
      <c r="E100" s="87" t="str">
        <f>IF(C100&lt;&gt;"",VLOOKUP(C100,'Dummy Table'!$B$3:$D$30,3,FALSE),"")</f>
        <v>Alpine</v>
      </c>
      <c r="F100" s="139"/>
      <c r="G100" s="75"/>
      <c r="H100" s="75"/>
      <c r="I100" s="75"/>
      <c r="K100" s="74"/>
    </row>
    <row r="101" spans="1:26" x14ac:dyDescent="0.2">
      <c r="B101" s="138">
        <f>$J$18</f>
        <v>17</v>
      </c>
      <c r="C101" s="86" t="s">
        <v>396</v>
      </c>
      <c r="D101" s="87" t="str">
        <f>IF(C101&lt;&gt;"",VLOOKUP(C101,'Dummy Table'!$B$3:$C$30,2,FALSE),"")</f>
        <v>México</v>
      </c>
      <c r="E101" s="87" t="str">
        <f>IF(C101&lt;&gt;"",VLOOKUP(C101,'Dummy Table'!$B$3:$D$30,3,FALSE),"")</f>
        <v>Cadillac</v>
      </c>
      <c r="F101" s="139"/>
      <c r="G101" s="75"/>
      <c r="H101" s="75"/>
      <c r="I101" s="75"/>
    </row>
    <row r="102" spans="1:26" x14ac:dyDescent="0.2">
      <c r="B102" s="138">
        <f>$J$19</f>
        <v>18</v>
      </c>
      <c r="C102" s="86" t="s">
        <v>30</v>
      </c>
      <c r="D102" s="87" t="str">
        <f>IF(C102&lt;&gt;"",VLOOKUP(C102,'Dummy Table'!$B$3:$C$30,2,FALSE),"")</f>
        <v>Espanha</v>
      </c>
      <c r="E102" s="87" t="str">
        <f>IF(C102&lt;&gt;"",VLOOKUP(C102,'Dummy Table'!$B$3:$D$30,3,FALSE),"")</f>
        <v>Aston Martin</v>
      </c>
      <c r="F102" s="139"/>
      <c r="G102" s="75"/>
      <c r="H102" s="75"/>
      <c r="I102" s="75"/>
      <c r="K102" s="79"/>
    </row>
    <row r="103" spans="1:26" x14ac:dyDescent="0.2">
      <c r="B103" s="138">
        <f>$J$20</f>
        <v>19</v>
      </c>
      <c r="C103" s="86" t="s">
        <v>397</v>
      </c>
      <c r="D103" s="87" t="str">
        <f>IF(C103&lt;&gt;"",VLOOKUP(C103,'Dummy Table'!$B$3:$C$30,2,FALSE),"")</f>
        <v>Finlândia</v>
      </c>
      <c r="E103" s="87" t="str">
        <f>IF(C103&lt;&gt;"",VLOOKUP(C103,'Dummy Table'!$B$3:$D$30,3,FALSE),"")</f>
        <v>Cadillac</v>
      </c>
      <c r="F103" s="139"/>
      <c r="G103" s="75"/>
      <c r="H103" s="75"/>
      <c r="I103" s="75"/>
    </row>
    <row r="104" spans="1:26" x14ac:dyDescent="0.2">
      <c r="B104" s="138">
        <f>$J$21</f>
        <v>20</v>
      </c>
      <c r="C104" s="86" t="s">
        <v>309</v>
      </c>
      <c r="D104" s="87" t="str">
        <f>IF(C104&lt;&gt;"",VLOOKUP(C104,'Dummy Table'!$B$3:$C$30,2,FALSE),"")</f>
        <v>Tailandia</v>
      </c>
      <c r="E104" s="87" t="str">
        <f>IF(C104&lt;&gt;"",VLOOKUP(C104,'Dummy Table'!$B$3:$D$30,3,FALSE),"")</f>
        <v>Williams</v>
      </c>
      <c r="F104" s="139"/>
      <c r="G104" s="75"/>
      <c r="H104" s="75"/>
      <c r="I104" s="75"/>
      <c r="K104" s="74"/>
    </row>
    <row r="105" spans="1:26" ht="12.75" customHeight="1" x14ac:dyDescent="0.2">
      <c r="B105" s="138">
        <f>$J$22</f>
        <v>21</v>
      </c>
      <c r="C105" s="86" t="s">
        <v>305</v>
      </c>
      <c r="D105" s="87" t="str">
        <f>IF(C105&lt;&gt;"",VLOOKUP(C105,'Dummy Table'!$B$3:$C$30,2,FALSE),"")</f>
        <v>Canadá</v>
      </c>
      <c r="E105" s="87" t="str">
        <f>IF(C105&lt;&gt;"",VLOOKUP(C105,'Dummy Table'!$B$3:$D$30,3,FALSE),"")</f>
        <v>Aston Martin</v>
      </c>
      <c r="F105" s="139" t="s">
        <v>427</v>
      </c>
      <c r="G105" s="75"/>
      <c r="H105" s="75"/>
      <c r="I105" s="75"/>
      <c r="K105" s="74"/>
    </row>
    <row r="106" spans="1:26" ht="12.75" customHeight="1" x14ac:dyDescent="0.2">
      <c r="B106" s="138">
        <f>$J$23</f>
        <v>22</v>
      </c>
      <c r="C106" s="86" t="s">
        <v>325</v>
      </c>
      <c r="D106" s="87" t="str">
        <f>IF(C106&lt;&gt;"",VLOOKUP(C106,'Dummy Table'!$B$3:$C$30,2,FALSE),"")</f>
        <v>Inglaterra</v>
      </c>
      <c r="E106" s="87" t="str">
        <f>IF(C106&lt;&gt;"",VLOOKUP(C106,'Dummy Table'!$B$3:$D$30,3,FALSE),"")</f>
        <v>Haas</v>
      </c>
      <c r="F106" s="139" t="s">
        <v>427</v>
      </c>
      <c r="G106" s="75"/>
      <c r="H106" s="75"/>
      <c r="I106" s="75"/>
      <c r="K106" s="74"/>
    </row>
    <row r="107" spans="1:26" s="80" customFormat="1" ht="12.75" hidden="1" customHeight="1" x14ac:dyDescent="0.2">
      <c r="A107" s="91"/>
      <c r="B107" s="138">
        <f>IF(F107="",$J$24,"Ret")</f>
        <v>23</v>
      </c>
      <c r="C107" s="78"/>
      <c r="D107" s="68" t="str">
        <f>IF(C107&lt;&gt;"",VLOOKUP(C107,'Dummy Table'!$B$3:$C$30,2,FALSE),"")</f>
        <v/>
      </c>
      <c r="E107" s="68" t="str">
        <f>IF(C107&lt;&gt;"",VLOOKUP(C107,'Dummy Table'!$B$3:$D$30,3,FALSE),"")</f>
        <v/>
      </c>
      <c r="F107" s="140"/>
      <c r="G107" s="75"/>
      <c r="H107" s="75"/>
      <c r="I107" s="75"/>
      <c r="J107" s="76"/>
      <c r="K107" s="74"/>
      <c r="L107" s="79"/>
      <c r="M107" s="72"/>
      <c r="N107" s="72"/>
      <c r="O107" s="72"/>
      <c r="P107" s="71"/>
      <c r="Q107" s="71"/>
      <c r="R107" s="71"/>
      <c r="S107" s="79"/>
      <c r="T107" s="79"/>
      <c r="U107" s="79"/>
      <c r="V107" s="79"/>
      <c r="W107" s="79"/>
      <c r="X107" s="79"/>
      <c r="Y107" s="79"/>
      <c r="Z107" s="79"/>
    </row>
    <row r="108" spans="1:26" ht="12.75" hidden="1" customHeight="1" x14ac:dyDescent="0.2">
      <c r="B108" s="138" t="str">
        <f>IF(F108="",$J$25,"Ret")</f>
        <v/>
      </c>
      <c r="C108" s="78"/>
      <c r="D108" s="68" t="str">
        <f>IF(C108&lt;&gt;"",VLOOKUP(C108,'Dummy Table'!$B$3:$C$30,2,FALSE),"")</f>
        <v/>
      </c>
      <c r="E108" s="68" t="str">
        <f>IF(C108&lt;&gt;"",VLOOKUP(C108,'Dummy Table'!$B$3:$D$30,3,FALSE),"")</f>
        <v/>
      </c>
      <c r="F108" s="140"/>
      <c r="G108" s="75"/>
      <c r="H108" s="75"/>
      <c r="I108" s="75"/>
      <c r="K108" s="74"/>
    </row>
    <row r="109" spans="1:26" x14ac:dyDescent="0.2">
      <c r="B109" s="141" t="s">
        <v>243</v>
      </c>
      <c r="C109" s="88" t="s">
        <v>324</v>
      </c>
      <c r="D109" s="89" t="str">
        <f>IF(C109&lt;&gt;"",VLOOKUP(C109,'Dummy Table'!$B$3:$C$30,2,FALSE),"")</f>
        <v>Itália</v>
      </c>
      <c r="E109" s="89" t="str">
        <f>IF(C109&lt;&gt;"",VLOOKUP(C109,'Dummy Table'!$B$3:$D$30,3,FALSE),"")</f>
        <v>Mercedes</v>
      </c>
      <c r="F109" s="142"/>
      <c r="H109" s="75"/>
      <c r="K109" s="74"/>
    </row>
    <row r="110" spans="1:26" ht="13.5" thickBot="1" x14ac:dyDescent="0.25">
      <c r="B110" s="143" t="s">
        <v>234</v>
      </c>
      <c r="C110" s="144" t="s">
        <v>324</v>
      </c>
      <c r="D110" s="145" t="str">
        <f>IF(C110&lt;&gt;"",VLOOKUP(C110,'Dummy Table'!$B$3:$C$30,2,FALSE),"")</f>
        <v>Itália</v>
      </c>
      <c r="E110" s="145" t="str">
        <f>IF(C110&lt;&gt;"",VLOOKUP(C110,'Dummy Table'!$B$3:$D$30,3,FALSE),"")</f>
        <v>Mercedes</v>
      </c>
      <c r="F110" s="146"/>
      <c r="H110" s="69">
        <f>IF(C110="",F110,0)</f>
        <v>0</v>
      </c>
      <c r="K110" s="74"/>
    </row>
    <row r="111" spans="1:26" x14ac:dyDescent="0.2">
      <c r="A111" s="91">
        <v>4</v>
      </c>
      <c r="B111" s="132">
        <f>VLOOKUP($A111,'Calendário atual'!$A$2:$E$30,2,FALSE)</f>
        <v>46299</v>
      </c>
      <c r="C111" s="175" t="str">
        <f>VLOOKUP($A111,'Calendário atual'!$A$2:$E$30,4,FALSE)</f>
        <v>FORMULA 1 GULF AIR BAHRAIN GRAND PRIX IN MALAYSIA 2026</v>
      </c>
      <c r="D111" s="175"/>
      <c r="E111" s="175"/>
      <c r="F111" s="133" t="str">
        <f>VLOOKUP($A111,'Calendário atual'!$A$2:$E$30,3,FALSE)</f>
        <v>Bahrein</v>
      </c>
      <c r="G111" s="75"/>
      <c r="H111" s="75"/>
      <c r="I111" s="75"/>
      <c r="K111" s="74"/>
    </row>
    <row r="112" spans="1:26" x14ac:dyDescent="0.2">
      <c r="B112" s="134" t="s">
        <v>14</v>
      </c>
      <c r="C112" s="90" t="s">
        <v>29</v>
      </c>
      <c r="D112" s="90" t="s">
        <v>16</v>
      </c>
      <c r="E112" s="90" t="s">
        <v>17</v>
      </c>
      <c r="F112" s="135" t="s">
        <v>18</v>
      </c>
      <c r="K112" s="74"/>
      <c r="M112" s="82"/>
      <c r="N112" s="82"/>
      <c r="O112" s="82"/>
      <c r="P112" s="79"/>
      <c r="Q112" s="79"/>
      <c r="R112" s="79"/>
    </row>
    <row r="113" spans="1:26" x14ac:dyDescent="0.2">
      <c r="B113" s="136">
        <f>$J$2</f>
        <v>1</v>
      </c>
      <c r="C113" s="86" t="s">
        <v>299</v>
      </c>
      <c r="D113" s="87" t="str">
        <f>IF(C113&lt;&gt;"",VLOOKUP(C113,'Dummy Table'!$B$3:$C$30,2,FALSE),"")</f>
        <v>Holanda</v>
      </c>
      <c r="E113" s="87" t="str">
        <f>IF(C113&lt;&gt;"",VLOOKUP(C113,'Dummy Table'!$B$3:$D$30,3,FALSE),"")</f>
        <v>Red Bull</v>
      </c>
      <c r="F113" s="137">
        <v>25</v>
      </c>
      <c r="G113" s="69">
        <f>IF(C113="",F113,0)</f>
        <v>0</v>
      </c>
      <c r="H113" s="69">
        <f>IF(C113="",F113,0)</f>
        <v>0</v>
      </c>
      <c r="I113" s="69">
        <f>IF(C113="",1,0)</f>
        <v>0</v>
      </c>
      <c r="K113" s="74"/>
    </row>
    <row r="114" spans="1:26" x14ac:dyDescent="0.2">
      <c r="B114" s="138">
        <f>$J$3</f>
        <v>2</v>
      </c>
      <c r="C114" s="86" t="s">
        <v>324</v>
      </c>
      <c r="D114" s="87" t="str">
        <f>IF(C114&lt;&gt;"",VLOOKUP(C114,'Dummy Table'!$B$3:$C$30,2,FALSE),"")</f>
        <v>Itália</v>
      </c>
      <c r="E114" s="87" t="str">
        <f>IF(C114&lt;&gt;"",VLOOKUP(C114,'Dummy Table'!$B$3:$D$30,3,FALSE),"")</f>
        <v>Mercedes</v>
      </c>
      <c r="F114" s="137">
        <v>18</v>
      </c>
      <c r="H114" s="69">
        <f>IF(C114="",F114,0)</f>
        <v>0</v>
      </c>
      <c r="K114" s="74"/>
    </row>
    <row r="115" spans="1:26" x14ac:dyDescent="0.2">
      <c r="B115" s="138">
        <f>$J$4</f>
        <v>3</v>
      </c>
      <c r="C115" s="86" t="s">
        <v>1</v>
      </c>
      <c r="D115" s="87" t="str">
        <f>IF(C115&lt;&gt;"",VLOOKUP(C115,'Dummy Table'!$B$3:$C$30,2,FALSE),"")</f>
        <v>Inglaterra</v>
      </c>
      <c r="E115" s="87" t="str">
        <f>IF(C115&lt;&gt;"",VLOOKUP(C115,'Dummy Table'!$B$3:$D$30,3,FALSE),"")</f>
        <v>Ferrari</v>
      </c>
      <c r="F115" s="137">
        <v>15</v>
      </c>
    </row>
    <row r="116" spans="1:26" x14ac:dyDescent="0.2">
      <c r="B116" s="138">
        <f>$J$5</f>
        <v>4</v>
      </c>
      <c r="C116" s="86" t="s">
        <v>307</v>
      </c>
      <c r="D116" s="87" t="str">
        <f>IF(C116&lt;&gt;"",VLOOKUP(C116,'Dummy Table'!$B$3:$C$30,2,FALSE),"")</f>
        <v>Mônaco</v>
      </c>
      <c r="E116" s="87" t="str">
        <f>IF(C116&lt;&gt;"",VLOOKUP(C116,'Dummy Table'!$B$3:$D$30,3,FALSE),"")</f>
        <v>Ferrari</v>
      </c>
      <c r="F116" s="137">
        <v>12</v>
      </c>
      <c r="K116" s="79"/>
    </row>
    <row r="117" spans="1:26" x14ac:dyDescent="0.2">
      <c r="B117" s="138">
        <f>$J$6</f>
        <v>5</v>
      </c>
      <c r="C117" s="86" t="s">
        <v>406</v>
      </c>
      <c r="D117" s="87" t="str">
        <f>IF(C117&lt;&gt;"",VLOOKUP(C117,'Dummy Table'!$B$3:$C$30,2,FALSE),"")</f>
        <v>França</v>
      </c>
      <c r="E117" s="87" t="str">
        <f>IF(C117&lt;&gt;"",VLOOKUP(C117,'Dummy Table'!$B$3:$D$30,3,FALSE),"")</f>
        <v>Red Bull</v>
      </c>
      <c r="F117" s="137">
        <v>10</v>
      </c>
    </row>
    <row r="118" spans="1:26" x14ac:dyDescent="0.2">
      <c r="B118" s="138">
        <f>$J$7</f>
        <v>6</v>
      </c>
      <c r="C118" s="86" t="s">
        <v>323</v>
      </c>
      <c r="D118" s="87" t="str">
        <f>IF(C118&lt;&gt;"",VLOOKUP(C118,'Dummy Table'!$B$3:$C$30,2,FALSE),"")</f>
        <v>Austrália</v>
      </c>
      <c r="E118" s="87" t="str">
        <f>IF(C118&lt;&gt;"",VLOOKUP(C118,'Dummy Table'!$B$3:$D$30,3,FALSE),"")</f>
        <v>McLaren</v>
      </c>
      <c r="F118" s="137">
        <v>8</v>
      </c>
      <c r="K118" s="74"/>
    </row>
    <row r="119" spans="1:26" x14ac:dyDescent="0.2">
      <c r="B119" s="138">
        <f>$J$8</f>
        <v>7</v>
      </c>
      <c r="C119" s="86" t="s">
        <v>408</v>
      </c>
      <c r="D119" s="87" t="str">
        <f>IF(C119&lt;&gt;"",VLOOKUP(C119,'Dummy Table'!$B$3:$C$30,2,FALSE),"")</f>
        <v>Austrália</v>
      </c>
      <c r="E119" s="87" t="str">
        <f>IF(C119&lt;&gt;"",VLOOKUP(C119,'Dummy Table'!$B$3:$D$30,3,FALSE),"")</f>
        <v>Racing Bulls</v>
      </c>
      <c r="F119" s="137">
        <v>6</v>
      </c>
      <c r="K119" s="74"/>
    </row>
    <row r="120" spans="1:26" x14ac:dyDescent="0.2">
      <c r="B120" s="138">
        <f>$J$9</f>
        <v>8</v>
      </c>
      <c r="C120" s="86" t="s">
        <v>30</v>
      </c>
      <c r="D120" s="87" t="str">
        <f>IF(C120&lt;&gt;"",VLOOKUP(C120,'Dummy Table'!$B$3:$C$30,2,FALSE),"")</f>
        <v>Espanha</v>
      </c>
      <c r="E120" s="87" t="str">
        <f>IF(C120&lt;&gt;"",VLOOKUP(C120,'Dummy Table'!$B$3:$D$30,3,FALSE),"")</f>
        <v>Aston Martin</v>
      </c>
      <c r="F120" s="137">
        <v>4</v>
      </c>
      <c r="K120" s="74"/>
    </row>
    <row r="121" spans="1:26" s="80" customFormat="1" x14ac:dyDescent="0.2">
      <c r="A121" s="91"/>
      <c r="B121" s="138">
        <f>$J$10</f>
        <v>9</v>
      </c>
      <c r="C121" s="86" t="s">
        <v>310</v>
      </c>
      <c r="D121" s="87" t="str">
        <f>IF(C121&lt;&gt;"",VLOOKUP(C121,'Dummy Table'!$B$3:$C$30,2,FALSE),"")</f>
        <v>Inglaterra</v>
      </c>
      <c r="E121" s="87" t="str">
        <f>IF(C121&lt;&gt;"",VLOOKUP(C121,'Dummy Table'!$B$3:$D$30,3,FALSE),"")</f>
        <v>McLaren</v>
      </c>
      <c r="F121" s="137">
        <v>2</v>
      </c>
      <c r="G121" s="69"/>
      <c r="H121" s="69"/>
      <c r="I121" s="69"/>
      <c r="J121" s="76"/>
      <c r="K121" s="74"/>
      <c r="L121" s="79"/>
      <c r="M121" s="72"/>
      <c r="N121" s="72"/>
      <c r="O121" s="72"/>
      <c r="P121" s="71"/>
      <c r="Q121" s="71"/>
      <c r="R121" s="71"/>
      <c r="S121" s="79"/>
      <c r="T121" s="79"/>
      <c r="U121" s="79"/>
      <c r="V121" s="79"/>
      <c r="W121" s="79"/>
      <c r="X121" s="79"/>
      <c r="Y121" s="79"/>
      <c r="Z121" s="79"/>
    </row>
    <row r="122" spans="1:26" x14ac:dyDescent="0.2">
      <c r="B122" s="138">
        <f>$J$11</f>
        <v>10</v>
      </c>
      <c r="C122" s="86" t="s">
        <v>407</v>
      </c>
      <c r="D122" s="87" t="str">
        <f>IF(C122&lt;&gt;"",VLOOKUP(C122,'Dummy Table'!$B$3:$C$30,2,FALSE),"")</f>
        <v>Inglaterra</v>
      </c>
      <c r="E122" s="87" t="str">
        <f>IF(C122&lt;&gt;"",VLOOKUP(C122,'Dummy Table'!$B$3:$D$30,3,FALSE),"")</f>
        <v>Racing Bulls</v>
      </c>
      <c r="F122" s="137">
        <v>1</v>
      </c>
      <c r="K122" s="74"/>
    </row>
    <row r="123" spans="1:26" x14ac:dyDescent="0.2">
      <c r="B123" s="138">
        <f>$J$12</f>
        <v>11</v>
      </c>
      <c r="C123" s="86" t="s">
        <v>252</v>
      </c>
      <c r="D123" s="87" t="str">
        <f>IF(C123&lt;&gt;"",VLOOKUP(C123,'Dummy Table'!$B$3:$C$30,2,FALSE),"")</f>
        <v>Alemanha</v>
      </c>
      <c r="E123" s="87" t="str">
        <f>IF(C123&lt;&gt;"",VLOOKUP(C123,'Dummy Table'!$B$3:$D$30,3,FALSE),"")</f>
        <v>Audi</v>
      </c>
      <c r="F123" s="139"/>
      <c r="K123" s="74"/>
    </row>
    <row r="124" spans="1:26" x14ac:dyDescent="0.2">
      <c r="B124" s="138">
        <f>$J$13</f>
        <v>12</v>
      </c>
      <c r="C124" s="86" t="s">
        <v>305</v>
      </c>
      <c r="D124" s="87" t="str">
        <f>IF(C124&lt;&gt;"",VLOOKUP(C124,'Dummy Table'!$B$3:$C$30,2,FALSE),"")</f>
        <v>Canadá</v>
      </c>
      <c r="E124" s="87" t="str">
        <f>IF(C124&lt;&gt;"",VLOOKUP(C124,'Dummy Table'!$B$3:$D$30,3,FALSE),"")</f>
        <v>Aston Martin</v>
      </c>
      <c r="F124" s="139"/>
      <c r="K124" s="74"/>
    </row>
    <row r="125" spans="1:26" x14ac:dyDescent="0.2">
      <c r="B125" s="138">
        <f>$J$14</f>
        <v>13</v>
      </c>
      <c r="C125" s="86" t="s">
        <v>412</v>
      </c>
      <c r="D125" s="87" t="str">
        <f>IF(C125&lt;&gt;"",VLOOKUP(C125,'Dummy Table'!$B$3:$C$30,2,FALSE),"")</f>
        <v>Argentina</v>
      </c>
      <c r="E125" s="87" t="str">
        <f>IF(C125&lt;&gt;"",VLOOKUP(C125,'Dummy Table'!$B$3:$D$30,3,FALSE),"")</f>
        <v>Alpine</v>
      </c>
      <c r="F125" s="139"/>
      <c r="G125" s="75"/>
      <c r="H125" s="75"/>
      <c r="I125" s="75"/>
      <c r="K125" s="74"/>
    </row>
    <row r="126" spans="1:26" x14ac:dyDescent="0.2">
      <c r="B126" s="138">
        <f>$J$15</f>
        <v>14</v>
      </c>
      <c r="C126" s="86" t="s">
        <v>325</v>
      </c>
      <c r="D126" s="87" t="str">
        <f>IF(C126&lt;&gt;"",VLOOKUP(C126,'Dummy Table'!$B$3:$C$30,2,FALSE),"")</f>
        <v>Inglaterra</v>
      </c>
      <c r="E126" s="87" t="str">
        <f>IF(C126&lt;&gt;"",VLOOKUP(C126,'Dummy Table'!$B$3:$D$30,3,FALSE),"")</f>
        <v>Haas</v>
      </c>
      <c r="F126" s="139"/>
      <c r="G126" s="75"/>
      <c r="H126" s="75"/>
      <c r="I126" s="75"/>
      <c r="K126" s="74"/>
      <c r="M126" s="82"/>
      <c r="N126" s="82"/>
      <c r="O126" s="82"/>
      <c r="P126" s="79"/>
      <c r="Q126" s="79"/>
      <c r="R126" s="79"/>
    </row>
    <row r="127" spans="1:26" x14ac:dyDescent="0.2">
      <c r="B127" s="138">
        <f>$J$16</f>
        <v>15</v>
      </c>
      <c r="C127" s="86" t="s">
        <v>313</v>
      </c>
      <c r="D127" s="87" t="str">
        <f>IF(C127&lt;&gt;"",VLOOKUP(C127,'Dummy Table'!$B$3:$C$30,2,FALSE),"")</f>
        <v>França</v>
      </c>
      <c r="E127" s="87" t="str">
        <f>IF(C127&lt;&gt;"",VLOOKUP(C127,'Dummy Table'!$B$3:$D$30,3,FALSE),"")</f>
        <v>Haas</v>
      </c>
      <c r="F127" s="139"/>
      <c r="G127" s="75"/>
      <c r="H127" s="75"/>
      <c r="I127" s="75"/>
      <c r="K127" s="74"/>
    </row>
    <row r="128" spans="1:26" x14ac:dyDescent="0.2">
      <c r="B128" s="138">
        <f>$J$17</f>
        <v>16</v>
      </c>
      <c r="C128" s="86" t="s">
        <v>306</v>
      </c>
      <c r="D128" s="87" t="str">
        <f>IF(C128&lt;&gt;"",VLOOKUP(C128,'Dummy Table'!$B$3:$C$30,2,FALSE),"")</f>
        <v>França</v>
      </c>
      <c r="E128" s="87" t="str">
        <f>IF(C128&lt;&gt;"",VLOOKUP(C128,'Dummy Table'!$B$3:$D$30,3,FALSE),"")</f>
        <v>Alpine</v>
      </c>
      <c r="F128" s="139"/>
      <c r="G128" s="75"/>
      <c r="H128" s="75"/>
      <c r="I128" s="75"/>
      <c r="K128" s="74"/>
    </row>
    <row r="129" spans="1:26" x14ac:dyDescent="0.2">
      <c r="B129" s="138">
        <f>$J$18</f>
        <v>17</v>
      </c>
      <c r="C129" s="86" t="s">
        <v>328</v>
      </c>
      <c r="D129" s="87" t="str">
        <f>IF(C129&lt;&gt;"",VLOOKUP(C129,'Dummy Table'!$B$3:$C$30,2,FALSE),"")</f>
        <v>Espanha</v>
      </c>
      <c r="E129" s="87" t="str">
        <f>IF(C129&lt;&gt;"",VLOOKUP(C129,'Dummy Table'!$B$3:$D$30,3,FALSE),"")</f>
        <v>Williams</v>
      </c>
      <c r="F129" s="139"/>
      <c r="G129" s="75"/>
      <c r="H129" s="75"/>
      <c r="I129" s="75"/>
    </row>
    <row r="130" spans="1:26" x14ac:dyDescent="0.2">
      <c r="B130" s="138">
        <f>$J$19</f>
        <v>18</v>
      </c>
      <c r="C130" s="86" t="s">
        <v>329</v>
      </c>
      <c r="D130" s="87" t="str">
        <f>IF(C130&lt;&gt;"",VLOOKUP(C130,'Dummy Table'!$B$3:$C$30,2,FALSE),"")</f>
        <v>Brasil</v>
      </c>
      <c r="E130" s="87" t="str">
        <f>IF(C130&lt;&gt;"",VLOOKUP(C130,'Dummy Table'!$B$3:$D$30,3,FALSE),"")</f>
        <v>Audi</v>
      </c>
      <c r="F130" s="139"/>
      <c r="G130" s="75"/>
      <c r="H130" s="75"/>
      <c r="I130" s="75"/>
      <c r="K130" s="79"/>
    </row>
    <row r="131" spans="1:26" x14ac:dyDescent="0.2">
      <c r="B131" s="138">
        <f>$J$20</f>
        <v>19</v>
      </c>
      <c r="C131" s="86" t="s">
        <v>396</v>
      </c>
      <c r="D131" s="87" t="str">
        <f>IF(C131&lt;&gt;"",VLOOKUP(C131,'Dummy Table'!$B$3:$C$30,2,FALSE),"")</f>
        <v>México</v>
      </c>
      <c r="E131" s="87" t="str">
        <f>IF(C131&lt;&gt;"",VLOOKUP(C131,'Dummy Table'!$B$3:$D$30,3,FALSE),"")</f>
        <v>Cadillac</v>
      </c>
      <c r="F131" s="139"/>
      <c r="G131" s="75"/>
      <c r="H131" s="75"/>
      <c r="I131" s="75"/>
    </row>
    <row r="132" spans="1:26" x14ac:dyDescent="0.2">
      <c r="B132" s="138">
        <f>$J$21</f>
        <v>20</v>
      </c>
      <c r="C132" s="86" t="s">
        <v>353</v>
      </c>
      <c r="D132" s="87" t="str">
        <f>IF(C132&lt;&gt;"",VLOOKUP(C132,'Dummy Table'!$B$3:$C$30,2,FALSE),"")</f>
        <v>Inglaterra</v>
      </c>
      <c r="E132" s="87" t="str">
        <f>IF(C132&lt;&gt;"",VLOOKUP(C132,'Dummy Table'!$B$3:$D$30,3,FALSE),"")</f>
        <v>Mercedes</v>
      </c>
      <c r="F132" s="139" t="s">
        <v>427</v>
      </c>
      <c r="G132" s="75"/>
      <c r="H132" s="75"/>
      <c r="I132" s="75"/>
      <c r="K132" s="74"/>
    </row>
    <row r="133" spans="1:26" ht="12.75" customHeight="1" x14ac:dyDescent="0.2">
      <c r="B133" s="138">
        <f>$J$22</f>
        <v>21</v>
      </c>
      <c r="C133" s="86" t="s">
        <v>309</v>
      </c>
      <c r="D133" s="87" t="str">
        <f>IF(C133&lt;&gt;"",VLOOKUP(C133,'Dummy Table'!$B$3:$C$30,2,FALSE),"")</f>
        <v>Tailandia</v>
      </c>
      <c r="E133" s="87" t="str">
        <f>IF(C133&lt;&gt;"",VLOOKUP(C133,'Dummy Table'!$B$3:$D$30,3,FALSE),"")</f>
        <v>Williams</v>
      </c>
      <c r="F133" s="139" t="s">
        <v>427</v>
      </c>
      <c r="G133" s="75"/>
      <c r="H133" s="75"/>
      <c r="I133" s="75"/>
      <c r="K133" s="74"/>
    </row>
    <row r="134" spans="1:26" ht="12.75" customHeight="1" x14ac:dyDescent="0.2">
      <c r="B134" s="138">
        <f>$J$23</f>
        <v>22</v>
      </c>
      <c r="C134" s="86" t="s">
        <v>397</v>
      </c>
      <c r="D134" s="87" t="str">
        <f>IF(C134&lt;&gt;"",VLOOKUP(C134,'Dummy Table'!$B$3:$C$30,2,FALSE),"")</f>
        <v>Finlândia</v>
      </c>
      <c r="E134" s="87" t="str">
        <f>IF(C134&lt;&gt;"",VLOOKUP(C134,'Dummy Table'!$B$3:$D$30,3,FALSE),"")</f>
        <v>Cadillac</v>
      </c>
      <c r="F134" s="139" t="s">
        <v>427</v>
      </c>
      <c r="G134" s="75"/>
      <c r="H134" s="75"/>
      <c r="I134" s="75"/>
      <c r="K134" s="74"/>
    </row>
    <row r="135" spans="1:26" s="80" customFormat="1" ht="12.75" hidden="1" customHeight="1" x14ac:dyDescent="0.2">
      <c r="A135" s="91"/>
      <c r="B135" s="138">
        <f>IF(F135="",$J$24,"Ret")</f>
        <v>23</v>
      </c>
      <c r="C135" s="78"/>
      <c r="D135" s="68" t="str">
        <f>IF(C135&lt;&gt;"",VLOOKUP(C135,'Dummy Table'!$B$3:$C$30,2,FALSE),"")</f>
        <v/>
      </c>
      <c r="E135" s="68" t="str">
        <f>IF(C135&lt;&gt;"",VLOOKUP(C135,'Dummy Table'!$B$3:$D$30,3,FALSE),"")</f>
        <v/>
      </c>
      <c r="F135" s="140"/>
      <c r="G135" s="75"/>
      <c r="H135" s="75"/>
      <c r="I135" s="75"/>
      <c r="J135" s="76"/>
      <c r="K135" s="74"/>
      <c r="L135" s="79"/>
      <c r="M135" s="72"/>
      <c r="N135" s="72"/>
      <c r="O135" s="72"/>
      <c r="P135" s="71"/>
      <c r="Q135" s="71"/>
      <c r="R135" s="71"/>
      <c r="S135" s="79"/>
      <c r="T135" s="79"/>
      <c r="U135" s="79"/>
      <c r="V135" s="79"/>
      <c r="W135" s="79"/>
      <c r="X135" s="79"/>
      <c r="Y135" s="79"/>
      <c r="Z135" s="79"/>
    </row>
    <row r="136" spans="1:26" ht="12.75" hidden="1" customHeight="1" x14ac:dyDescent="0.2">
      <c r="B136" s="138" t="str">
        <f>IF(F136="",$J$25,"Ret")</f>
        <v/>
      </c>
      <c r="C136" s="78"/>
      <c r="D136" s="68" t="str">
        <f>IF(C136&lt;&gt;"",VLOOKUP(C136,'Dummy Table'!$B$3:$C$30,2,FALSE),"")</f>
        <v/>
      </c>
      <c r="E136" s="68" t="str">
        <f>IF(C136&lt;&gt;"",VLOOKUP(C136,'Dummy Table'!$B$3:$D$30,3,FALSE),"")</f>
        <v/>
      </c>
      <c r="F136" s="140"/>
      <c r="G136" s="75"/>
      <c r="H136" s="75"/>
      <c r="I136" s="75"/>
      <c r="K136" s="74"/>
    </row>
    <row r="137" spans="1:26" x14ac:dyDescent="0.2">
      <c r="B137" s="141" t="s">
        <v>243</v>
      </c>
      <c r="C137" s="88" t="s">
        <v>299</v>
      </c>
      <c r="D137" s="89" t="str">
        <f>IF(C137&lt;&gt;"",VLOOKUP(C137,'Dummy Table'!$B$3:$C$30,2,FALSE),"")</f>
        <v>Holanda</v>
      </c>
      <c r="E137" s="89" t="str">
        <f>IF(C137&lt;&gt;"",VLOOKUP(C137,'Dummy Table'!$B$3:$D$30,3,FALSE),"")</f>
        <v>Red Bull</v>
      </c>
      <c r="F137" s="142"/>
      <c r="H137" s="75"/>
      <c r="K137" s="74"/>
    </row>
    <row r="138" spans="1:26" ht="13.5" thickBot="1" x14ac:dyDescent="0.25">
      <c r="B138" s="143" t="s">
        <v>234</v>
      </c>
      <c r="C138" s="144" t="s">
        <v>299</v>
      </c>
      <c r="D138" s="145" t="str">
        <f>IF(C138&lt;&gt;"",VLOOKUP(C138,'Dummy Table'!$B$3:$C$30,2,FALSE),"")</f>
        <v>Holanda</v>
      </c>
      <c r="E138" s="145" t="str">
        <f>IF(C138&lt;&gt;"",VLOOKUP(C138,'Dummy Table'!$B$3:$D$30,3,FALSE),"")</f>
        <v>Red Bull</v>
      </c>
      <c r="F138" s="146"/>
      <c r="H138" s="69">
        <f>IF(C138="",F138,0)</f>
        <v>0</v>
      </c>
      <c r="K138" s="74"/>
    </row>
    <row r="139" spans="1:26" x14ac:dyDescent="0.2">
      <c r="A139" s="91">
        <v>5</v>
      </c>
      <c r="B139" s="132">
        <f>VLOOKUP(A139,'Calendário atual'!$A$2:$E$30,2,FALSE)</f>
        <v>46131</v>
      </c>
      <c r="C139" s="175" t="str">
        <f>VLOOKUP(A139,'Calendário atual'!$A$2:$E$30,4,FALSE)</f>
        <v>SUSPENSA - FORMULA 1 STC SAUDI ARABIAN GRAND PRIX 2026 - SUSPENSA</v>
      </c>
      <c r="D139" s="175"/>
      <c r="E139" s="175"/>
      <c r="F139" s="133" t="str">
        <f>VLOOKUP(A139,'Calendário atual'!$A$2:$E$30,3,FALSE)</f>
        <v>Arabia Saudita</v>
      </c>
      <c r="G139" s="75"/>
      <c r="H139" s="75"/>
      <c r="I139" s="75"/>
      <c r="K139" s="74"/>
    </row>
    <row r="140" spans="1:26" x14ac:dyDescent="0.2">
      <c r="B140" s="134" t="s">
        <v>14</v>
      </c>
      <c r="C140" s="90" t="s">
        <v>29</v>
      </c>
      <c r="D140" s="90" t="s">
        <v>16</v>
      </c>
      <c r="E140" s="90" t="s">
        <v>17</v>
      </c>
      <c r="F140" s="135" t="s">
        <v>18</v>
      </c>
      <c r="K140" s="74"/>
      <c r="M140" s="82"/>
      <c r="N140" s="82"/>
      <c r="O140" s="82"/>
      <c r="P140" s="79"/>
      <c r="Q140" s="79"/>
      <c r="R140" s="79"/>
    </row>
    <row r="141" spans="1:26" x14ac:dyDescent="0.2">
      <c r="B141" s="136">
        <f>$J$2</f>
        <v>1</v>
      </c>
      <c r="C141" s="86"/>
      <c r="D141" s="87" t="str">
        <f>IF(C141&lt;&gt;"",VLOOKUP(C141,'Dummy Table'!$B$3:$C$30,2,FALSE),"")</f>
        <v/>
      </c>
      <c r="E141" s="87" t="str">
        <f>IF(C141&lt;&gt;"",VLOOKUP(C141,'Dummy Table'!$B$3:$D$30,3,FALSE),"")</f>
        <v/>
      </c>
      <c r="F141" s="137">
        <v>25</v>
      </c>
      <c r="G141" s="69">
        <f>IF(C141="",F141,0)</f>
        <v>25</v>
      </c>
      <c r="H141" s="69">
        <f>IF(C141="",F141,0)</f>
        <v>25</v>
      </c>
      <c r="I141" s="69">
        <f>IF(C141="",1,0)</f>
        <v>1</v>
      </c>
      <c r="K141" s="74"/>
    </row>
    <row r="142" spans="1:26" x14ac:dyDescent="0.2">
      <c r="B142" s="138">
        <f>$J$3</f>
        <v>2</v>
      </c>
      <c r="C142" s="86"/>
      <c r="D142" s="87" t="str">
        <f>IF(C142&lt;&gt;"",VLOOKUP(C142,'Dummy Table'!$B$3:$C$30,2,FALSE),"")</f>
        <v/>
      </c>
      <c r="E142" s="87" t="str">
        <f>IF(C142&lt;&gt;"",VLOOKUP(C142,'Dummy Table'!$B$3:$D$30,3,FALSE),"")</f>
        <v/>
      </c>
      <c r="F142" s="137">
        <v>18</v>
      </c>
      <c r="H142" s="69">
        <f>IF(C142="",F142,0)</f>
        <v>18</v>
      </c>
      <c r="K142" s="74"/>
    </row>
    <row r="143" spans="1:26" x14ac:dyDescent="0.2">
      <c r="B143" s="138">
        <f>$J$4</f>
        <v>3</v>
      </c>
      <c r="C143" s="86"/>
      <c r="D143" s="87" t="str">
        <f>IF(C143&lt;&gt;"",VLOOKUP(C143,'Dummy Table'!$B$3:$C$30,2,FALSE),"")</f>
        <v/>
      </c>
      <c r="E143" s="87" t="str">
        <f>IF(C143&lt;&gt;"",VLOOKUP(C143,'Dummy Table'!$B$3:$D$30,3,FALSE),"")</f>
        <v/>
      </c>
      <c r="F143" s="137">
        <v>15</v>
      </c>
    </row>
    <row r="144" spans="1:26" x14ac:dyDescent="0.2">
      <c r="B144" s="138">
        <f>$J$5</f>
        <v>4</v>
      </c>
      <c r="C144" s="86"/>
      <c r="D144" s="87" t="str">
        <f>IF(C144&lt;&gt;"",VLOOKUP(C144,'Dummy Table'!$B$3:$C$30,2,FALSE),"")</f>
        <v/>
      </c>
      <c r="E144" s="87" t="str">
        <f>IF(C144&lt;&gt;"",VLOOKUP(C144,'Dummy Table'!$B$3:$D$30,3,FALSE),"")</f>
        <v/>
      </c>
      <c r="F144" s="137">
        <v>12</v>
      </c>
      <c r="K144" s="79"/>
    </row>
    <row r="145" spans="1:26" x14ac:dyDescent="0.2">
      <c r="B145" s="138">
        <f>$J$6</f>
        <v>5</v>
      </c>
      <c r="C145" s="86"/>
      <c r="D145" s="87" t="str">
        <f>IF(C145&lt;&gt;"",VLOOKUP(C145,'Dummy Table'!$B$3:$C$30,2,FALSE),"")</f>
        <v/>
      </c>
      <c r="E145" s="87" t="str">
        <f>IF(C145&lt;&gt;"",VLOOKUP(C145,'Dummy Table'!$B$3:$D$30,3,FALSE),"")</f>
        <v/>
      </c>
      <c r="F145" s="137">
        <v>10</v>
      </c>
    </row>
    <row r="146" spans="1:26" x14ac:dyDescent="0.2">
      <c r="B146" s="138">
        <f>$J$7</f>
        <v>6</v>
      </c>
      <c r="C146" s="86"/>
      <c r="D146" s="87" t="str">
        <f>IF(C146&lt;&gt;"",VLOOKUP(C146,'Dummy Table'!$B$3:$C$30,2,FALSE),"")</f>
        <v/>
      </c>
      <c r="E146" s="87" t="str">
        <f>IF(C146&lt;&gt;"",VLOOKUP(C146,'Dummy Table'!$B$3:$D$30,3,FALSE),"")</f>
        <v/>
      </c>
      <c r="F146" s="137">
        <v>8</v>
      </c>
      <c r="K146" s="74"/>
    </row>
    <row r="147" spans="1:26" x14ac:dyDescent="0.2">
      <c r="B147" s="138">
        <f>$J$8</f>
        <v>7</v>
      </c>
      <c r="C147" s="86"/>
      <c r="D147" s="87" t="str">
        <f>IF(C147&lt;&gt;"",VLOOKUP(C147,'Dummy Table'!$B$3:$C$30,2,FALSE),"")</f>
        <v/>
      </c>
      <c r="E147" s="87" t="str">
        <f>IF(C147&lt;&gt;"",VLOOKUP(C147,'Dummy Table'!$B$3:$D$30,3,FALSE),"")</f>
        <v/>
      </c>
      <c r="F147" s="137">
        <v>6</v>
      </c>
      <c r="K147" s="74"/>
    </row>
    <row r="148" spans="1:26" x14ac:dyDescent="0.2">
      <c r="B148" s="138">
        <f>$J$9</f>
        <v>8</v>
      </c>
      <c r="C148" s="86"/>
      <c r="D148" s="87" t="str">
        <f>IF(C148&lt;&gt;"",VLOOKUP(C148,'Dummy Table'!$B$3:$C$30,2,FALSE),"")</f>
        <v/>
      </c>
      <c r="E148" s="87" t="str">
        <f>IF(C148&lt;&gt;"",VLOOKUP(C148,'Dummy Table'!$B$3:$D$30,3,FALSE),"")</f>
        <v/>
      </c>
      <c r="F148" s="137">
        <v>4</v>
      </c>
      <c r="K148" s="74"/>
    </row>
    <row r="149" spans="1:26" s="80" customFormat="1" x14ac:dyDescent="0.2">
      <c r="A149" s="91"/>
      <c r="B149" s="138">
        <f>$J$10</f>
        <v>9</v>
      </c>
      <c r="C149" s="86"/>
      <c r="D149" s="87" t="str">
        <f>IF(C149&lt;&gt;"",VLOOKUP(C149,'Dummy Table'!$B$3:$C$30,2,FALSE),"")</f>
        <v/>
      </c>
      <c r="E149" s="87" t="str">
        <f>IF(C149&lt;&gt;"",VLOOKUP(C149,'Dummy Table'!$B$3:$D$30,3,FALSE),"")</f>
        <v/>
      </c>
      <c r="F149" s="137">
        <v>2</v>
      </c>
      <c r="G149" s="69"/>
      <c r="H149" s="69"/>
      <c r="I149" s="69"/>
      <c r="J149" s="76"/>
      <c r="K149" s="74"/>
      <c r="L149" s="79"/>
      <c r="M149" s="72"/>
      <c r="N149" s="72"/>
      <c r="O149" s="72"/>
      <c r="P149" s="71"/>
      <c r="Q149" s="71"/>
      <c r="R149" s="71"/>
      <c r="S149" s="79"/>
      <c r="T149" s="79"/>
      <c r="U149" s="79"/>
      <c r="V149" s="79"/>
      <c r="W149" s="79"/>
      <c r="X149" s="79"/>
      <c r="Y149" s="79"/>
      <c r="Z149" s="79"/>
    </row>
    <row r="150" spans="1:26" x14ac:dyDescent="0.2">
      <c r="B150" s="138">
        <f>$J$11</f>
        <v>10</v>
      </c>
      <c r="C150" s="86"/>
      <c r="D150" s="87" t="str">
        <f>IF(C150&lt;&gt;"",VLOOKUP(C150,'Dummy Table'!$B$3:$C$30,2,FALSE),"")</f>
        <v/>
      </c>
      <c r="E150" s="87" t="str">
        <f>IF(C150&lt;&gt;"",VLOOKUP(C150,'Dummy Table'!$B$3:$D$30,3,FALSE),"")</f>
        <v/>
      </c>
      <c r="F150" s="137">
        <v>1</v>
      </c>
      <c r="K150" s="74"/>
    </row>
    <row r="151" spans="1:26" x14ac:dyDescent="0.2">
      <c r="B151" s="138">
        <f>$J$12</f>
        <v>11</v>
      </c>
      <c r="C151" s="86"/>
      <c r="D151" s="87" t="str">
        <f>IF(C151&lt;&gt;"",VLOOKUP(C151,'Dummy Table'!$B$3:$C$30,2,FALSE),"")</f>
        <v/>
      </c>
      <c r="E151" s="87" t="str">
        <f>IF(C151&lt;&gt;"",VLOOKUP(C151,'Dummy Table'!$B$3:$D$30,3,FALSE),"")</f>
        <v/>
      </c>
      <c r="F151" s="139"/>
      <c r="K151" s="74"/>
    </row>
    <row r="152" spans="1:26" x14ac:dyDescent="0.2">
      <c r="B152" s="138">
        <f>$J$13</f>
        <v>12</v>
      </c>
      <c r="C152" s="86"/>
      <c r="D152" s="87" t="str">
        <f>IF(C152&lt;&gt;"",VLOOKUP(C152,'Dummy Table'!$B$3:$C$30,2,FALSE),"")</f>
        <v/>
      </c>
      <c r="E152" s="87" t="str">
        <f>IF(C152&lt;&gt;"",VLOOKUP(C152,'Dummy Table'!$B$3:$D$30,3,FALSE),"")</f>
        <v/>
      </c>
      <c r="F152" s="139"/>
      <c r="K152" s="74"/>
    </row>
    <row r="153" spans="1:26" x14ac:dyDescent="0.2">
      <c r="B153" s="138">
        <f>$J$14</f>
        <v>13</v>
      </c>
      <c r="C153" s="86"/>
      <c r="D153" s="87" t="str">
        <f>IF(C153&lt;&gt;"",VLOOKUP(C153,'Dummy Table'!$B$3:$C$30,2,FALSE),"")</f>
        <v/>
      </c>
      <c r="E153" s="87" t="str">
        <f>IF(C153&lt;&gt;"",VLOOKUP(C153,'Dummy Table'!$B$3:$D$30,3,FALSE),"")</f>
        <v/>
      </c>
      <c r="F153" s="139"/>
      <c r="G153" s="75"/>
      <c r="H153" s="75"/>
      <c r="I153" s="75"/>
      <c r="K153" s="74"/>
    </row>
    <row r="154" spans="1:26" x14ac:dyDescent="0.2">
      <c r="B154" s="138">
        <f>$J$15</f>
        <v>14</v>
      </c>
      <c r="C154" s="86"/>
      <c r="D154" s="87" t="str">
        <f>IF(C154&lt;&gt;"",VLOOKUP(C154,'Dummy Table'!$B$3:$C$30,2,FALSE),"")</f>
        <v/>
      </c>
      <c r="E154" s="87" t="str">
        <f>IF(C154&lt;&gt;"",VLOOKUP(C154,'Dummy Table'!$B$3:$D$30,3,FALSE),"")</f>
        <v/>
      </c>
      <c r="F154" s="139"/>
      <c r="G154" s="75"/>
      <c r="H154" s="75"/>
      <c r="I154" s="75"/>
      <c r="K154" s="74"/>
      <c r="M154" s="82"/>
      <c r="N154" s="82"/>
      <c r="O154" s="82"/>
      <c r="P154" s="79"/>
      <c r="Q154" s="79"/>
      <c r="R154" s="79"/>
    </row>
    <row r="155" spans="1:26" x14ac:dyDescent="0.2">
      <c r="B155" s="138">
        <f>$J$16</f>
        <v>15</v>
      </c>
      <c r="C155" s="86"/>
      <c r="D155" s="87" t="str">
        <f>IF(C155&lt;&gt;"",VLOOKUP(C155,'Dummy Table'!$B$3:$C$30,2,FALSE),"")</f>
        <v/>
      </c>
      <c r="E155" s="87" t="str">
        <f>IF(C155&lt;&gt;"",VLOOKUP(C155,'Dummy Table'!$B$3:$D$30,3,FALSE),"")</f>
        <v/>
      </c>
      <c r="F155" s="139"/>
      <c r="G155" s="75"/>
      <c r="H155" s="75"/>
      <c r="I155" s="75"/>
      <c r="K155" s="74"/>
    </row>
    <row r="156" spans="1:26" x14ac:dyDescent="0.2">
      <c r="B156" s="138">
        <f>$J$17</f>
        <v>16</v>
      </c>
      <c r="C156" s="86"/>
      <c r="D156" s="87" t="str">
        <f>IF(C156&lt;&gt;"",VLOOKUP(C156,'Dummy Table'!$B$3:$C$30,2,FALSE),"")</f>
        <v/>
      </c>
      <c r="E156" s="87" t="str">
        <f>IF(C156&lt;&gt;"",VLOOKUP(C156,'Dummy Table'!$B$3:$D$30,3,FALSE),"")</f>
        <v/>
      </c>
      <c r="F156" s="139"/>
      <c r="G156" s="75"/>
      <c r="H156" s="75"/>
      <c r="I156" s="75"/>
      <c r="K156" s="74"/>
    </row>
    <row r="157" spans="1:26" x14ac:dyDescent="0.2">
      <c r="B157" s="138">
        <f>$J$18</f>
        <v>17</v>
      </c>
      <c r="C157" s="86"/>
      <c r="D157" s="87" t="str">
        <f>IF(C157&lt;&gt;"",VLOOKUP(C157,'Dummy Table'!$B$3:$C$30,2,FALSE),"")</f>
        <v/>
      </c>
      <c r="E157" s="87" t="str">
        <f>IF(C157&lt;&gt;"",VLOOKUP(C157,'Dummy Table'!$B$3:$D$30,3,FALSE),"")</f>
        <v/>
      </c>
      <c r="F157" s="139"/>
      <c r="G157" s="75"/>
      <c r="H157" s="75"/>
      <c r="I157" s="75"/>
    </row>
    <row r="158" spans="1:26" x14ac:dyDescent="0.2">
      <c r="B158" s="138">
        <f>$J$19</f>
        <v>18</v>
      </c>
      <c r="C158" s="86"/>
      <c r="D158" s="87" t="str">
        <f>IF(C158&lt;&gt;"",VLOOKUP(C158,'Dummy Table'!$B$3:$C$30,2,FALSE),"")</f>
        <v/>
      </c>
      <c r="E158" s="87" t="str">
        <f>IF(C158&lt;&gt;"",VLOOKUP(C158,'Dummy Table'!$B$3:$D$30,3,FALSE),"")</f>
        <v/>
      </c>
      <c r="F158" s="139"/>
      <c r="G158" s="75"/>
      <c r="H158" s="75"/>
      <c r="I158" s="75"/>
      <c r="K158" s="79"/>
    </row>
    <row r="159" spans="1:26" x14ac:dyDescent="0.2">
      <c r="B159" s="138">
        <f>$J$20</f>
        <v>19</v>
      </c>
      <c r="C159" s="86"/>
      <c r="D159" s="87" t="str">
        <f>IF(C159&lt;&gt;"",VLOOKUP(C159,'Dummy Table'!$B$3:$C$30,2,FALSE),"")</f>
        <v/>
      </c>
      <c r="E159" s="87" t="str">
        <f>IF(C159&lt;&gt;"",VLOOKUP(C159,'Dummy Table'!$B$3:$D$30,3,FALSE),"")</f>
        <v/>
      </c>
      <c r="F159" s="139"/>
      <c r="G159" s="75"/>
      <c r="H159" s="75"/>
      <c r="I159" s="75"/>
    </row>
    <row r="160" spans="1:26" x14ac:dyDescent="0.2">
      <c r="B160" s="138">
        <f>$J$21</f>
        <v>20</v>
      </c>
      <c r="C160" s="86"/>
      <c r="D160" s="87" t="str">
        <f>IF(C160&lt;&gt;"",VLOOKUP(C160,'Dummy Table'!$B$3:$C$30,2,FALSE),"")</f>
        <v/>
      </c>
      <c r="E160" s="87" t="str">
        <f>IF(C160&lt;&gt;"",VLOOKUP(C160,'Dummy Table'!$B$3:$D$30,3,FALSE),"")</f>
        <v/>
      </c>
      <c r="F160" s="139"/>
      <c r="G160" s="75"/>
      <c r="H160" s="75"/>
      <c r="I160" s="75"/>
      <c r="K160" s="74"/>
    </row>
    <row r="161" spans="1:26" ht="12.75" customHeight="1" x14ac:dyDescent="0.2">
      <c r="B161" s="138">
        <f>$J$22</f>
        <v>21</v>
      </c>
      <c r="C161" s="86"/>
      <c r="D161" s="87" t="str">
        <f>IF(C161&lt;&gt;"",VLOOKUP(C161,'Dummy Table'!$B$3:$C$30,2,FALSE),"")</f>
        <v/>
      </c>
      <c r="E161" s="87" t="str">
        <f>IF(C161&lt;&gt;"",VLOOKUP(C161,'Dummy Table'!$B$3:$D$30,3,FALSE),"")</f>
        <v/>
      </c>
      <c r="F161" s="139"/>
      <c r="G161" s="75"/>
      <c r="H161" s="75"/>
      <c r="I161" s="75"/>
      <c r="K161" s="74"/>
    </row>
    <row r="162" spans="1:26" ht="12.75" customHeight="1" x14ac:dyDescent="0.2">
      <c r="B162" s="138">
        <f>$J$23</f>
        <v>22</v>
      </c>
      <c r="C162" s="86"/>
      <c r="D162" s="87" t="str">
        <f>IF(C162&lt;&gt;"",VLOOKUP(C162,'Dummy Table'!$B$3:$C$30,2,FALSE),"")</f>
        <v/>
      </c>
      <c r="E162" s="87" t="str">
        <f>IF(C162&lt;&gt;"",VLOOKUP(C162,'Dummy Table'!$B$3:$D$30,3,FALSE),"")</f>
        <v/>
      </c>
      <c r="F162" s="139"/>
      <c r="G162" s="75"/>
      <c r="H162" s="75"/>
      <c r="I162" s="75"/>
      <c r="K162" s="74"/>
    </row>
    <row r="163" spans="1:26" s="80" customFormat="1" ht="12.75" hidden="1" customHeight="1" x14ac:dyDescent="0.2">
      <c r="A163" s="91"/>
      <c r="B163" s="138">
        <f>IF(F163="",$J$24,"Ret")</f>
        <v>23</v>
      </c>
      <c r="C163" s="78"/>
      <c r="D163" s="68" t="str">
        <f>IF(C163&lt;&gt;"",VLOOKUP(C163,'Dummy Table'!$B$3:$C$30,2,FALSE),"")</f>
        <v/>
      </c>
      <c r="E163" s="68" t="str">
        <f>IF(C163&lt;&gt;"",VLOOKUP(C163,'Dummy Table'!$B$3:$D$30,3,FALSE),"")</f>
        <v/>
      </c>
      <c r="F163" s="140"/>
      <c r="G163" s="75"/>
      <c r="H163" s="75"/>
      <c r="I163" s="75"/>
      <c r="J163" s="76"/>
      <c r="K163" s="74"/>
      <c r="L163" s="79"/>
      <c r="M163" s="72"/>
      <c r="N163" s="72"/>
      <c r="O163" s="72"/>
      <c r="P163" s="71"/>
      <c r="Q163" s="71"/>
      <c r="R163" s="71"/>
      <c r="S163" s="79"/>
      <c r="T163" s="79"/>
      <c r="U163" s="79"/>
      <c r="V163" s="79"/>
      <c r="W163" s="79"/>
      <c r="X163" s="79"/>
      <c r="Y163" s="79"/>
      <c r="Z163" s="79"/>
    </row>
    <row r="164" spans="1:26" ht="12.75" hidden="1" customHeight="1" x14ac:dyDescent="0.2">
      <c r="B164" s="138" t="str">
        <f>IF(F164="",$J$25,"Ret")</f>
        <v/>
      </c>
      <c r="C164" s="78"/>
      <c r="D164" s="68" t="str">
        <f>IF(C164&lt;&gt;"",VLOOKUP(C164,'Dummy Table'!$B$3:$C$30,2,FALSE),"")</f>
        <v/>
      </c>
      <c r="E164" s="68" t="str">
        <f>IF(C164&lt;&gt;"",VLOOKUP(C164,'Dummy Table'!$B$3:$D$30,3,FALSE),"")</f>
        <v/>
      </c>
      <c r="F164" s="140"/>
      <c r="G164" s="75"/>
      <c r="H164" s="75"/>
      <c r="I164" s="75"/>
      <c r="K164" s="74"/>
    </row>
    <row r="165" spans="1:26" x14ac:dyDescent="0.2">
      <c r="B165" s="141" t="s">
        <v>243</v>
      </c>
      <c r="C165" s="88"/>
      <c r="D165" s="89" t="str">
        <f>IF(C165&lt;&gt;"",VLOOKUP(C165,'Dummy Table'!$B$3:$C$30,2,FALSE),"")</f>
        <v/>
      </c>
      <c r="E165" s="89" t="str">
        <f>IF(C165&lt;&gt;"",VLOOKUP(C165,'Dummy Table'!$B$3:$D$30,3,FALSE),"")</f>
        <v/>
      </c>
      <c r="F165" s="142"/>
      <c r="H165" s="75"/>
      <c r="K165" s="74"/>
    </row>
    <row r="166" spans="1:26" ht="13.5" thickBot="1" x14ac:dyDescent="0.25">
      <c r="B166" s="143" t="s">
        <v>234</v>
      </c>
      <c r="C166" s="144"/>
      <c r="D166" s="145" t="str">
        <f>IF(C166&lt;&gt;"",VLOOKUP(C166,'Dummy Table'!$B$3:$C$30,2,FALSE),"")</f>
        <v/>
      </c>
      <c r="E166" s="145" t="str">
        <f>IF(C166&lt;&gt;"",VLOOKUP(C166,'Dummy Table'!$B$3:$D$30,3,FALSE),"")</f>
        <v/>
      </c>
      <c r="F166" s="146"/>
      <c r="H166" s="69">
        <f>IF(C166="",F166,0)</f>
        <v>0</v>
      </c>
      <c r="K166" s="74"/>
    </row>
    <row r="167" spans="1:26" x14ac:dyDescent="0.2">
      <c r="A167" s="91">
        <v>6</v>
      </c>
      <c r="B167" s="132">
        <f>VLOOKUP($A167,'Calendário atual'!$A$2:$E$30,2,FALSE)</f>
        <v>46145</v>
      </c>
      <c r="C167" s="175" t="str">
        <f>VLOOKUP($A167,'Calendário atual'!$A$2:$E$30,4,FALSE)</f>
        <v>FORMULA 1 CRYPTO.COM MIAMI GRAND PRIX 2026</v>
      </c>
      <c r="D167" s="175"/>
      <c r="E167" s="175"/>
      <c r="F167" s="133" t="str">
        <f>VLOOKUP($A167,'Calendário atual'!$A$2:$E$30,3,FALSE)</f>
        <v>USA</v>
      </c>
      <c r="G167" s="75"/>
      <c r="H167" s="75"/>
      <c r="I167" s="75"/>
      <c r="K167" s="74"/>
    </row>
    <row r="168" spans="1:26" x14ac:dyDescent="0.2">
      <c r="B168" s="147"/>
      <c r="C168" s="93" t="s">
        <v>354</v>
      </c>
      <c r="D168" s="94"/>
      <c r="E168" s="94"/>
      <c r="F168" s="148"/>
      <c r="G168" s="75"/>
      <c r="H168" s="75"/>
      <c r="I168" s="75"/>
      <c r="K168" s="81"/>
      <c r="M168" s="77"/>
      <c r="N168" s="77"/>
      <c r="O168" s="77"/>
      <c r="P168" s="77"/>
      <c r="Q168" s="77"/>
      <c r="R168" s="77"/>
      <c r="S168" s="77"/>
      <c r="T168" s="77"/>
      <c r="V168" s="71"/>
      <c r="W168" s="71"/>
      <c r="X168" s="71"/>
    </row>
    <row r="169" spans="1:26" x14ac:dyDescent="0.2">
      <c r="B169" s="134" t="s">
        <v>14</v>
      </c>
      <c r="C169" s="90" t="s">
        <v>29</v>
      </c>
      <c r="D169" s="90" t="s">
        <v>16</v>
      </c>
      <c r="E169" s="90" t="s">
        <v>17</v>
      </c>
      <c r="F169" s="135" t="s">
        <v>18</v>
      </c>
      <c r="M169" s="82"/>
      <c r="N169" s="82"/>
      <c r="O169" s="82"/>
      <c r="P169" s="79"/>
      <c r="Q169" s="79"/>
      <c r="R169" s="79"/>
      <c r="V169" s="71"/>
      <c r="W169" s="71"/>
      <c r="X169" s="71"/>
    </row>
    <row r="170" spans="1:26" x14ac:dyDescent="0.2">
      <c r="B170" s="136">
        <f>$J$2</f>
        <v>1</v>
      </c>
      <c r="C170" s="86" t="s">
        <v>310</v>
      </c>
      <c r="D170" s="87" t="str">
        <f>IF(C170&lt;&gt;"",VLOOKUP(C170,'Dummy Table'!$B$3:$C$30,2,FALSE),"")</f>
        <v>Inglaterra</v>
      </c>
      <c r="E170" s="87" t="str">
        <f>IF(C170&lt;&gt;"",VLOOKUP(C170,'Dummy Table'!$B$3:$D$30,3,FALSE),"")</f>
        <v>McLaren</v>
      </c>
      <c r="F170" s="137">
        <v>8</v>
      </c>
      <c r="G170" s="69">
        <f>IF(C170="",F170,0)</f>
        <v>0</v>
      </c>
      <c r="H170" s="69">
        <f>IF(C170="",F170,0)</f>
        <v>0</v>
      </c>
      <c r="K170" s="74"/>
      <c r="V170" s="71"/>
      <c r="W170" s="71"/>
      <c r="X170" s="71"/>
    </row>
    <row r="171" spans="1:26" x14ac:dyDescent="0.2">
      <c r="B171" s="138">
        <f>$J$3</f>
        <v>2</v>
      </c>
      <c r="C171" s="86" t="s">
        <v>323</v>
      </c>
      <c r="D171" s="87" t="str">
        <f>IF(C171&lt;&gt;"",VLOOKUP(C171,'Dummy Table'!$B$3:$C$30,2,FALSE),"")</f>
        <v>Austrália</v>
      </c>
      <c r="E171" s="87" t="str">
        <f>IF(C171&lt;&gt;"",VLOOKUP(C171,'Dummy Table'!$B$3:$D$30,3,FALSE),"")</f>
        <v>McLaren</v>
      </c>
      <c r="F171" s="137">
        <v>7</v>
      </c>
      <c r="H171" s="69">
        <f>IF(C171="",F171,0)</f>
        <v>0</v>
      </c>
      <c r="K171" s="74"/>
    </row>
    <row r="172" spans="1:26" x14ac:dyDescent="0.2">
      <c r="B172" s="138">
        <f>$J$4</f>
        <v>3</v>
      </c>
      <c r="C172" s="86" t="s">
        <v>307</v>
      </c>
      <c r="D172" s="87" t="str">
        <f>IF(C172&lt;&gt;"",VLOOKUP(C172,'Dummy Table'!$B$3:$C$30,2,FALSE),"")</f>
        <v>Mônaco</v>
      </c>
      <c r="E172" s="87" t="str">
        <f>IF(C172&lt;&gt;"",VLOOKUP(C172,'Dummy Table'!$B$3:$D$30,3,FALSE),"")</f>
        <v>Ferrari</v>
      </c>
      <c r="F172" s="137">
        <v>6</v>
      </c>
    </row>
    <row r="173" spans="1:26" x14ac:dyDescent="0.2">
      <c r="B173" s="138">
        <f>$J$5</f>
        <v>4</v>
      </c>
      <c r="C173" s="86" t="s">
        <v>353</v>
      </c>
      <c r="D173" s="87" t="str">
        <f>IF(C173&lt;&gt;"",VLOOKUP(C173,'Dummy Table'!$B$3:$C$30,2,FALSE),"")</f>
        <v>Inglaterra</v>
      </c>
      <c r="E173" s="87" t="str">
        <f>IF(C173&lt;&gt;"",VLOOKUP(C173,'Dummy Table'!$B$3:$D$30,3,FALSE),"")</f>
        <v>Mercedes</v>
      </c>
      <c r="F173" s="137">
        <v>5</v>
      </c>
      <c r="K173" s="79"/>
    </row>
    <row r="174" spans="1:26" x14ac:dyDescent="0.2">
      <c r="B174" s="138">
        <f>$J$6</f>
        <v>5</v>
      </c>
      <c r="C174" s="86" t="s">
        <v>299</v>
      </c>
      <c r="D174" s="87" t="str">
        <f>IF(C174&lt;&gt;"",VLOOKUP(C174,'Dummy Table'!$B$3:$C$30,2,FALSE),"")</f>
        <v>Holanda</v>
      </c>
      <c r="E174" s="87" t="str">
        <f>IF(C174&lt;&gt;"",VLOOKUP(C174,'Dummy Table'!$B$3:$D$30,3,FALSE),"")</f>
        <v>Red Bull</v>
      </c>
      <c r="F174" s="137">
        <v>4</v>
      </c>
    </row>
    <row r="175" spans="1:26" x14ac:dyDescent="0.2">
      <c r="B175" s="138">
        <f>$J$7</f>
        <v>6</v>
      </c>
      <c r="C175" s="86" t="s">
        <v>324</v>
      </c>
      <c r="D175" s="87" t="str">
        <f>IF(C175&lt;&gt;"",VLOOKUP(C175,'Dummy Table'!$B$3:$C$30,2,FALSE),"")</f>
        <v>Itália</v>
      </c>
      <c r="E175" s="87" t="str">
        <f>IF(C175&lt;&gt;"",VLOOKUP(C175,'Dummy Table'!$B$3:$D$30,3,FALSE),"")</f>
        <v>Mercedes</v>
      </c>
      <c r="F175" s="137">
        <v>3</v>
      </c>
      <c r="K175" s="74"/>
    </row>
    <row r="176" spans="1:26" x14ac:dyDescent="0.2">
      <c r="B176" s="138">
        <f>$J$8</f>
        <v>7</v>
      </c>
      <c r="C176" s="86" t="s">
        <v>1</v>
      </c>
      <c r="D176" s="87" t="str">
        <f>IF(C176&lt;&gt;"",VLOOKUP(C176,'Dummy Table'!$B$3:$C$30,2,FALSE),"")</f>
        <v>Inglaterra</v>
      </c>
      <c r="E176" s="87" t="str">
        <f>IF(C176&lt;&gt;"",VLOOKUP(C176,'Dummy Table'!$B$3:$D$30,3,FALSE),"")</f>
        <v>Ferrari</v>
      </c>
      <c r="F176" s="137">
        <v>2</v>
      </c>
      <c r="K176" s="74"/>
    </row>
    <row r="177" spans="1:26" x14ac:dyDescent="0.2">
      <c r="B177" s="138">
        <f>$J$9</f>
        <v>8</v>
      </c>
      <c r="C177" s="86" t="s">
        <v>306</v>
      </c>
      <c r="D177" s="87" t="str">
        <f>IF(C177&lt;&gt;"",VLOOKUP(C177,'Dummy Table'!$B$3:$C$30,2,FALSE),"")</f>
        <v>França</v>
      </c>
      <c r="E177" s="87" t="str">
        <f>IF(C177&lt;&gt;"",VLOOKUP(C177,'Dummy Table'!$B$3:$D$30,3,FALSE),"")</f>
        <v>Alpine</v>
      </c>
      <c r="F177" s="137">
        <v>1</v>
      </c>
      <c r="K177" s="74"/>
    </row>
    <row r="178" spans="1:26" s="80" customFormat="1" x14ac:dyDescent="0.2">
      <c r="A178" s="91"/>
      <c r="B178" s="138">
        <f>$J$10</f>
        <v>9</v>
      </c>
      <c r="C178" s="86" t="s">
        <v>406</v>
      </c>
      <c r="D178" s="87" t="str">
        <f>IF(C178&lt;&gt;"",VLOOKUP(C178,'Dummy Table'!$B$3:$C$30,2,FALSE),"")</f>
        <v>França</v>
      </c>
      <c r="E178" s="87" t="str">
        <f>IF(C178&lt;&gt;"",VLOOKUP(C178,'Dummy Table'!$B$3:$D$30,3,FALSE),"")</f>
        <v>Red Bull</v>
      </c>
      <c r="F178" s="137"/>
      <c r="G178" s="69"/>
      <c r="H178" s="69"/>
      <c r="I178" s="69"/>
      <c r="J178" s="76"/>
      <c r="K178" s="74"/>
      <c r="L178" s="79"/>
      <c r="M178" s="72"/>
      <c r="N178" s="72"/>
      <c r="O178" s="72"/>
      <c r="P178" s="71"/>
      <c r="Q178" s="71"/>
      <c r="R178" s="71"/>
      <c r="S178" s="79"/>
      <c r="T178" s="79"/>
      <c r="U178" s="79"/>
      <c r="V178" s="79"/>
      <c r="W178" s="79"/>
      <c r="X178" s="79"/>
      <c r="Y178" s="79"/>
      <c r="Z178" s="79"/>
    </row>
    <row r="179" spans="1:26" x14ac:dyDescent="0.2">
      <c r="B179" s="138">
        <f>$J$11</f>
        <v>10</v>
      </c>
      <c r="C179" s="86" t="s">
        <v>412</v>
      </c>
      <c r="D179" s="87" t="str">
        <f>IF(C179&lt;&gt;"",VLOOKUP(C179,'Dummy Table'!$B$3:$C$30,2,FALSE),"")</f>
        <v>Argentina</v>
      </c>
      <c r="E179" s="87" t="str">
        <f>IF(C179&lt;&gt;"",VLOOKUP(C179,'Dummy Table'!$B$3:$D$30,3,FALSE),"")</f>
        <v>Alpine</v>
      </c>
      <c r="F179" s="137"/>
      <c r="K179" s="74"/>
    </row>
    <row r="180" spans="1:26" x14ac:dyDescent="0.2">
      <c r="B180" s="138">
        <f>$J$12</f>
        <v>11</v>
      </c>
      <c r="C180" s="86" t="s">
        <v>313</v>
      </c>
      <c r="D180" s="87" t="str">
        <f>IF(C180&lt;&gt;"",VLOOKUP(C180,'Dummy Table'!$B$3:$C$30,2,FALSE),"")</f>
        <v>França</v>
      </c>
      <c r="E180" s="87" t="str">
        <f>IF(C180&lt;&gt;"",VLOOKUP(C180,'Dummy Table'!$B$3:$D$30,3,FALSE),"")</f>
        <v>Haas</v>
      </c>
      <c r="F180" s="139"/>
      <c r="K180" s="74"/>
    </row>
    <row r="181" spans="1:26" x14ac:dyDescent="0.2">
      <c r="B181" s="138">
        <f>$J$13</f>
        <v>12</v>
      </c>
      <c r="C181" s="86" t="s">
        <v>325</v>
      </c>
      <c r="D181" s="87" t="str">
        <f>IF(C181&lt;&gt;"",VLOOKUP(C181,'Dummy Table'!$B$3:$C$30,2,FALSE),"")</f>
        <v>Inglaterra</v>
      </c>
      <c r="E181" s="87" t="str">
        <f>IF(C181&lt;&gt;"",VLOOKUP(C181,'Dummy Table'!$B$3:$D$30,3,FALSE),"")</f>
        <v>Haas</v>
      </c>
      <c r="F181" s="139"/>
      <c r="K181" s="74"/>
    </row>
    <row r="182" spans="1:26" x14ac:dyDescent="0.2">
      <c r="B182" s="138">
        <f>$J$14</f>
        <v>13</v>
      </c>
      <c r="C182" s="86" t="s">
        <v>328</v>
      </c>
      <c r="D182" s="87" t="str">
        <f>IF(C182&lt;&gt;"",VLOOKUP(C182,'Dummy Table'!$B$3:$C$30,2,FALSE),"")</f>
        <v>Espanha</v>
      </c>
      <c r="E182" s="87" t="str">
        <f>IF(C182&lt;&gt;"",VLOOKUP(C182,'Dummy Table'!$B$3:$D$30,3,FALSE),"")</f>
        <v>Williams</v>
      </c>
      <c r="F182" s="139"/>
      <c r="G182" s="75"/>
      <c r="H182" s="75"/>
      <c r="I182" s="75"/>
      <c r="K182" s="74"/>
    </row>
    <row r="183" spans="1:26" x14ac:dyDescent="0.2">
      <c r="B183" s="138">
        <f>$J$15</f>
        <v>14</v>
      </c>
      <c r="C183" s="86" t="s">
        <v>408</v>
      </c>
      <c r="D183" s="87" t="str">
        <f>IF(C183&lt;&gt;"",VLOOKUP(C183,'Dummy Table'!$B$3:$C$30,2,FALSE),"")</f>
        <v>Austrália</v>
      </c>
      <c r="E183" s="87" t="str">
        <f>IF(C183&lt;&gt;"",VLOOKUP(C183,'Dummy Table'!$B$3:$D$30,3,FALSE),"")</f>
        <v>Racing Bulls</v>
      </c>
      <c r="F183" s="139"/>
      <c r="G183" s="75"/>
      <c r="H183" s="75"/>
      <c r="I183" s="75"/>
      <c r="K183" s="74"/>
      <c r="M183" s="82"/>
      <c r="N183" s="82"/>
      <c r="O183" s="82"/>
      <c r="P183" s="79"/>
      <c r="Q183" s="79"/>
      <c r="R183" s="79"/>
    </row>
    <row r="184" spans="1:26" x14ac:dyDescent="0.2">
      <c r="B184" s="138">
        <f>$J$16</f>
        <v>15</v>
      </c>
      <c r="C184" s="86" t="s">
        <v>30</v>
      </c>
      <c r="D184" s="87" t="str">
        <f>IF(C184&lt;&gt;"",VLOOKUP(C184,'Dummy Table'!$B$3:$C$30,2,FALSE),"")</f>
        <v>Espanha</v>
      </c>
      <c r="E184" s="87" t="str">
        <f>IF(C184&lt;&gt;"",VLOOKUP(C184,'Dummy Table'!$B$3:$D$30,3,FALSE),"")</f>
        <v>Aston Martin</v>
      </c>
      <c r="F184" s="139"/>
      <c r="G184" s="75"/>
      <c r="H184" s="75"/>
      <c r="I184" s="75"/>
      <c r="K184" s="74"/>
    </row>
    <row r="185" spans="1:26" x14ac:dyDescent="0.2">
      <c r="B185" s="138">
        <f>$J$17</f>
        <v>16</v>
      </c>
      <c r="C185" s="86" t="s">
        <v>396</v>
      </c>
      <c r="D185" s="87" t="str">
        <f>IF(C185&lt;&gt;"",VLOOKUP(C185,'Dummy Table'!$B$3:$C$30,2,FALSE),"")</f>
        <v>México</v>
      </c>
      <c r="E185" s="87" t="str">
        <f>IF(C185&lt;&gt;"",VLOOKUP(C185,'Dummy Table'!$B$3:$D$30,3,FALSE),"")</f>
        <v>Cadillac</v>
      </c>
      <c r="F185" s="139"/>
      <c r="G185" s="75"/>
      <c r="H185" s="75"/>
      <c r="I185" s="75"/>
      <c r="K185" s="74"/>
    </row>
    <row r="186" spans="1:26" x14ac:dyDescent="0.2">
      <c r="B186" s="138">
        <f>$J$18</f>
        <v>17</v>
      </c>
      <c r="C186" s="86" t="s">
        <v>305</v>
      </c>
      <c r="D186" s="87" t="str">
        <f>IF(C186&lt;&gt;"",VLOOKUP(C186,'Dummy Table'!$B$3:$C$30,2,FALSE),"")</f>
        <v>Canadá</v>
      </c>
      <c r="E186" s="87" t="str">
        <f>IF(C186&lt;&gt;"",VLOOKUP(C186,'Dummy Table'!$B$3:$D$30,3,FALSE),"")</f>
        <v>Aston Martin</v>
      </c>
      <c r="F186" s="139"/>
      <c r="G186" s="75"/>
      <c r="H186" s="75"/>
      <c r="I186" s="75"/>
    </row>
    <row r="187" spans="1:26" x14ac:dyDescent="0.2">
      <c r="B187" s="138">
        <f>$J$19</f>
        <v>18</v>
      </c>
      <c r="C187" s="86" t="s">
        <v>309</v>
      </c>
      <c r="D187" s="87" t="str">
        <f>IF(C187&lt;&gt;"",VLOOKUP(C187,'Dummy Table'!$B$3:$C$30,2,FALSE),"")</f>
        <v>Tailandia</v>
      </c>
      <c r="E187" s="87" t="str">
        <f>IF(C187&lt;&gt;"",VLOOKUP(C187,'Dummy Table'!$B$3:$D$30,3,FALSE),"")</f>
        <v>Williams</v>
      </c>
      <c r="F187" s="139"/>
      <c r="G187" s="75"/>
      <c r="H187" s="75"/>
      <c r="I187" s="75"/>
      <c r="K187" s="79"/>
    </row>
    <row r="188" spans="1:26" x14ac:dyDescent="0.2">
      <c r="B188" s="138">
        <f>$J$20</f>
        <v>19</v>
      </c>
      <c r="C188" s="86" t="s">
        <v>397</v>
      </c>
      <c r="D188" s="87" t="str">
        <f>IF(C188&lt;&gt;"",VLOOKUP(C188,'Dummy Table'!$B$3:$C$30,2,FALSE),"")</f>
        <v>Finlândia</v>
      </c>
      <c r="E188" s="87" t="str">
        <f>IF(C188&lt;&gt;"",VLOOKUP(C188,'Dummy Table'!$B$3:$D$30,3,FALSE),"")</f>
        <v>Cadillac</v>
      </c>
      <c r="F188" s="139"/>
      <c r="G188" s="75"/>
      <c r="H188" s="75"/>
      <c r="I188" s="75"/>
    </row>
    <row r="189" spans="1:26" x14ac:dyDescent="0.2">
      <c r="B189" s="138">
        <f>$J$21</f>
        <v>20</v>
      </c>
      <c r="C189" s="86" t="s">
        <v>252</v>
      </c>
      <c r="D189" s="87" t="str">
        <f>IF(C189&lt;&gt;"",VLOOKUP(C189,'Dummy Table'!$B$3:$C$30,2,FALSE),"")</f>
        <v>Alemanha</v>
      </c>
      <c r="E189" s="87" t="str">
        <f>IF(C189&lt;&gt;"",VLOOKUP(C189,'Dummy Table'!$B$3:$D$30,3,FALSE),"")</f>
        <v>Audi</v>
      </c>
      <c r="F189" s="139" t="s">
        <v>428</v>
      </c>
      <c r="G189" s="75"/>
      <c r="H189" s="75"/>
      <c r="I189" s="75"/>
      <c r="K189" s="74"/>
    </row>
    <row r="190" spans="1:26" x14ac:dyDescent="0.2">
      <c r="B190" s="138">
        <f>$J$22</f>
        <v>21</v>
      </c>
      <c r="C190" s="86" t="s">
        <v>407</v>
      </c>
      <c r="D190" s="87" t="str">
        <f>IF(C190&lt;&gt;"",VLOOKUP(C190,'Dummy Table'!$B$3:$C$30,2,FALSE),"")</f>
        <v>Inglaterra</v>
      </c>
      <c r="E190" s="87" t="str">
        <f>IF(C190&lt;&gt;"",VLOOKUP(C190,'Dummy Table'!$B$3:$D$30,3,FALSE),"")</f>
        <v>Racing Bulls</v>
      </c>
      <c r="F190" s="139" t="s">
        <v>428</v>
      </c>
      <c r="G190" s="75"/>
      <c r="H190" s="75"/>
      <c r="I190" s="75"/>
      <c r="K190" s="74"/>
    </row>
    <row r="191" spans="1:26" x14ac:dyDescent="0.2">
      <c r="B191" s="138">
        <f>$J$23</f>
        <v>22</v>
      </c>
      <c r="C191" s="86" t="s">
        <v>329</v>
      </c>
      <c r="D191" s="87" t="str">
        <f>IF(C191&lt;&gt;"",VLOOKUP(C191,'Dummy Table'!$B$3:$C$30,2,FALSE),"")</f>
        <v>Brasil</v>
      </c>
      <c r="E191" s="87" t="str">
        <f>IF(C191&lt;&gt;"",VLOOKUP(C191,'Dummy Table'!$B$3:$D$30,3,FALSE),"")</f>
        <v>Audi</v>
      </c>
      <c r="F191" s="139" t="s">
        <v>430</v>
      </c>
      <c r="G191" s="75"/>
      <c r="H191" s="75"/>
      <c r="I191" s="75"/>
      <c r="K191" s="74"/>
    </row>
    <row r="192" spans="1:26" x14ac:dyDescent="0.2">
      <c r="B192" s="147"/>
      <c r="C192" s="93" t="s">
        <v>355</v>
      </c>
      <c r="D192" s="94"/>
      <c r="E192" s="94"/>
      <c r="F192" s="148"/>
      <c r="G192" s="75"/>
      <c r="H192" s="75"/>
      <c r="I192" s="75"/>
      <c r="K192" s="81"/>
      <c r="M192" s="77"/>
      <c r="N192" s="77"/>
      <c r="O192" s="77"/>
      <c r="P192" s="77"/>
      <c r="Q192" s="77"/>
      <c r="R192" s="77"/>
      <c r="S192" s="77"/>
      <c r="T192" s="77"/>
      <c r="V192" s="71"/>
      <c r="W192" s="71"/>
      <c r="X192" s="71"/>
    </row>
    <row r="193" spans="1:26" x14ac:dyDescent="0.2">
      <c r="B193" s="134" t="s">
        <v>14</v>
      </c>
      <c r="C193" s="90" t="s">
        <v>29</v>
      </c>
      <c r="D193" s="90" t="s">
        <v>16</v>
      </c>
      <c r="E193" s="90" t="s">
        <v>17</v>
      </c>
      <c r="F193" s="135" t="s">
        <v>18</v>
      </c>
      <c r="K193" s="74"/>
      <c r="M193" s="82"/>
      <c r="N193" s="82"/>
      <c r="O193" s="82"/>
      <c r="P193" s="79"/>
      <c r="Q193" s="79"/>
      <c r="R193" s="79"/>
    </row>
    <row r="194" spans="1:26" x14ac:dyDescent="0.2">
      <c r="B194" s="136">
        <f>$J$2</f>
        <v>1</v>
      </c>
      <c r="C194" s="86" t="s">
        <v>324</v>
      </c>
      <c r="D194" s="87" t="str">
        <f>IF(C194&lt;&gt;"",VLOOKUP(C194,'Dummy Table'!$B$3:$C$30,2,FALSE),"")</f>
        <v>Itália</v>
      </c>
      <c r="E194" s="87" t="str">
        <f>IF(C194&lt;&gt;"",VLOOKUP(C194,'Dummy Table'!$B$3:$D$30,3,FALSE),"")</f>
        <v>Mercedes</v>
      </c>
      <c r="F194" s="137">
        <v>25</v>
      </c>
      <c r="G194" s="69">
        <f>IF(C194="",F194,0)</f>
        <v>0</v>
      </c>
      <c r="H194" s="69">
        <f>IF(C194="",F194,0)</f>
        <v>0</v>
      </c>
      <c r="I194" s="69">
        <f>IF(C194="",1,0)</f>
        <v>0</v>
      </c>
      <c r="K194" s="74"/>
    </row>
    <row r="195" spans="1:26" x14ac:dyDescent="0.2">
      <c r="B195" s="138">
        <f>$J$3</f>
        <v>2</v>
      </c>
      <c r="C195" s="86" t="s">
        <v>310</v>
      </c>
      <c r="D195" s="87" t="str">
        <f>IF(C195&lt;&gt;"",VLOOKUP(C195,'Dummy Table'!$B$3:$C$30,2,FALSE),"")</f>
        <v>Inglaterra</v>
      </c>
      <c r="E195" s="87" t="str">
        <f>IF(C195&lt;&gt;"",VLOOKUP(C195,'Dummy Table'!$B$3:$D$30,3,FALSE),"")</f>
        <v>McLaren</v>
      </c>
      <c r="F195" s="137">
        <v>18</v>
      </c>
      <c r="H195" s="69">
        <f>IF(C195="",F195,0)</f>
        <v>0</v>
      </c>
      <c r="K195" s="74"/>
    </row>
    <row r="196" spans="1:26" x14ac:dyDescent="0.2">
      <c r="B196" s="138">
        <f>$J$4</f>
        <v>3</v>
      </c>
      <c r="C196" s="86" t="s">
        <v>323</v>
      </c>
      <c r="D196" s="87" t="str">
        <f>IF(C196&lt;&gt;"",VLOOKUP(C196,'Dummy Table'!$B$3:$C$30,2,FALSE),"")</f>
        <v>Austrália</v>
      </c>
      <c r="E196" s="87" t="str">
        <f>IF(C196&lt;&gt;"",VLOOKUP(C196,'Dummy Table'!$B$3:$D$30,3,FALSE),"")</f>
        <v>McLaren</v>
      </c>
      <c r="F196" s="137">
        <v>15</v>
      </c>
    </row>
    <row r="197" spans="1:26" x14ac:dyDescent="0.2">
      <c r="B197" s="138">
        <f>$J$5</f>
        <v>4</v>
      </c>
      <c r="C197" s="86" t="s">
        <v>353</v>
      </c>
      <c r="D197" s="87" t="str">
        <f>IF(C197&lt;&gt;"",VLOOKUP(C197,'Dummy Table'!$B$3:$C$30,2,FALSE),"")</f>
        <v>Inglaterra</v>
      </c>
      <c r="E197" s="87" t="str">
        <f>IF(C197&lt;&gt;"",VLOOKUP(C197,'Dummy Table'!$B$3:$D$30,3,FALSE),"")</f>
        <v>Mercedes</v>
      </c>
      <c r="F197" s="137">
        <v>12</v>
      </c>
      <c r="K197" s="79"/>
    </row>
    <row r="198" spans="1:26" x14ac:dyDescent="0.2">
      <c r="B198" s="138">
        <f>$J$6</f>
        <v>5</v>
      </c>
      <c r="C198" s="86" t="s">
        <v>299</v>
      </c>
      <c r="D198" s="87" t="str">
        <f>IF(C198&lt;&gt;"",VLOOKUP(C198,'Dummy Table'!$B$3:$C$30,2,FALSE),"")</f>
        <v>Holanda</v>
      </c>
      <c r="E198" s="87" t="str">
        <f>IF(C198&lt;&gt;"",VLOOKUP(C198,'Dummy Table'!$B$3:$D$30,3,FALSE),"")</f>
        <v>Red Bull</v>
      </c>
      <c r="F198" s="137">
        <v>10</v>
      </c>
    </row>
    <row r="199" spans="1:26" x14ac:dyDescent="0.2">
      <c r="B199" s="138">
        <f>$J$7</f>
        <v>6</v>
      </c>
      <c r="C199" s="86" t="s">
        <v>1</v>
      </c>
      <c r="D199" s="87" t="str">
        <f>IF(C199&lt;&gt;"",VLOOKUP(C199,'Dummy Table'!$B$3:$C$30,2,FALSE),"")</f>
        <v>Inglaterra</v>
      </c>
      <c r="E199" s="87" t="str">
        <f>IF(C199&lt;&gt;"",VLOOKUP(C199,'Dummy Table'!$B$3:$D$30,3,FALSE),"")</f>
        <v>Ferrari</v>
      </c>
      <c r="F199" s="137">
        <v>8</v>
      </c>
      <c r="K199" s="74"/>
    </row>
    <row r="200" spans="1:26" x14ac:dyDescent="0.2">
      <c r="B200" s="138">
        <f>$J$8</f>
        <v>7</v>
      </c>
      <c r="C200" s="86" t="s">
        <v>412</v>
      </c>
      <c r="D200" s="87" t="str">
        <f>IF(C200&lt;&gt;"",VLOOKUP(C200,'Dummy Table'!$B$3:$C$30,2,FALSE),"")</f>
        <v>Argentina</v>
      </c>
      <c r="E200" s="87" t="str">
        <f>IF(C200&lt;&gt;"",VLOOKUP(C200,'Dummy Table'!$B$3:$D$30,3,FALSE),"")</f>
        <v>Alpine</v>
      </c>
      <c r="F200" s="137">
        <v>6</v>
      </c>
      <c r="K200" s="74"/>
    </row>
    <row r="201" spans="1:26" x14ac:dyDescent="0.2">
      <c r="B201" s="138">
        <f>$J$9</f>
        <v>8</v>
      </c>
      <c r="C201" s="86" t="s">
        <v>307</v>
      </c>
      <c r="D201" s="87" t="str">
        <f>IF(C201&lt;&gt;"",VLOOKUP(C201,'Dummy Table'!$B$3:$C$30,2,FALSE),"")</f>
        <v>Mônaco</v>
      </c>
      <c r="E201" s="87" t="str">
        <f>IF(C201&lt;&gt;"",VLOOKUP(C201,'Dummy Table'!$B$3:$D$30,3,FALSE),"")</f>
        <v>Ferrari</v>
      </c>
      <c r="F201" s="137">
        <v>4</v>
      </c>
      <c r="K201" s="74"/>
    </row>
    <row r="202" spans="1:26" s="80" customFormat="1" x14ac:dyDescent="0.2">
      <c r="A202" s="91"/>
      <c r="B202" s="138">
        <f>$J$10</f>
        <v>9</v>
      </c>
      <c r="C202" s="86" t="s">
        <v>328</v>
      </c>
      <c r="D202" s="87" t="str">
        <f>IF(C202&lt;&gt;"",VLOOKUP(C202,'Dummy Table'!$B$3:$C$30,2,FALSE),"")</f>
        <v>Espanha</v>
      </c>
      <c r="E202" s="87" t="str">
        <f>IF(C202&lt;&gt;"",VLOOKUP(C202,'Dummy Table'!$B$3:$D$30,3,FALSE),"")</f>
        <v>Williams</v>
      </c>
      <c r="F202" s="137">
        <v>2</v>
      </c>
      <c r="G202" s="69"/>
      <c r="H202" s="69"/>
      <c r="I202" s="69"/>
      <c r="J202" s="76"/>
      <c r="K202" s="74"/>
      <c r="L202" s="79"/>
      <c r="M202" s="72"/>
      <c r="N202" s="72"/>
      <c r="O202" s="72"/>
      <c r="P202" s="71"/>
      <c r="Q202" s="71"/>
      <c r="R202" s="71"/>
      <c r="S202" s="79"/>
      <c r="T202" s="79"/>
      <c r="U202" s="79"/>
      <c r="V202" s="79"/>
      <c r="W202" s="79"/>
      <c r="X202" s="79"/>
      <c r="Y202" s="79"/>
      <c r="Z202" s="79"/>
    </row>
    <row r="203" spans="1:26" x14ac:dyDescent="0.2">
      <c r="B203" s="138">
        <f>$J$11</f>
        <v>10</v>
      </c>
      <c r="C203" s="86" t="s">
        <v>309</v>
      </c>
      <c r="D203" s="87" t="str">
        <f>IF(C203&lt;&gt;"",VLOOKUP(C203,'Dummy Table'!$B$3:$C$30,2,FALSE),"")</f>
        <v>Tailandia</v>
      </c>
      <c r="E203" s="87" t="str">
        <f>IF(C203&lt;&gt;"",VLOOKUP(C203,'Dummy Table'!$B$3:$D$30,3,FALSE),"")</f>
        <v>Williams</v>
      </c>
      <c r="F203" s="137">
        <v>1</v>
      </c>
      <c r="K203" s="74"/>
    </row>
    <row r="204" spans="1:26" x14ac:dyDescent="0.2">
      <c r="B204" s="138">
        <f>$J$12</f>
        <v>11</v>
      </c>
      <c r="C204" s="86" t="s">
        <v>325</v>
      </c>
      <c r="D204" s="87" t="str">
        <f>IF(C204&lt;&gt;"",VLOOKUP(C204,'Dummy Table'!$B$3:$C$30,2,FALSE),"")</f>
        <v>Inglaterra</v>
      </c>
      <c r="E204" s="87" t="str">
        <f>IF(C204&lt;&gt;"",VLOOKUP(C204,'Dummy Table'!$B$3:$D$30,3,FALSE),"")</f>
        <v>Haas</v>
      </c>
      <c r="F204" s="139"/>
      <c r="K204" s="74"/>
    </row>
    <row r="205" spans="1:26" x14ac:dyDescent="0.2">
      <c r="B205" s="138">
        <f>$J$13</f>
        <v>12</v>
      </c>
      <c r="C205" s="86" t="s">
        <v>329</v>
      </c>
      <c r="D205" s="87" t="str">
        <f>IF(C205&lt;&gt;"",VLOOKUP(C205,'Dummy Table'!$B$3:$C$30,2,FALSE),"")</f>
        <v>Brasil</v>
      </c>
      <c r="E205" s="87" t="str">
        <f>IF(C205&lt;&gt;"",VLOOKUP(C205,'Dummy Table'!$B$3:$D$30,3,FALSE),"")</f>
        <v>Audi</v>
      </c>
      <c r="F205" s="139"/>
      <c r="K205" s="74"/>
    </row>
    <row r="206" spans="1:26" x14ac:dyDescent="0.2">
      <c r="B206" s="138">
        <f>$J$14</f>
        <v>13</v>
      </c>
      <c r="C206" s="86" t="s">
        <v>313</v>
      </c>
      <c r="D206" s="87" t="str">
        <f>IF(C206&lt;&gt;"",VLOOKUP(C206,'Dummy Table'!$B$3:$C$30,2,FALSE),"")</f>
        <v>França</v>
      </c>
      <c r="E206" s="87" t="str">
        <f>IF(C206&lt;&gt;"",VLOOKUP(C206,'Dummy Table'!$B$3:$D$30,3,FALSE),"")</f>
        <v>Haas</v>
      </c>
      <c r="F206" s="139"/>
      <c r="G206" s="75"/>
      <c r="H206" s="75"/>
      <c r="I206" s="75"/>
      <c r="K206" s="74"/>
    </row>
    <row r="207" spans="1:26" x14ac:dyDescent="0.2">
      <c r="B207" s="138">
        <f>$J$15</f>
        <v>14</v>
      </c>
      <c r="C207" s="86" t="s">
        <v>407</v>
      </c>
      <c r="D207" s="87" t="str">
        <f>IF(C207&lt;&gt;"",VLOOKUP(C207,'Dummy Table'!$B$3:$C$30,2,FALSE),"")</f>
        <v>Inglaterra</v>
      </c>
      <c r="E207" s="87" t="str">
        <f>IF(C207&lt;&gt;"",VLOOKUP(C207,'Dummy Table'!$B$3:$D$30,3,FALSE),"")</f>
        <v>Racing Bulls</v>
      </c>
      <c r="F207" s="139"/>
      <c r="G207" s="75"/>
      <c r="H207" s="75"/>
      <c r="I207" s="75"/>
      <c r="K207" s="74"/>
      <c r="M207" s="82"/>
      <c r="N207" s="82"/>
      <c r="O207" s="82"/>
      <c r="P207" s="79"/>
      <c r="Q207" s="79"/>
      <c r="R207" s="79"/>
    </row>
    <row r="208" spans="1:26" x14ac:dyDescent="0.2">
      <c r="B208" s="138">
        <f>$J$16</f>
        <v>15</v>
      </c>
      <c r="C208" s="86" t="s">
        <v>30</v>
      </c>
      <c r="D208" s="87" t="str">
        <f>IF(C208&lt;&gt;"",VLOOKUP(C208,'Dummy Table'!$B$3:$C$30,2,FALSE),"")</f>
        <v>Espanha</v>
      </c>
      <c r="E208" s="87" t="str">
        <f>IF(C208&lt;&gt;"",VLOOKUP(C208,'Dummy Table'!$B$3:$D$30,3,FALSE),"")</f>
        <v>Aston Martin</v>
      </c>
      <c r="F208" s="139"/>
      <c r="G208" s="75"/>
      <c r="H208" s="75"/>
      <c r="I208" s="75"/>
      <c r="K208" s="74"/>
    </row>
    <row r="209" spans="1:26" x14ac:dyDescent="0.2">
      <c r="B209" s="138">
        <f>$J$17</f>
        <v>16</v>
      </c>
      <c r="C209" s="86" t="s">
        <v>396</v>
      </c>
      <c r="D209" s="87" t="str">
        <f>IF(C209&lt;&gt;"",VLOOKUP(C209,'Dummy Table'!$B$3:$C$30,2,FALSE),"")</f>
        <v>México</v>
      </c>
      <c r="E209" s="87" t="str">
        <f>IF(C209&lt;&gt;"",VLOOKUP(C209,'Dummy Table'!$B$3:$D$30,3,FALSE),"")</f>
        <v>Cadillac</v>
      </c>
      <c r="F209" s="139"/>
      <c r="G209" s="75"/>
      <c r="H209" s="75"/>
      <c r="I209" s="75"/>
      <c r="K209" s="74"/>
    </row>
    <row r="210" spans="1:26" x14ac:dyDescent="0.2">
      <c r="B210" s="138">
        <f>$J$18</f>
        <v>17</v>
      </c>
      <c r="C210" s="86" t="s">
        <v>305</v>
      </c>
      <c r="D210" s="87" t="str">
        <f>IF(C210&lt;&gt;"",VLOOKUP(C210,'Dummy Table'!$B$3:$C$30,2,FALSE),"")</f>
        <v>Canadá</v>
      </c>
      <c r="E210" s="87" t="str">
        <f>IF(C210&lt;&gt;"",VLOOKUP(C210,'Dummy Table'!$B$3:$D$30,3,FALSE),"")</f>
        <v>Aston Martin</v>
      </c>
      <c r="F210" s="139"/>
      <c r="G210" s="75"/>
      <c r="H210" s="75"/>
      <c r="I210" s="75"/>
    </row>
    <row r="211" spans="1:26" x14ac:dyDescent="0.2">
      <c r="B211" s="138">
        <f>$J$19</f>
        <v>18</v>
      </c>
      <c r="C211" s="86" t="s">
        <v>397</v>
      </c>
      <c r="D211" s="87" t="str">
        <f>IF(C211&lt;&gt;"",VLOOKUP(C211,'Dummy Table'!$B$3:$C$30,2,FALSE),"")</f>
        <v>Finlândia</v>
      </c>
      <c r="E211" s="87" t="str">
        <f>IF(C211&lt;&gt;"",VLOOKUP(C211,'Dummy Table'!$B$3:$D$30,3,FALSE),"")</f>
        <v>Cadillac</v>
      </c>
      <c r="F211" s="139"/>
      <c r="G211" s="75"/>
      <c r="H211" s="75"/>
      <c r="I211" s="75"/>
      <c r="K211" s="79"/>
    </row>
    <row r="212" spans="1:26" x14ac:dyDescent="0.2">
      <c r="B212" s="138">
        <f>$J$20</f>
        <v>19</v>
      </c>
      <c r="C212" s="86" t="s">
        <v>252</v>
      </c>
      <c r="D212" s="87" t="str">
        <f>IF(C212&lt;&gt;"",VLOOKUP(C212,'Dummy Table'!$B$3:$C$30,2,FALSE),"")</f>
        <v>Alemanha</v>
      </c>
      <c r="E212" s="87" t="str">
        <f>IF(C212&lt;&gt;"",VLOOKUP(C212,'Dummy Table'!$B$3:$D$30,3,FALSE),"")</f>
        <v>Audi</v>
      </c>
      <c r="F212" s="139" t="s">
        <v>427</v>
      </c>
      <c r="G212" s="75"/>
      <c r="H212" s="75"/>
      <c r="I212" s="75"/>
    </row>
    <row r="213" spans="1:26" x14ac:dyDescent="0.2">
      <c r="B213" s="138">
        <f>$J$21</f>
        <v>20</v>
      </c>
      <c r="C213" s="86" t="s">
        <v>408</v>
      </c>
      <c r="D213" s="87" t="str">
        <f>IF(C213&lt;&gt;"",VLOOKUP(C213,'Dummy Table'!$B$3:$C$30,2,FALSE),"")</f>
        <v>Austrália</v>
      </c>
      <c r="E213" s="87" t="str">
        <f>IF(C213&lt;&gt;"",VLOOKUP(C213,'Dummy Table'!$B$3:$D$30,3,FALSE),"")</f>
        <v>Racing Bulls</v>
      </c>
      <c r="F213" s="139" t="s">
        <v>427</v>
      </c>
      <c r="G213" s="75"/>
      <c r="H213" s="75"/>
      <c r="I213" s="75"/>
      <c r="K213" s="74"/>
    </row>
    <row r="214" spans="1:26" ht="12.75" customHeight="1" x14ac:dyDescent="0.2">
      <c r="B214" s="138">
        <f>$J$22</f>
        <v>21</v>
      </c>
      <c r="C214" s="86" t="s">
        <v>306</v>
      </c>
      <c r="D214" s="87" t="str">
        <f>IF(C214&lt;&gt;"",VLOOKUP(C214,'Dummy Table'!$B$3:$C$30,2,FALSE),"")</f>
        <v>França</v>
      </c>
      <c r="E214" s="87" t="str">
        <f>IF(C214&lt;&gt;"",VLOOKUP(C214,'Dummy Table'!$B$3:$D$30,3,FALSE),"")</f>
        <v>Alpine</v>
      </c>
      <c r="F214" s="139" t="s">
        <v>427</v>
      </c>
      <c r="G214" s="75"/>
      <c r="H214" s="75"/>
      <c r="I214" s="75"/>
      <c r="K214" s="74"/>
    </row>
    <row r="215" spans="1:26" ht="12.75" customHeight="1" x14ac:dyDescent="0.2">
      <c r="B215" s="138">
        <f>$J$23</f>
        <v>22</v>
      </c>
      <c r="C215" s="86" t="s">
        <v>406</v>
      </c>
      <c r="D215" s="87" t="str">
        <f>IF(C215&lt;&gt;"",VLOOKUP(C215,'Dummy Table'!$B$3:$C$30,2,FALSE),"")</f>
        <v>França</v>
      </c>
      <c r="E215" s="87" t="str">
        <f>IF(C215&lt;&gt;"",VLOOKUP(C215,'Dummy Table'!$B$3:$D$30,3,FALSE),"")</f>
        <v>Red Bull</v>
      </c>
      <c r="F215" s="139" t="s">
        <v>427</v>
      </c>
      <c r="G215" s="75"/>
      <c r="H215" s="75"/>
      <c r="I215" s="75"/>
      <c r="K215" s="74"/>
    </row>
    <row r="216" spans="1:26" s="80" customFormat="1" ht="12.75" hidden="1" customHeight="1" x14ac:dyDescent="0.2">
      <c r="A216" s="91"/>
      <c r="B216" s="149">
        <f>IF(F216="",$J$24,"Ret")</f>
        <v>23</v>
      </c>
      <c r="C216" s="78"/>
      <c r="D216" s="68" t="str">
        <f>IF(C216&lt;&gt;"",VLOOKUP(C216,'Dummy Table'!$B$3:$C$30,2,FALSE),"")</f>
        <v/>
      </c>
      <c r="E216" s="68" t="str">
        <f>IF(C216&lt;&gt;"",VLOOKUP(C216,'Dummy Table'!$B$3:$D$30,3,FALSE),"")</f>
        <v/>
      </c>
      <c r="F216" s="140"/>
      <c r="G216" s="75"/>
      <c r="H216" s="75"/>
      <c r="I216" s="75"/>
      <c r="J216" s="76"/>
      <c r="K216" s="74"/>
      <c r="L216" s="79"/>
      <c r="M216" s="72"/>
      <c r="N216" s="72"/>
      <c r="O216" s="72"/>
      <c r="P216" s="71"/>
      <c r="Q216" s="71"/>
      <c r="R216" s="71"/>
      <c r="S216" s="79"/>
      <c r="T216" s="79"/>
      <c r="U216" s="79"/>
      <c r="V216" s="79"/>
      <c r="W216" s="79"/>
      <c r="X216" s="79"/>
      <c r="Y216" s="79"/>
      <c r="Z216" s="79"/>
    </row>
    <row r="217" spans="1:26" ht="12.75" hidden="1" customHeight="1" x14ac:dyDescent="0.2">
      <c r="B217" s="149" t="str">
        <f>IF(F217="",$J$25,"Ret")</f>
        <v/>
      </c>
      <c r="C217" s="78"/>
      <c r="D217" s="68" t="str">
        <f>IF(C217&lt;&gt;"",VLOOKUP(C217,'Dummy Table'!$B$3:$C$30,2,FALSE),"")</f>
        <v/>
      </c>
      <c r="E217" s="68" t="str">
        <f>IF(C217&lt;&gt;"",VLOOKUP(C217,'Dummy Table'!$B$3:$D$30,3,FALSE),"")</f>
        <v/>
      </c>
      <c r="F217" s="140"/>
      <c r="G217" s="75"/>
      <c r="H217" s="75"/>
      <c r="I217" s="75"/>
      <c r="K217" s="74"/>
    </row>
    <row r="218" spans="1:26" x14ac:dyDescent="0.2">
      <c r="B218" s="141" t="s">
        <v>243</v>
      </c>
      <c r="C218" s="88" t="s">
        <v>324</v>
      </c>
      <c r="D218" s="89" t="str">
        <f>IF(C218&lt;&gt;"",VLOOKUP(C218,'Dummy Table'!$B$3:$C$30,2,FALSE),"")</f>
        <v>Itália</v>
      </c>
      <c r="E218" s="89" t="str">
        <f>IF(C218&lt;&gt;"",VLOOKUP(C218,'Dummy Table'!$B$3:$D$30,3,FALSE),"")</f>
        <v>Mercedes</v>
      </c>
      <c r="F218" s="142"/>
      <c r="H218" s="75"/>
      <c r="K218" s="74"/>
    </row>
    <row r="219" spans="1:26" ht="13.5" thickBot="1" x14ac:dyDescent="0.25">
      <c r="B219" s="143" t="s">
        <v>234</v>
      </c>
      <c r="C219" s="144" t="s">
        <v>310</v>
      </c>
      <c r="D219" s="145" t="str">
        <f>IF(C219&lt;&gt;"",VLOOKUP(C219,'Dummy Table'!$B$3:$C$30,2,FALSE),"")</f>
        <v>Inglaterra</v>
      </c>
      <c r="E219" s="145" t="str">
        <f>IF(C219&lt;&gt;"",VLOOKUP(C219,'Dummy Table'!$B$3:$D$30,3,FALSE),"")</f>
        <v>McLaren</v>
      </c>
      <c r="F219" s="146"/>
      <c r="H219" s="69">
        <f>IF(C219="",F219,0)</f>
        <v>0</v>
      </c>
      <c r="K219" s="74"/>
    </row>
    <row r="220" spans="1:26" x14ac:dyDescent="0.2">
      <c r="A220" s="91">
        <v>7</v>
      </c>
      <c r="B220" s="132">
        <f>VLOOKUP($A220,'Calendário atual'!$A$2:$E$30,2,FALSE)</f>
        <v>46166</v>
      </c>
      <c r="C220" s="175" t="str">
        <f>VLOOKUP($A220,'Calendário atual'!$A$2:$E$30,4,FALSE)</f>
        <v>FORMULA 1 LENOVO GRAND PRIX DU CANADA 2026</v>
      </c>
      <c r="D220" s="175"/>
      <c r="E220" s="175"/>
      <c r="F220" s="133" t="str">
        <f>VLOOKUP($A220,'Calendário atual'!$A$2:$E$30,3,FALSE)</f>
        <v>Canadá</v>
      </c>
      <c r="G220" s="75"/>
      <c r="H220" s="75"/>
      <c r="I220" s="75"/>
      <c r="K220" s="74"/>
    </row>
    <row r="221" spans="1:26" x14ac:dyDescent="0.2">
      <c r="B221" s="147"/>
      <c r="C221" s="93" t="s">
        <v>354</v>
      </c>
      <c r="D221" s="94"/>
      <c r="E221" s="94"/>
      <c r="F221" s="148"/>
      <c r="G221" s="75"/>
      <c r="H221" s="75"/>
      <c r="I221" s="75"/>
      <c r="K221" s="81"/>
      <c r="M221" s="77"/>
      <c r="N221" s="77"/>
      <c r="O221" s="77"/>
      <c r="P221" s="77"/>
      <c r="Q221" s="77"/>
      <c r="R221" s="77"/>
      <c r="S221" s="77"/>
      <c r="T221" s="77"/>
      <c r="V221" s="71"/>
      <c r="W221" s="71"/>
      <c r="X221" s="71"/>
    </row>
    <row r="222" spans="1:26" x14ac:dyDescent="0.2">
      <c r="B222" s="134" t="s">
        <v>14</v>
      </c>
      <c r="C222" s="90" t="s">
        <v>29</v>
      </c>
      <c r="D222" s="90" t="s">
        <v>16</v>
      </c>
      <c r="E222" s="90" t="s">
        <v>17</v>
      </c>
      <c r="F222" s="135" t="s">
        <v>18</v>
      </c>
      <c r="M222" s="82"/>
      <c r="N222" s="82"/>
      <c r="O222" s="82"/>
      <c r="P222" s="79"/>
      <c r="Q222" s="79"/>
      <c r="R222" s="79"/>
      <c r="V222" s="71"/>
      <c r="W222" s="71"/>
      <c r="X222" s="71"/>
    </row>
    <row r="223" spans="1:26" x14ac:dyDescent="0.2">
      <c r="B223" s="136">
        <f>$J$2</f>
        <v>1</v>
      </c>
      <c r="C223" s="86" t="s">
        <v>353</v>
      </c>
      <c r="D223" s="87" t="str">
        <f>IF(C223&lt;&gt;"",VLOOKUP(C223,'Dummy Table'!$B$3:$C$30,2,FALSE),"")</f>
        <v>Inglaterra</v>
      </c>
      <c r="E223" s="87" t="str">
        <f>IF(C223&lt;&gt;"",VLOOKUP(C223,'Dummy Table'!$B$3:$D$30,3,FALSE),"")</f>
        <v>Mercedes</v>
      </c>
      <c r="F223" s="137">
        <v>8</v>
      </c>
      <c r="G223" s="69">
        <f>IF(C223="",F223,0)</f>
        <v>0</v>
      </c>
      <c r="H223" s="69">
        <f>IF(C223="",F223,0)</f>
        <v>0</v>
      </c>
      <c r="K223" s="74"/>
      <c r="V223" s="71"/>
      <c r="W223" s="71"/>
      <c r="X223" s="71"/>
    </row>
    <row r="224" spans="1:26" x14ac:dyDescent="0.2">
      <c r="B224" s="138">
        <f>$J$3</f>
        <v>2</v>
      </c>
      <c r="C224" s="86" t="s">
        <v>310</v>
      </c>
      <c r="D224" s="87" t="str">
        <f>IF(C224&lt;&gt;"",VLOOKUP(C224,'Dummy Table'!$B$3:$C$30,2,FALSE),"")</f>
        <v>Inglaterra</v>
      </c>
      <c r="E224" s="87" t="str">
        <f>IF(C224&lt;&gt;"",VLOOKUP(C224,'Dummy Table'!$B$3:$D$30,3,FALSE),"")</f>
        <v>McLaren</v>
      </c>
      <c r="F224" s="137">
        <v>7</v>
      </c>
      <c r="H224" s="69">
        <f>IF(C224="",F224,0)</f>
        <v>0</v>
      </c>
      <c r="K224" s="74"/>
    </row>
    <row r="225" spans="1:26" x14ac:dyDescent="0.2">
      <c r="B225" s="138">
        <f>$J$4</f>
        <v>3</v>
      </c>
      <c r="C225" s="86" t="s">
        <v>324</v>
      </c>
      <c r="D225" s="87" t="str">
        <f>IF(C225&lt;&gt;"",VLOOKUP(C225,'Dummy Table'!$B$3:$C$30,2,FALSE),"")</f>
        <v>Itália</v>
      </c>
      <c r="E225" s="87" t="str">
        <f>IF(C225&lt;&gt;"",VLOOKUP(C225,'Dummy Table'!$B$3:$D$30,3,FALSE),"")</f>
        <v>Mercedes</v>
      </c>
      <c r="F225" s="137">
        <v>6</v>
      </c>
    </row>
    <row r="226" spans="1:26" x14ac:dyDescent="0.2">
      <c r="B226" s="138">
        <f>$J$5</f>
        <v>4</v>
      </c>
      <c r="C226" s="86" t="s">
        <v>323</v>
      </c>
      <c r="D226" s="87" t="str">
        <f>IF(C226&lt;&gt;"",VLOOKUP(C226,'Dummy Table'!$B$3:$C$30,2,FALSE),"")</f>
        <v>Austrália</v>
      </c>
      <c r="E226" s="87" t="str">
        <f>IF(C226&lt;&gt;"",VLOOKUP(C226,'Dummy Table'!$B$3:$D$30,3,FALSE),"")</f>
        <v>McLaren</v>
      </c>
      <c r="F226" s="137">
        <v>5</v>
      </c>
      <c r="K226" s="79"/>
    </row>
    <row r="227" spans="1:26" x14ac:dyDescent="0.2">
      <c r="B227" s="138">
        <f>$J$6</f>
        <v>5</v>
      </c>
      <c r="C227" s="86" t="s">
        <v>307</v>
      </c>
      <c r="D227" s="87" t="str">
        <f>IF(C227&lt;&gt;"",VLOOKUP(C227,'Dummy Table'!$B$3:$C$30,2,FALSE),"")</f>
        <v>Mônaco</v>
      </c>
      <c r="E227" s="87" t="str">
        <f>IF(C227&lt;&gt;"",VLOOKUP(C227,'Dummy Table'!$B$3:$D$30,3,FALSE),"")</f>
        <v>Ferrari</v>
      </c>
      <c r="F227" s="137">
        <v>4</v>
      </c>
    </row>
    <row r="228" spans="1:26" x14ac:dyDescent="0.2">
      <c r="B228" s="138">
        <f>$J$7</f>
        <v>6</v>
      </c>
      <c r="C228" s="86" t="s">
        <v>1</v>
      </c>
      <c r="D228" s="87" t="str">
        <f>IF(C228&lt;&gt;"",VLOOKUP(C228,'Dummy Table'!$B$3:$C$30,2,FALSE),"")</f>
        <v>Inglaterra</v>
      </c>
      <c r="E228" s="87" t="str">
        <f>IF(C228&lt;&gt;"",VLOOKUP(C228,'Dummy Table'!$B$3:$D$30,3,FALSE),"")</f>
        <v>Ferrari</v>
      </c>
      <c r="F228" s="137">
        <v>3</v>
      </c>
      <c r="K228" s="74"/>
    </row>
    <row r="229" spans="1:26" x14ac:dyDescent="0.2">
      <c r="B229" s="138">
        <f>$J$8</f>
        <v>7</v>
      </c>
      <c r="C229" s="86" t="s">
        <v>299</v>
      </c>
      <c r="D229" s="87" t="str">
        <f>IF(C229&lt;&gt;"",VLOOKUP(C229,'Dummy Table'!$B$3:$C$30,2,FALSE),"")</f>
        <v>Holanda</v>
      </c>
      <c r="E229" s="87" t="str">
        <f>IF(C229&lt;&gt;"",VLOOKUP(C229,'Dummy Table'!$B$3:$D$30,3,FALSE),"")</f>
        <v>Red Bull</v>
      </c>
      <c r="F229" s="137">
        <v>2</v>
      </c>
      <c r="K229" s="74"/>
    </row>
    <row r="230" spans="1:26" x14ac:dyDescent="0.2">
      <c r="B230" s="138">
        <f>$J$9</f>
        <v>8</v>
      </c>
      <c r="C230" s="86" t="s">
        <v>407</v>
      </c>
      <c r="D230" s="87" t="str">
        <f>IF(C230&lt;&gt;"",VLOOKUP(C230,'Dummy Table'!$B$3:$C$30,2,FALSE),"")</f>
        <v>Inglaterra</v>
      </c>
      <c r="E230" s="87" t="str">
        <f>IF(C230&lt;&gt;"",VLOOKUP(C230,'Dummy Table'!$B$3:$D$30,3,FALSE),"")</f>
        <v>Racing Bulls</v>
      </c>
      <c r="F230" s="137">
        <v>1</v>
      </c>
      <c r="K230" s="74"/>
    </row>
    <row r="231" spans="1:26" s="80" customFormat="1" x14ac:dyDescent="0.2">
      <c r="A231" s="91"/>
      <c r="B231" s="138">
        <f>$J$10</f>
        <v>9</v>
      </c>
      <c r="C231" s="86" t="s">
        <v>412</v>
      </c>
      <c r="D231" s="87" t="str">
        <f>IF(C231&lt;&gt;"",VLOOKUP(C231,'Dummy Table'!$B$3:$C$30,2,FALSE),"")</f>
        <v>Argentina</v>
      </c>
      <c r="E231" s="87" t="str">
        <f>IF(C231&lt;&gt;"",VLOOKUP(C231,'Dummy Table'!$B$3:$D$30,3,FALSE),"")</f>
        <v>Alpine</v>
      </c>
      <c r="F231" s="137"/>
      <c r="G231" s="69"/>
      <c r="H231" s="69"/>
      <c r="I231" s="69"/>
      <c r="J231" s="76"/>
      <c r="K231" s="74"/>
      <c r="L231" s="79"/>
      <c r="M231" s="72"/>
      <c r="N231" s="72"/>
      <c r="O231" s="72"/>
      <c r="P231" s="71"/>
      <c r="Q231" s="71"/>
      <c r="R231" s="71"/>
      <c r="S231" s="79"/>
      <c r="T231" s="79"/>
      <c r="U231" s="79"/>
      <c r="V231" s="79"/>
      <c r="W231" s="79"/>
      <c r="X231" s="79"/>
      <c r="Y231" s="79"/>
      <c r="Z231" s="79"/>
    </row>
    <row r="232" spans="1:26" x14ac:dyDescent="0.2">
      <c r="B232" s="138">
        <f>$J$11</f>
        <v>10</v>
      </c>
      <c r="C232" s="86" t="s">
        <v>328</v>
      </c>
      <c r="D232" s="87" t="str">
        <f>IF(C232&lt;&gt;"",VLOOKUP(C232,'Dummy Table'!$B$3:$C$30,2,FALSE),"")</f>
        <v>Espanha</v>
      </c>
      <c r="E232" s="87" t="str">
        <f>IF(C232&lt;&gt;"",VLOOKUP(C232,'Dummy Table'!$B$3:$D$30,3,FALSE),"")</f>
        <v>Williams</v>
      </c>
      <c r="F232" s="137"/>
      <c r="K232" s="74"/>
    </row>
    <row r="233" spans="1:26" x14ac:dyDescent="0.2">
      <c r="B233" s="138">
        <f>$J$12</f>
        <v>11</v>
      </c>
      <c r="C233" s="86" t="s">
        <v>408</v>
      </c>
      <c r="D233" s="87" t="str">
        <f>IF(C233&lt;&gt;"",VLOOKUP(C233,'Dummy Table'!$B$3:$C$30,2,FALSE),"")</f>
        <v>Austrália</v>
      </c>
      <c r="E233" s="87" t="str">
        <f>IF(C233&lt;&gt;"",VLOOKUP(C233,'Dummy Table'!$B$3:$D$30,3,FALSE),"")</f>
        <v>Racing Bulls</v>
      </c>
      <c r="F233" s="139"/>
      <c r="K233" s="74"/>
    </row>
    <row r="234" spans="1:26" x14ac:dyDescent="0.2">
      <c r="B234" s="138">
        <f>$J$13</f>
        <v>12</v>
      </c>
      <c r="C234" s="86" t="s">
        <v>329</v>
      </c>
      <c r="D234" s="87" t="str">
        <f>IF(C234&lt;&gt;"",VLOOKUP(C234,'Dummy Table'!$B$3:$C$30,2,FALSE),"")</f>
        <v>Brasil</v>
      </c>
      <c r="E234" s="87" t="str">
        <f>IF(C234&lt;&gt;"",VLOOKUP(C234,'Dummy Table'!$B$3:$D$30,3,FALSE),"")</f>
        <v>Audi</v>
      </c>
      <c r="F234" s="139"/>
      <c r="K234" s="74"/>
    </row>
    <row r="235" spans="1:26" x14ac:dyDescent="0.2">
      <c r="B235" s="138">
        <f>$J$14</f>
        <v>13</v>
      </c>
      <c r="C235" s="86" t="s">
        <v>313</v>
      </c>
      <c r="D235" s="87" t="str">
        <f>IF(C235&lt;&gt;"",VLOOKUP(C235,'Dummy Table'!$B$3:$C$30,2,FALSE),"")</f>
        <v>França</v>
      </c>
      <c r="E235" s="87" t="str">
        <f>IF(C235&lt;&gt;"",VLOOKUP(C235,'Dummy Table'!$B$3:$D$30,3,FALSE),"")</f>
        <v>Haas</v>
      </c>
      <c r="F235" s="139"/>
      <c r="G235" s="75"/>
      <c r="H235" s="75"/>
      <c r="I235" s="75"/>
      <c r="K235" s="74"/>
    </row>
    <row r="236" spans="1:26" x14ac:dyDescent="0.2">
      <c r="B236" s="138">
        <f>$J$15</f>
        <v>14</v>
      </c>
      <c r="C236" s="86" t="s">
        <v>396</v>
      </c>
      <c r="D236" s="87" t="str">
        <f>IF(C236&lt;&gt;"",VLOOKUP(C236,'Dummy Table'!$B$3:$C$30,2,FALSE),"")</f>
        <v>México</v>
      </c>
      <c r="E236" s="87" t="str">
        <f>IF(C236&lt;&gt;"",VLOOKUP(C236,'Dummy Table'!$B$3:$D$30,3,FALSE),"")</f>
        <v>Cadillac</v>
      </c>
      <c r="F236" s="139"/>
      <c r="G236" s="75"/>
      <c r="H236" s="75"/>
      <c r="I236" s="75"/>
      <c r="K236" s="74"/>
      <c r="M236" s="82"/>
      <c r="N236" s="82"/>
      <c r="O236" s="82"/>
      <c r="P236" s="79"/>
      <c r="Q236" s="79"/>
      <c r="R236" s="79"/>
    </row>
    <row r="237" spans="1:26" x14ac:dyDescent="0.2">
      <c r="B237" s="138">
        <f>$J$16</f>
        <v>15</v>
      </c>
      <c r="C237" s="86" t="s">
        <v>252</v>
      </c>
      <c r="D237" s="87" t="str">
        <f>IF(C237&lt;&gt;"",VLOOKUP(C237,'Dummy Table'!$B$3:$C$30,2,FALSE),"")</f>
        <v>Alemanha</v>
      </c>
      <c r="E237" s="87" t="str">
        <f>IF(C237&lt;&gt;"",VLOOKUP(C237,'Dummy Table'!$B$3:$D$30,3,FALSE),"")</f>
        <v>Audi</v>
      </c>
      <c r="F237" s="139"/>
      <c r="G237" s="75"/>
      <c r="H237" s="75"/>
      <c r="I237" s="75"/>
      <c r="K237" s="74"/>
    </row>
    <row r="238" spans="1:26" x14ac:dyDescent="0.2">
      <c r="B238" s="138">
        <f>$J$17</f>
        <v>16</v>
      </c>
      <c r="C238" s="86" t="s">
        <v>305</v>
      </c>
      <c r="D238" s="87" t="str">
        <f>IF(C238&lt;&gt;"",VLOOKUP(C238,'Dummy Table'!$B$3:$C$30,2,FALSE),"")</f>
        <v>Canadá</v>
      </c>
      <c r="E238" s="87" t="str">
        <f>IF(C238&lt;&gt;"",VLOOKUP(C238,'Dummy Table'!$B$3:$D$30,3,FALSE),"")</f>
        <v>Aston Martin</v>
      </c>
      <c r="F238" s="139"/>
      <c r="G238" s="75"/>
      <c r="H238" s="75"/>
      <c r="I238" s="75"/>
      <c r="K238" s="74"/>
    </row>
    <row r="239" spans="1:26" x14ac:dyDescent="0.2">
      <c r="B239" s="138">
        <f>$J$18</f>
        <v>17</v>
      </c>
      <c r="C239" s="86" t="s">
        <v>397</v>
      </c>
      <c r="D239" s="87" t="str">
        <f>IF(C239&lt;&gt;"",VLOOKUP(C239,'Dummy Table'!$B$3:$C$30,2,FALSE),"")</f>
        <v>Finlândia</v>
      </c>
      <c r="E239" s="87" t="str">
        <f>IF(C239&lt;&gt;"",VLOOKUP(C239,'Dummy Table'!$B$3:$D$30,3,FALSE),"")</f>
        <v>Cadillac</v>
      </c>
      <c r="F239" s="139"/>
      <c r="G239" s="75"/>
      <c r="H239" s="75"/>
      <c r="I239" s="75"/>
    </row>
    <row r="240" spans="1:26" x14ac:dyDescent="0.2">
      <c r="B240" s="138">
        <f>$J$19</f>
        <v>18</v>
      </c>
      <c r="C240" s="86" t="s">
        <v>325</v>
      </c>
      <c r="D240" s="87" t="str">
        <f>IF(C240&lt;&gt;"",VLOOKUP(C240,'Dummy Table'!$B$3:$C$30,2,FALSE),"")</f>
        <v>Inglaterra</v>
      </c>
      <c r="E240" s="87" t="str">
        <f>IF(C240&lt;&gt;"",VLOOKUP(C240,'Dummy Table'!$B$3:$D$30,3,FALSE),"")</f>
        <v>Haas</v>
      </c>
      <c r="F240" s="139"/>
      <c r="G240" s="75"/>
      <c r="H240" s="75"/>
      <c r="I240" s="75"/>
      <c r="K240" s="79"/>
    </row>
    <row r="241" spans="1:26" x14ac:dyDescent="0.2">
      <c r="B241" s="138">
        <f>$J$20</f>
        <v>19</v>
      </c>
      <c r="C241" s="86" t="s">
        <v>309</v>
      </c>
      <c r="D241" s="87" t="str">
        <f>IF(C241&lt;&gt;"",VLOOKUP(C241,'Dummy Table'!$B$3:$C$30,2,FALSE),"")</f>
        <v>Tailandia</v>
      </c>
      <c r="E241" s="87" t="str">
        <f>IF(C241&lt;&gt;"",VLOOKUP(C241,'Dummy Table'!$B$3:$D$30,3,FALSE),"")</f>
        <v>Williams</v>
      </c>
      <c r="F241" s="139"/>
      <c r="G241" s="75"/>
      <c r="H241" s="75"/>
      <c r="I241" s="75"/>
    </row>
    <row r="242" spans="1:26" x14ac:dyDescent="0.2">
      <c r="B242" s="138">
        <f>$J$21</f>
        <v>20</v>
      </c>
      <c r="C242" s="86" t="s">
        <v>306</v>
      </c>
      <c r="D242" s="87" t="str">
        <f>IF(C242&lt;&gt;"",VLOOKUP(C242,'Dummy Table'!$B$3:$C$30,2,FALSE),"")</f>
        <v>França</v>
      </c>
      <c r="E242" s="87" t="str">
        <f>IF(C242&lt;&gt;"",VLOOKUP(C242,'Dummy Table'!$B$3:$D$30,3,FALSE),"")</f>
        <v>Alpine</v>
      </c>
      <c r="F242" s="139"/>
      <c r="G242" s="75"/>
      <c r="H242" s="75"/>
      <c r="I242" s="75"/>
      <c r="K242" s="74"/>
    </row>
    <row r="243" spans="1:26" x14ac:dyDescent="0.2">
      <c r="B243" s="138">
        <f>$J$22</f>
        <v>21</v>
      </c>
      <c r="C243" s="86" t="s">
        <v>406</v>
      </c>
      <c r="D243" s="87" t="str">
        <f>IF(C243&lt;&gt;"",VLOOKUP(C243,'Dummy Table'!$B$3:$C$30,2,FALSE),"")</f>
        <v>França</v>
      </c>
      <c r="E243" s="87" t="str">
        <f>IF(C243&lt;&gt;"",VLOOKUP(C243,'Dummy Table'!$B$3:$D$30,3,FALSE),"")</f>
        <v>Red Bull</v>
      </c>
      <c r="F243" s="139"/>
      <c r="G243" s="75"/>
      <c r="H243" s="75"/>
      <c r="I243" s="75"/>
      <c r="K243" s="74"/>
    </row>
    <row r="244" spans="1:26" x14ac:dyDescent="0.2">
      <c r="B244" s="138">
        <f>$J$23</f>
        <v>22</v>
      </c>
      <c r="C244" s="86" t="s">
        <v>30</v>
      </c>
      <c r="D244" s="87" t="str">
        <f>IF(C244&lt;&gt;"",VLOOKUP(C244,'Dummy Table'!$B$3:$C$30,2,FALSE),"")</f>
        <v>Espanha</v>
      </c>
      <c r="E244" s="87" t="str">
        <f>IF(C244&lt;&gt;"",VLOOKUP(C244,'Dummy Table'!$B$3:$D$30,3,FALSE),"")</f>
        <v>Aston Martin</v>
      </c>
      <c r="F244" s="139" t="s">
        <v>427</v>
      </c>
      <c r="G244" s="75"/>
      <c r="H244" s="75"/>
      <c r="I244" s="75"/>
      <c r="K244" s="74"/>
    </row>
    <row r="245" spans="1:26" x14ac:dyDescent="0.2">
      <c r="B245" s="147"/>
      <c r="C245" s="93" t="s">
        <v>355</v>
      </c>
      <c r="D245" s="94"/>
      <c r="E245" s="94"/>
      <c r="F245" s="148"/>
      <c r="G245" s="75"/>
      <c r="H245" s="75"/>
      <c r="I245" s="75"/>
      <c r="K245" s="81"/>
      <c r="M245" s="77"/>
      <c r="N245" s="77"/>
      <c r="O245" s="77"/>
      <c r="P245" s="77"/>
      <c r="Q245" s="77"/>
      <c r="R245" s="77"/>
      <c r="S245" s="77"/>
      <c r="T245" s="77"/>
      <c r="V245" s="71"/>
      <c r="W245" s="71"/>
      <c r="X245" s="71"/>
    </row>
    <row r="246" spans="1:26" x14ac:dyDescent="0.2">
      <c r="B246" s="134" t="s">
        <v>14</v>
      </c>
      <c r="C246" s="90" t="s">
        <v>29</v>
      </c>
      <c r="D246" s="90" t="s">
        <v>16</v>
      </c>
      <c r="E246" s="90" t="s">
        <v>17</v>
      </c>
      <c r="F246" s="135" t="s">
        <v>18</v>
      </c>
      <c r="K246" s="74"/>
      <c r="M246" s="82"/>
      <c r="N246" s="82"/>
      <c r="O246" s="82"/>
      <c r="P246" s="79"/>
      <c r="Q246" s="79"/>
      <c r="R246" s="79"/>
    </row>
    <row r="247" spans="1:26" x14ac:dyDescent="0.2">
      <c r="B247" s="136">
        <f>$J$2</f>
        <v>1</v>
      </c>
      <c r="C247" s="86" t="s">
        <v>324</v>
      </c>
      <c r="D247" s="87" t="str">
        <f>IF(C247&lt;&gt;"",VLOOKUP(C247,'Dummy Table'!$B$3:$C$30,2,FALSE),"")</f>
        <v>Itália</v>
      </c>
      <c r="E247" s="87" t="str">
        <f>IF(C247&lt;&gt;"",VLOOKUP(C247,'Dummy Table'!$B$3:$D$30,3,FALSE),"")</f>
        <v>Mercedes</v>
      </c>
      <c r="F247" s="137">
        <v>25</v>
      </c>
      <c r="G247" s="69">
        <f>IF(C247="",F247,0)</f>
        <v>0</v>
      </c>
      <c r="H247" s="69">
        <f>IF(C247="",F247,0)</f>
        <v>0</v>
      </c>
      <c r="I247" s="69">
        <f>IF(C247="",1,0)</f>
        <v>0</v>
      </c>
      <c r="K247" s="74"/>
    </row>
    <row r="248" spans="1:26" x14ac:dyDescent="0.2">
      <c r="B248" s="138">
        <f>$J$3</f>
        <v>2</v>
      </c>
      <c r="C248" s="86" t="s">
        <v>1</v>
      </c>
      <c r="D248" s="87" t="str">
        <f>IF(C248&lt;&gt;"",VLOOKUP(C248,'Dummy Table'!$B$3:$C$30,2,FALSE),"")</f>
        <v>Inglaterra</v>
      </c>
      <c r="E248" s="87" t="str">
        <f>IF(C248&lt;&gt;"",VLOOKUP(C248,'Dummy Table'!$B$3:$D$30,3,FALSE),"")</f>
        <v>Ferrari</v>
      </c>
      <c r="F248" s="137">
        <v>18</v>
      </c>
      <c r="H248" s="69">
        <f>IF(C248="",F248,0)</f>
        <v>0</v>
      </c>
      <c r="K248" s="74"/>
    </row>
    <row r="249" spans="1:26" x14ac:dyDescent="0.2">
      <c r="B249" s="138">
        <f>$J$4</f>
        <v>3</v>
      </c>
      <c r="C249" s="86" t="s">
        <v>299</v>
      </c>
      <c r="D249" s="87" t="str">
        <f>IF(C249&lt;&gt;"",VLOOKUP(C249,'Dummy Table'!$B$3:$C$30,2,FALSE),"")</f>
        <v>Holanda</v>
      </c>
      <c r="E249" s="87" t="str">
        <f>IF(C249&lt;&gt;"",VLOOKUP(C249,'Dummy Table'!$B$3:$D$30,3,FALSE),"")</f>
        <v>Red Bull</v>
      </c>
      <c r="F249" s="137">
        <v>15</v>
      </c>
    </row>
    <row r="250" spans="1:26" x14ac:dyDescent="0.2">
      <c r="B250" s="138">
        <f>$J$5</f>
        <v>4</v>
      </c>
      <c r="C250" s="86" t="s">
        <v>307</v>
      </c>
      <c r="D250" s="87" t="str">
        <f>IF(C250&lt;&gt;"",VLOOKUP(C250,'Dummy Table'!$B$3:$C$30,2,FALSE),"")</f>
        <v>Mônaco</v>
      </c>
      <c r="E250" s="87" t="str">
        <f>IF(C250&lt;&gt;"",VLOOKUP(C250,'Dummy Table'!$B$3:$D$30,3,FALSE),"")</f>
        <v>Ferrari</v>
      </c>
      <c r="F250" s="137">
        <v>12</v>
      </c>
      <c r="K250" s="79"/>
    </row>
    <row r="251" spans="1:26" x14ac:dyDescent="0.2">
      <c r="B251" s="138">
        <f>$J$6</f>
        <v>5</v>
      </c>
      <c r="C251" s="86" t="s">
        <v>406</v>
      </c>
      <c r="D251" s="87" t="str">
        <f>IF(C251&lt;&gt;"",VLOOKUP(C251,'Dummy Table'!$B$3:$C$30,2,FALSE),"")</f>
        <v>França</v>
      </c>
      <c r="E251" s="87" t="str">
        <f>IF(C251&lt;&gt;"",VLOOKUP(C251,'Dummy Table'!$B$3:$D$30,3,FALSE),"")</f>
        <v>Red Bull</v>
      </c>
      <c r="F251" s="137">
        <v>10</v>
      </c>
    </row>
    <row r="252" spans="1:26" x14ac:dyDescent="0.2">
      <c r="B252" s="138">
        <f>$J$7</f>
        <v>6</v>
      </c>
      <c r="C252" s="86" t="s">
        <v>412</v>
      </c>
      <c r="D252" s="87" t="str">
        <f>IF(C252&lt;&gt;"",VLOOKUP(C252,'Dummy Table'!$B$3:$C$30,2,FALSE),"")</f>
        <v>Argentina</v>
      </c>
      <c r="E252" s="87" t="str">
        <f>IF(C252&lt;&gt;"",VLOOKUP(C252,'Dummy Table'!$B$3:$D$30,3,FALSE),"")</f>
        <v>Alpine</v>
      </c>
      <c r="F252" s="137">
        <v>8</v>
      </c>
      <c r="K252" s="74"/>
    </row>
    <row r="253" spans="1:26" x14ac:dyDescent="0.2">
      <c r="B253" s="138">
        <f>$J$8</f>
        <v>7</v>
      </c>
      <c r="C253" s="86" t="s">
        <v>408</v>
      </c>
      <c r="D253" s="87" t="str">
        <f>IF(C253&lt;&gt;"",VLOOKUP(C253,'Dummy Table'!$B$3:$C$30,2,FALSE),"")</f>
        <v>Austrália</v>
      </c>
      <c r="E253" s="87" t="str">
        <f>IF(C253&lt;&gt;"",VLOOKUP(C253,'Dummy Table'!$B$3:$D$30,3,FALSE),"")</f>
        <v>Racing Bulls</v>
      </c>
      <c r="F253" s="137">
        <v>6</v>
      </c>
      <c r="K253" s="74"/>
    </row>
    <row r="254" spans="1:26" x14ac:dyDescent="0.2">
      <c r="B254" s="138">
        <f>$J$9</f>
        <v>8</v>
      </c>
      <c r="C254" s="86" t="s">
        <v>306</v>
      </c>
      <c r="D254" s="87" t="str">
        <f>IF(C254&lt;&gt;"",VLOOKUP(C254,'Dummy Table'!$B$3:$C$30,2,FALSE),"")</f>
        <v>França</v>
      </c>
      <c r="E254" s="87" t="str">
        <f>IF(C254&lt;&gt;"",VLOOKUP(C254,'Dummy Table'!$B$3:$D$30,3,FALSE),"")</f>
        <v>Alpine</v>
      </c>
      <c r="F254" s="137">
        <v>4</v>
      </c>
      <c r="K254" s="74"/>
    </row>
    <row r="255" spans="1:26" s="80" customFormat="1" x14ac:dyDescent="0.2">
      <c r="A255" s="91"/>
      <c r="B255" s="138">
        <f>$J$10</f>
        <v>9</v>
      </c>
      <c r="C255" s="86" t="s">
        <v>328</v>
      </c>
      <c r="D255" s="87" t="str">
        <f>IF(C255&lt;&gt;"",VLOOKUP(C255,'Dummy Table'!$B$3:$C$30,2,FALSE),"")</f>
        <v>Espanha</v>
      </c>
      <c r="E255" s="87" t="str">
        <f>IF(C255&lt;&gt;"",VLOOKUP(C255,'Dummy Table'!$B$3:$D$30,3,FALSE),"")</f>
        <v>Williams</v>
      </c>
      <c r="F255" s="137">
        <v>2</v>
      </c>
      <c r="G255" s="69"/>
      <c r="H255" s="69"/>
      <c r="I255" s="69"/>
      <c r="J255" s="76"/>
      <c r="K255" s="74"/>
      <c r="L255" s="79"/>
      <c r="M255" s="72"/>
      <c r="N255" s="72"/>
      <c r="O255" s="72"/>
      <c r="P255" s="71"/>
      <c r="Q255" s="71"/>
      <c r="R255" s="71"/>
      <c r="S255" s="79"/>
      <c r="T255" s="79"/>
      <c r="U255" s="79"/>
      <c r="V255" s="79"/>
      <c r="W255" s="79"/>
      <c r="X255" s="79"/>
      <c r="Y255" s="79"/>
      <c r="Z255" s="79"/>
    </row>
    <row r="256" spans="1:26" x14ac:dyDescent="0.2">
      <c r="B256" s="138">
        <f>$J$11</f>
        <v>10</v>
      </c>
      <c r="C256" s="86" t="s">
        <v>325</v>
      </c>
      <c r="D256" s="87" t="str">
        <f>IF(C256&lt;&gt;"",VLOOKUP(C256,'Dummy Table'!$B$3:$C$30,2,FALSE),"")</f>
        <v>Inglaterra</v>
      </c>
      <c r="E256" s="87" t="str">
        <f>IF(C256&lt;&gt;"",VLOOKUP(C256,'Dummy Table'!$B$3:$D$30,3,FALSE),"")</f>
        <v>Haas</v>
      </c>
      <c r="F256" s="137">
        <v>1</v>
      </c>
      <c r="K256" s="74"/>
    </row>
    <row r="257" spans="1:26" x14ac:dyDescent="0.2">
      <c r="B257" s="138">
        <f>$J$12</f>
        <v>11</v>
      </c>
      <c r="C257" s="86" t="s">
        <v>323</v>
      </c>
      <c r="D257" s="87" t="str">
        <f>IF(C257&lt;&gt;"",VLOOKUP(C257,'Dummy Table'!$B$3:$C$30,2,FALSE),"")</f>
        <v>Austrália</v>
      </c>
      <c r="E257" s="87" t="str">
        <f>IF(C257&lt;&gt;"",VLOOKUP(C257,'Dummy Table'!$B$3:$D$30,3,FALSE),"")</f>
        <v>McLaren</v>
      </c>
      <c r="F257" s="139"/>
      <c r="K257" s="74"/>
    </row>
    <row r="258" spans="1:26" x14ac:dyDescent="0.2">
      <c r="B258" s="138">
        <f>$J$13</f>
        <v>12</v>
      </c>
      <c r="C258" s="86" t="s">
        <v>252</v>
      </c>
      <c r="D258" s="87" t="str">
        <f>IF(C258&lt;&gt;"",VLOOKUP(C258,'Dummy Table'!$B$3:$C$30,2,FALSE),"")</f>
        <v>Alemanha</v>
      </c>
      <c r="E258" s="87" t="str">
        <f>IF(C258&lt;&gt;"",VLOOKUP(C258,'Dummy Table'!$B$3:$D$30,3,FALSE),"")</f>
        <v>Audi</v>
      </c>
      <c r="F258" s="139"/>
      <c r="K258" s="74"/>
    </row>
    <row r="259" spans="1:26" x14ac:dyDescent="0.2">
      <c r="B259" s="138">
        <f>$J$14</f>
        <v>13</v>
      </c>
      <c r="C259" s="86" t="s">
        <v>329</v>
      </c>
      <c r="D259" s="87" t="str">
        <f>IF(C259&lt;&gt;"",VLOOKUP(C259,'Dummy Table'!$B$3:$C$30,2,FALSE),"")</f>
        <v>Brasil</v>
      </c>
      <c r="E259" s="87" t="str">
        <f>IF(C259&lt;&gt;"",VLOOKUP(C259,'Dummy Table'!$B$3:$D$30,3,FALSE),"")</f>
        <v>Audi</v>
      </c>
      <c r="F259" s="139"/>
      <c r="G259" s="75"/>
      <c r="H259" s="75"/>
      <c r="I259" s="75"/>
      <c r="K259" s="74"/>
    </row>
    <row r="260" spans="1:26" x14ac:dyDescent="0.2">
      <c r="B260" s="138">
        <f>$J$15</f>
        <v>14</v>
      </c>
      <c r="C260" s="86" t="s">
        <v>313</v>
      </c>
      <c r="D260" s="87" t="str">
        <f>IF(C260&lt;&gt;"",VLOOKUP(C260,'Dummy Table'!$B$3:$C$30,2,FALSE),"")</f>
        <v>França</v>
      </c>
      <c r="E260" s="87" t="str">
        <f>IF(C260&lt;&gt;"",VLOOKUP(C260,'Dummy Table'!$B$3:$D$30,3,FALSE),"")</f>
        <v>Haas</v>
      </c>
      <c r="F260" s="139"/>
      <c r="G260" s="75"/>
      <c r="H260" s="75"/>
      <c r="I260" s="75"/>
      <c r="K260" s="74"/>
      <c r="M260" s="82"/>
      <c r="N260" s="82"/>
      <c r="O260" s="82"/>
      <c r="P260" s="79"/>
      <c r="Q260" s="79"/>
      <c r="R260" s="79"/>
    </row>
    <row r="261" spans="1:26" x14ac:dyDescent="0.2">
      <c r="B261" s="138">
        <f>$J$16</f>
        <v>15</v>
      </c>
      <c r="C261" s="86" t="s">
        <v>305</v>
      </c>
      <c r="D261" s="87" t="str">
        <f>IF(C261&lt;&gt;"",VLOOKUP(C261,'Dummy Table'!$B$3:$C$30,2,FALSE),"")</f>
        <v>Canadá</v>
      </c>
      <c r="E261" s="87" t="str">
        <f>IF(C261&lt;&gt;"",VLOOKUP(C261,'Dummy Table'!$B$3:$D$30,3,FALSE),"")</f>
        <v>Aston Martin</v>
      </c>
      <c r="F261" s="139"/>
      <c r="G261" s="75"/>
      <c r="H261" s="75"/>
      <c r="I261" s="75"/>
      <c r="K261" s="74"/>
    </row>
    <row r="262" spans="1:26" x14ac:dyDescent="0.2">
      <c r="B262" s="138">
        <f>$J$17</f>
        <v>16</v>
      </c>
      <c r="C262" s="86" t="s">
        <v>397</v>
      </c>
      <c r="D262" s="87" t="str">
        <f>IF(C262&lt;&gt;"",VLOOKUP(C262,'Dummy Table'!$B$3:$C$30,2,FALSE),"")</f>
        <v>Finlândia</v>
      </c>
      <c r="E262" s="87" t="str">
        <f>IF(C262&lt;&gt;"",VLOOKUP(C262,'Dummy Table'!$B$3:$D$30,3,FALSE),"")</f>
        <v>Cadillac</v>
      </c>
      <c r="F262" s="139"/>
      <c r="G262" s="75"/>
      <c r="H262" s="75"/>
      <c r="I262" s="75"/>
      <c r="K262" s="74"/>
    </row>
    <row r="263" spans="1:26" x14ac:dyDescent="0.2">
      <c r="B263" s="138">
        <f>$J$18</f>
        <v>17</v>
      </c>
      <c r="C263" s="86" t="s">
        <v>396</v>
      </c>
      <c r="D263" s="87" t="str">
        <f>IF(C263&lt;&gt;"",VLOOKUP(C263,'Dummy Table'!$B$3:$C$30,2,FALSE),"")</f>
        <v>México</v>
      </c>
      <c r="E263" s="87" t="str">
        <f>IF(C263&lt;&gt;"",VLOOKUP(C263,'Dummy Table'!$B$3:$D$30,3,FALSE),"")</f>
        <v>Cadillac</v>
      </c>
      <c r="F263" s="139" t="s">
        <v>427</v>
      </c>
      <c r="G263" s="75"/>
      <c r="H263" s="75"/>
      <c r="I263" s="75"/>
    </row>
    <row r="264" spans="1:26" x14ac:dyDescent="0.2">
      <c r="B264" s="138">
        <f>$J$19</f>
        <v>18</v>
      </c>
      <c r="C264" s="86" t="s">
        <v>310</v>
      </c>
      <c r="D264" s="87" t="str">
        <f>IF(C264&lt;&gt;"",VLOOKUP(C264,'Dummy Table'!$B$3:$C$30,2,FALSE),"")</f>
        <v>Inglaterra</v>
      </c>
      <c r="E264" s="87" t="str">
        <f>IF(C264&lt;&gt;"",VLOOKUP(C264,'Dummy Table'!$B$3:$D$30,3,FALSE),"")</f>
        <v>McLaren</v>
      </c>
      <c r="F264" s="139" t="s">
        <v>427</v>
      </c>
      <c r="G264" s="75"/>
      <c r="H264" s="75"/>
      <c r="I264" s="75"/>
      <c r="K264" s="79"/>
    </row>
    <row r="265" spans="1:26" x14ac:dyDescent="0.2">
      <c r="B265" s="138">
        <f>$J$20</f>
        <v>19</v>
      </c>
      <c r="C265" s="86" t="s">
        <v>353</v>
      </c>
      <c r="D265" s="87" t="str">
        <f>IF(C265&lt;&gt;"",VLOOKUP(C265,'Dummy Table'!$B$3:$C$30,2,FALSE),"")</f>
        <v>Inglaterra</v>
      </c>
      <c r="E265" s="87" t="str">
        <f>IF(C265&lt;&gt;"",VLOOKUP(C265,'Dummy Table'!$B$3:$D$30,3,FALSE),"")</f>
        <v>Mercedes</v>
      </c>
      <c r="F265" s="139" t="s">
        <v>427</v>
      </c>
      <c r="G265" s="75"/>
      <c r="H265" s="75"/>
      <c r="I265" s="75"/>
    </row>
    <row r="266" spans="1:26" x14ac:dyDescent="0.2">
      <c r="B266" s="138">
        <f>$J$21</f>
        <v>20</v>
      </c>
      <c r="C266" s="86" t="s">
        <v>30</v>
      </c>
      <c r="D266" s="87" t="str">
        <f>IF(C266&lt;&gt;"",VLOOKUP(C266,'Dummy Table'!$B$3:$C$30,2,FALSE),"")</f>
        <v>Espanha</v>
      </c>
      <c r="E266" s="87" t="str">
        <f>IF(C266&lt;&gt;"",VLOOKUP(C266,'Dummy Table'!$B$3:$D$30,3,FALSE),"")</f>
        <v>Aston Martin</v>
      </c>
      <c r="F266" s="139" t="s">
        <v>427</v>
      </c>
      <c r="G266" s="75"/>
      <c r="H266" s="75"/>
      <c r="I266" s="75"/>
      <c r="K266" s="74"/>
    </row>
    <row r="267" spans="1:26" ht="12.75" customHeight="1" x14ac:dyDescent="0.2">
      <c r="B267" s="138">
        <f>$J$22</f>
        <v>21</v>
      </c>
      <c r="C267" s="86" t="s">
        <v>309</v>
      </c>
      <c r="D267" s="87" t="str">
        <f>IF(C267&lt;&gt;"",VLOOKUP(C267,'Dummy Table'!$B$3:$C$30,2,FALSE),"")</f>
        <v>Tailandia</v>
      </c>
      <c r="E267" s="87" t="str">
        <f>IF(C267&lt;&gt;"",VLOOKUP(C267,'Dummy Table'!$B$3:$D$30,3,FALSE),"")</f>
        <v>Williams</v>
      </c>
      <c r="F267" s="139" t="s">
        <v>427</v>
      </c>
      <c r="G267" s="75"/>
      <c r="H267" s="75"/>
      <c r="I267" s="75"/>
      <c r="K267" s="74"/>
    </row>
    <row r="268" spans="1:26" ht="12.75" customHeight="1" x14ac:dyDescent="0.2">
      <c r="B268" s="138">
        <f>$J$23</f>
        <v>22</v>
      </c>
      <c r="C268" s="86" t="s">
        <v>407</v>
      </c>
      <c r="D268" s="87" t="str">
        <f>IF(C268&lt;&gt;"",VLOOKUP(C268,'Dummy Table'!$B$3:$C$30,2,FALSE),"")</f>
        <v>Inglaterra</v>
      </c>
      <c r="E268" s="87" t="str">
        <f>IF(C268&lt;&gt;"",VLOOKUP(C268,'Dummy Table'!$B$3:$D$30,3,FALSE),"")</f>
        <v>Racing Bulls</v>
      </c>
      <c r="F268" s="139" t="s">
        <v>428</v>
      </c>
      <c r="G268" s="75"/>
      <c r="H268" s="75"/>
      <c r="I268" s="75"/>
      <c r="K268" s="74"/>
    </row>
    <row r="269" spans="1:26" s="80" customFormat="1" ht="12.75" hidden="1" customHeight="1" x14ac:dyDescent="0.2">
      <c r="A269" s="91"/>
      <c r="B269" s="149">
        <f>IF(F269="",$J$24,"Ret")</f>
        <v>23</v>
      </c>
      <c r="C269" s="78"/>
      <c r="D269" s="68" t="str">
        <f>IF(C269&lt;&gt;"",VLOOKUP(C269,'Dummy Table'!$B$3:$C$30,2,FALSE),"")</f>
        <v/>
      </c>
      <c r="E269" s="68" t="str">
        <f>IF(C269&lt;&gt;"",VLOOKUP(C269,'Dummy Table'!$B$3:$D$30,3,FALSE),"")</f>
        <v/>
      </c>
      <c r="F269" s="140"/>
      <c r="G269" s="75"/>
      <c r="H269" s="75"/>
      <c r="I269" s="75"/>
      <c r="J269" s="76"/>
      <c r="K269" s="74"/>
      <c r="L269" s="79"/>
      <c r="M269" s="72"/>
      <c r="N269" s="72"/>
      <c r="O269" s="72"/>
      <c r="P269" s="71"/>
      <c r="Q269" s="71"/>
      <c r="R269" s="71"/>
      <c r="S269" s="79"/>
      <c r="T269" s="79"/>
      <c r="U269" s="79"/>
      <c r="V269" s="79"/>
      <c r="W269" s="79"/>
      <c r="X269" s="79"/>
      <c r="Y269" s="79"/>
      <c r="Z269" s="79"/>
    </row>
    <row r="270" spans="1:26" ht="12.75" hidden="1" customHeight="1" x14ac:dyDescent="0.2">
      <c r="B270" s="149" t="str">
        <f>IF(F270="",$J$25,"Ret")</f>
        <v/>
      </c>
      <c r="C270" s="78"/>
      <c r="D270" s="68" t="str">
        <f>IF(C270&lt;&gt;"",VLOOKUP(C270,'Dummy Table'!$B$3:$C$30,2,FALSE),"")</f>
        <v/>
      </c>
      <c r="E270" s="68" t="str">
        <f>IF(C270&lt;&gt;"",VLOOKUP(C270,'Dummy Table'!$B$3:$D$30,3,FALSE),"")</f>
        <v/>
      </c>
      <c r="F270" s="140"/>
      <c r="G270" s="75"/>
      <c r="H270" s="75"/>
      <c r="I270" s="75"/>
      <c r="K270" s="74"/>
    </row>
    <row r="271" spans="1:26" x14ac:dyDescent="0.2">
      <c r="B271" s="141" t="s">
        <v>243</v>
      </c>
      <c r="C271" s="88" t="s">
        <v>353</v>
      </c>
      <c r="D271" s="89" t="str">
        <f>IF(C271&lt;&gt;"",VLOOKUP(C271,'Dummy Table'!$B$3:$C$30,2,FALSE),"")</f>
        <v>Inglaterra</v>
      </c>
      <c r="E271" s="89" t="str">
        <f>IF(C271&lt;&gt;"",VLOOKUP(C271,'Dummy Table'!$B$3:$D$30,3,FALSE),"")</f>
        <v>Mercedes</v>
      </c>
      <c r="F271" s="142"/>
      <c r="H271" s="75"/>
      <c r="K271" s="74"/>
    </row>
    <row r="272" spans="1:26" ht="13.5" thickBot="1" x14ac:dyDescent="0.25">
      <c r="B272" s="143" t="s">
        <v>234</v>
      </c>
      <c r="C272" s="144" t="s">
        <v>324</v>
      </c>
      <c r="D272" s="145" t="str">
        <f>IF(C272&lt;&gt;"",VLOOKUP(C272,'Dummy Table'!$B$3:$C$30,2,FALSE),"")</f>
        <v>Itália</v>
      </c>
      <c r="E272" s="145" t="str">
        <f>IF(C272&lt;&gt;"",VLOOKUP(C272,'Dummy Table'!$B$3:$D$30,3,FALSE),"")</f>
        <v>Mercedes</v>
      </c>
      <c r="F272" s="146"/>
      <c r="H272" s="69">
        <f>IF(C272="",F272,0)</f>
        <v>0</v>
      </c>
      <c r="K272" s="74"/>
    </row>
    <row r="273" spans="1:26" x14ac:dyDescent="0.2">
      <c r="A273" s="91">
        <v>8</v>
      </c>
      <c r="B273" s="132">
        <f>VLOOKUP($A273,'Calendário atual'!$A$2:$E$30,2,FALSE)</f>
        <v>46180</v>
      </c>
      <c r="C273" s="175" t="str">
        <f>VLOOKUP($A273,'Calendário atual'!$A$2:$E$30,4,FALSE)</f>
        <v>FORMULA 1 LOUIS VUITTON GRAND PRIX DE MONACO 2026</v>
      </c>
      <c r="D273" s="175"/>
      <c r="E273" s="175"/>
      <c r="F273" s="133" t="str">
        <f>VLOOKUP($A273,'Calendário atual'!$A$2:$E$30,3,FALSE)</f>
        <v>Mônaco</v>
      </c>
      <c r="G273" s="75"/>
      <c r="H273" s="75"/>
      <c r="I273" s="75"/>
      <c r="K273" s="74"/>
    </row>
    <row r="274" spans="1:26" x14ac:dyDescent="0.2">
      <c r="B274" s="134" t="s">
        <v>14</v>
      </c>
      <c r="C274" s="90" t="s">
        <v>29</v>
      </c>
      <c r="D274" s="90" t="s">
        <v>16</v>
      </c>
      <c r="E274" s="90" t="s">
        <v>17</v>
      </c>
      <c r="F274" s="135" t="s">
        <v>18</v>
      </c>
      <c r="K274" s="74"/>
      <c r="M274" s="82"/>
      <c r="N274" s="82"/>
      <c r="O274" s="82"/>
      <c r="P274" s="79"/>
      <c r="Q274" s="79"/>
      <c r="R274" s="79"/>
    </row>
    <row r="275" spans="1:26" x14ac:dyDescent="0.2">
      <c r="B275" s="136">
        <f>$J$2</f>
        <v>1</v>
      </c>
      <c r="C275" s="86" t="s">
        <v>324</v>
      </c>
      <c r="D275" s="87" t="str">
        <f>IF(C275&lt;&gt;"",VLOOKUP(C275,'Dummy Table'!$B$3:$C$30,2,FALSE),"")</f>
        <v>Itália</v>
      </c>
      <c r="E275" s="87" t="str">
        <f>IF(C275&lt;&gt;"",VLOOKUP(C275,'Dummy Table'!$B$3:$D$30,3,FALSE),"")</f>
        <v>Mercedes</v>
      </c>
      <c r="F275" s="137">
        <v>25</v>
      </c>
      <c r="G275" s="69">
        <f>IF(C275="",F275,0)</f>
        <v>0</v>
      </c>
      <c r="H275" s="69">
        <f>IF(C275="",F275,0)</f>
        <v>0</v>
      </c>
      <c r="I275" s="69">
        <f>IF(C275="",1,0)</f>
        <v>0</v>
      </c>
      <c r="K275" s="74"/>
    </row>
    <row r="276" spans="1:26" x14ac:dyDescent="0.2">
      <c r="B276" s="138">
        <f>$J$3</f>
        <v>2</v>
      </c>
      <c r="C276" s="86" t="s">
        <v>1</v>
      </c>
      <c r="D276" s="87" t="str">
        <f>IF(C276&lt;&gt;"",VLOOKUP(C276,'Dummy Table'!$B$3:$C$30,2,FALSE),"")</f>
        <v>Inglaterra</v>
      </c>
      <c r="E276" s="87" t="str">
        <f>IF(C276&lt;&gt;"",VLOOKUP(C276,'Dummy Table'!$B$3:$D$30,3,FALSE),"")</f>
        <v>Ferrari</v>
      </c>
      <c r="F276" s="137">
        <v>18</v>
      </c>
      <c r="H276" s="69">
        <f>IF(C276="",F276,0)</f>
        <v>0</v>
      </c>
      <c r="K276" s="74"/>
    </row>
    <row r="277" spans="1:26" x14ac:dyDescent="0.2">
      <c r="B277" s="138">
        <f>$J$4</f>
        <v>3</v>
      </c>
      <c r="C277" s="86" t="s">
        <v>406</v>
      </c>
      <c r="D277" s="87" t="str">
        <f>IF(C277&lt;&gt;"",VLOOKUP(C277,'Dummy Table'!$B$3:$C$30,2,FALSE),"")</f>
        <v>França</v>
      </c>
      <c r="E277" s="87" t="str">
        <f>IF(C277&lt;&gt;"",VLOOKUP(C277,'Dummy Table'!$B$3:$D$30,3,FALSE),"")</f>
        <v>Red Bull</v>
      </c>
      <c r="F277" s="137">
        <v>15</v>
      </c>
    </row>
    <row r="278" spans="1:26" x14ac:dyDescent="0.2">
      <c r="B278" s="138">
        <f>$J$5</f>
        <v>4</v>
      </c>
      <c r="C278" s="86" t="s">
        <v>323</v>
      </c>
      <c r="D278" s="87" t="str">
        <f>IF(C278&lt;&gt;"",VLOOKUP(C278,'Dummy Table'!$B$3:$C$30,2,FALSE),"")</f>
        <v>Austrália</v>
      </c>
      <c r="E278" s="87" t="str">
        <f>IF(C278&lt;&gt;"",VLOOKUP(C278,'Dummy Table'!$B$3:$D$30,3,FALSE),"")</f>
        <v>McLaren</v>
      </c>
      <c r="F278" s="137">
        <v>12</v>
      </c>
      <c r="K278" s="79"/>
    </row>
    <row r="279" spans="1:26" x14ac:dyDescent="0.2">
      <c r="B279" s="138">
        <f>$J$6</f>
        <v>5</v>
      </c>
      <c r="C279" s="86" t="s">
        <v>408</v>
      </c>
      <c r="D279" s="87" t="str">
        <f>IF(C279&lt;&gt;"",VLOOKUP(C279,'Dummy Table'!$B$3:$C$30,2,FALSE),"")</f>
        <v>Austrália</v>
      </c>
      <c r="E279" s="87" t="str">
        <f>IF(C279&lt;&gt;"",VLOOKUP(C279,'Dummy Table'!$B$3:$D$30,3,FALSE),"")</f>
        <v>Racing Bulls</v>
      </c>
      <c r="F279" s="137">
        <v>10</v>
      </c>
    </row>
    <row r="280" spans="1:26" x14ac:dyDescent="0.2">
      <c r="B280" s="138">
        <f>$J$7</f>
        <v>6</v>
      </c>
      <c r="C280" s="86" t="s">
        <v>407</v>
      </c>
      <c r="D280" s="87" t="str">
        <f>IF(C280&lt;&gt;"",VLOOKUP(C280,'Dummy Table'!$B$3:$C$30,2,FALSE),"")</f>
        <v>Inglaterra</v>
      </c>
      <c r="E280" s="87" t="str">
        <f>IF(C280&lt;&gt;"",VLOOKUP(C280,'Dummy Table'!$B$3:$D$30,3,FALSE),"")</f>
        <v>Racing Bulls</v>
      </c>
      <c r="F280" s="137">
        <v>8</v>
      </c>
      <c r="K280" s="74"/>
    </row>
    <row r="281" spans="1:26" x14ac:dyDescent="0.2">
      <c r="B281" s="138">
        <f>$J$8</f>
        <v>7</v>
      </c>
      <c r="C281" s="86" t="s">
        <v>306</v>
      </c>
      <c r="D281" s="87" t="str">
        <f>IF(C281&lt;&gt;"",VLOOKUP(C281,'Dummy Table'!$B$3:$C$30,2,FALSE),"")</f>
        <v>França</v>
      </c>
      <c r="E281" s="87" t="str">
        <f>IF(C281&lt;&gt;"",VLOOKUP(C281,'Dummy Table'!$B$3:$D$30,3,FALSE),"")</f>
        <v>Alpine</v>
      </c>
      <c r="F281" s="137">
        <v>6</v>
      </c>
      <c r="K281" s="74"/>
    </row>
    <row r="282" spans="1:26" x14ac:dyDescent="0.2">
      <c r="B282" s="138">
        <f>$J$9</f>
        <v>8</v>
      </c>
      <c r="C282" s="86" t="s">
        <v>309</v>
      </c>
      <c r="D282" s="87" t="str">
        <f>IF(C282&lt;&gt;"",VLOOKUP(C282,'Dummy Table'!$B$3:$C$30,2,FALSE),"")</f>
        <v>Tailandia</v>
      </c>
      <c r="E282" s="87" t="str">
        <f>IF(C282&lt;&gt;"",VLOOKUP(C282,'Dummy Table'!$B$3:$D$30,3,FALSE),"")</f>
        <v>Williams</v>
      </c>
      <c r="F282" s="137">
        <v>4</v>
      </c>
      <c r="K282" s="74"/>
    </row>
    <row r="283" spans="1:26" s="80" customFormat="1" x14ac:dyDescent="0.2">
      <c r="A283" s="91"/>
      <c r="B283" s="138">
        <f>$J$10</f>
        <v>9</v>
      </c>
      <c r="C283" s="86" t="s">
        <v>313</v>
      </c>
      <c r="D283" s="87" t="str">
        <f>IF(C283&lt;&gt;"",VLOOKUP(C283,'Dummy Table'!$B$3:$C$30,2,FALSE),"")</f>
        <v>França</v>
      </c>
      <c r="E283" s="87" t="str">
        <f>IF(C283&lt;&gt;"",VLOOKUP(C283,'Dummy Table'!$B$3:$D$30,3,FALSE),"")</f>
        <v>Haas</v>
      </c>
      <c r="F283" s="137">
        <v>2</v>
      </c>
      <c r="G283" s="69"/>
      <c r="H283" s="69"/>
      <c r="I283" s="69"/>
      <c r="J283" s="76"/>
      <c r="K283" s="74"/>
      <c r="L283" s="79"/>
      <c r="M283" s="72"/>
      <c r="N283" s="72"/>
      <c r="O283" s="72"/>
      <c r="P283" s="71"/>
      <c r="Q283" s="71"/>
      <c r="R283" s="71"/>
      <c r="S283" s="79"/>
      <c r="T283" s="79"/>
      <c r="U283" s="79"/>
      <c r="V283" s="79"/>
      <c r="W283" s="79"/>
      <c r="X283" s="79"/>
      <c r="Y283" s="79"/>
      <c r="Z283" s="79"/>
    </row>
    <row r="284" spans="1:26" x14ac:dyDescent="0.2">
      <c r="B284" s="138">
        <f>$J$11</f>
        <v>10</v>
      </c>
      <c r="C284" s="86" t="s">
        <v>30</v>
      </c>
      <c r="D284" s="87" t="str">
        <f>IF(C284&lt;&gt;"",VLOOKUP(C284,'Dummy Table'!$B$3:$C$30,2,FALSE),"")</f>
        <v>Espanha</v>
      </c>
      <c r="E284" s="87" t="str">
        <f>IF(C284&lt;&gt;"",VLOOKUP(C284,'Dummy Table'!$B$3:$D$30,3,FALSE),"")</f>
        <v>Aston Martin</v>
      </c>
      <c r="F284" s="137">
        <v>1</v>
      </c>
      <c r="K284" s="74"/>
    </row>
    <row r="285" spans="1:26" x14ac:dyDescent="0.2">
      <c r="B285" s="138">
        <f>$J$12</f>
        <v>11</v>
      </c>
      <c r="C285" s="86" t="s">
        <v>329</v>
      </c>
      <c r="D285" s="87" t="str">
        <f>IF(C285&lt;&gt;"",VLOOKUP(C285,'Dummy Table'!$B$3:$C$30,2,FALSE),"")</f>
        <v>Brasil</v>
      </c>
      <c r="E285" s="87" t="str">
        <f>IF(C285&lt;&gt;"",VLOOKUP(C285,'Dummy Table'!$B$3:$D$30,3,FALSE),"")</f>
        <v>Audi</v>
      </c>
      <c r="F285" s="139"/>
      <c r="K285" s="74"/>
    </row>
    <row r="286" spans="1:26" x14ac:dyDescent="0.2">
      <c r="B286" s="138">
        <f>$J$13</f>
        <v>12</v>
      </c>
      <c r="C286" s="86" t="s">
        <v>353</v>
      </c>
      <c r="D286" s="87" t="str">
        <f>IF(C286&lt;&gt;"",VLOOKUP(C286,'Dummy Table'!$B$3:$C$30,2,FALSE),"")</f>
        <v>Inglaterra</v>
      </c>
      <c r="E286" s="87" t="str">
        <f>IF(C286&lt;&gt;"",VLOOKUP(C286,'Dummy Table'!$B$3:$D$30,3,FALSE),"")</f>
        <v>Mercedes</v>
      </c>
      <c r="F286" s="139"/>
      <c r="K286" s="74"/>
    </row>
    <row r="287" spans="1:26" x14ac:dyDescent="0.2">
      <c r="B287" s="138">
        <f>$J$14</f>
        <v>13</v>
      </c>
      <c r="C287" s="86" t="s">
        <v>252</v>
      </c>
      <c r="D287" s="87" t="str">
        <f>IF(C287&lt;&gt;"",VLOOKUP(C287,'Dummy Table'!$B$3:$C$30,2,FALSE),"")</f>
        <v>Alemanha</v>
      </c>
      <c r="E287" s="87" t="str">
        <f>IF(C287&lt;&gt;"",VLOOKUP(C287,'Dummy Table'!$B$3:$D$30,3,FALSE),"")</f>
        <v>Audi</v>
      </c>
      <c r="F287" s="139"/>
      <c r="G287" s="75"/>
      <c r="H287" s="75"/>
      <c r="I287" s="75"/>
      <c r="K287" s="74"/>
    </row>
    <row r="288" spans="1:26" x14ac:dyDescent="0.2">
      <c r="B288" s="138">
        <f>$J$15</f>
        <v>14</v>
      </c>
      <c r="C288" s="86" t="s">
        <v>412</v>
      </c>
      <c r="D288" s="87" t="str">
        <f>IF(C288&lt;&gt;"",VLOOKUP(C288,'Dummy Table'!$B$3:$C$30,2,FALSE),"")</f>
        <v>Argentina</v>
      </c>
      <c r="E288" s="87" t="str">
        <f>IF(C288&lt;&gt;"",VLOOKUP(C288,'Dummy Table'!$B$3:$D$30,3,FALSE),"")</f>
        <v>Alpine</v>
      </c>
      <c r="F288" s="139"/>
      <c r="G288" s="75"/>
      <c r="H288" s="75"/>
      <c r="I288" s="75"/>
      <c r="K288" s="74"/>
      <c r="M288" s="82"/>
      <c r="N288" s="82"/>
      <c r="O288" s="82"/>
      <c r="P288" s="79"/>
      <c r="Q288" s="79"/>
      <c r="R288" s="79"/>
    </row>
    <row r="289" spans="1:26" x14ac:dyDescent="0.2">
      <c r="B289" s="138">
        <f>$J$16</f>
        <v>15</v>
      </c>
      <c r="C289" s="86" t="s">
        <v>396</v>
      </c>
      <c r="D289" s="87" t="str">
        <f>IF(C289&lt;&gt;"",VLOOKUP(C289,'Dummy Table'!$B$3:$C$30,2,FALSE),"")</f>
        <v>México</v>
      </c>
      <c r="E289" s="87" t="str">
        <f>IF(C289&lt;&gt;"",VLOOKUP(C289,'Dummy Table'!$B$3:$D$30,3,FALSE),"")</f>
        <v>Cadillac</v>
      </c>
      <c r="F289" s="139"/>
      <c r="G289" s="75"/>
      <c r="H289" s="75"/>
      <c r="I289" s="75"/>
      <c r="K289" s="74"/>
    </row>
    <row r="290" spans="1:26" x14ac:dyDescent="0.2">
      <c r="B290" s="138">
        <f>$J$17</f>
        <v>16</v>
      </c>
      <c r="C290" s="86" t="s">
        <v>328</v>
      </c>
      <c r="D290" s="87" t="str">
        <f>IF(C290&lt;&gt;"",VLOOKUP(C290,'Dummy Table'!$B$3:$C$30,2,FALSE),"")</f>
        <v>Espanha</v>
      </c>
      <c r="E290" s="87" t="str">
        <f>IF(C290&lt;&gt;"",VLOOKUP(C290,'Dummy Table'!$B$3:$D$30,3,FALSE),"")</f>
        <v>Williams</v>
      </c>
      <c r="F290" s="139" t="s">
        <v>427</v>
      </c>
      <c r="G290" s="75"/>
      <c r="H290" s="75"/>
      <c r="I290" s="75"/>
      <c r="K290" s="74"/>
    </row>
    <row r="291" spans="1:26" x14ac:dyDescent="0.2">
      <c r="B291" s="138">
        <f>$J$18</f>
        <v>17</v>
      </c>
      <c r="C291" s="86" t="s">
        <v>307</v>
      </c>
      <c r="D291" s="87" t="str">
        <f>IF(C291&lt;&gt;"",VLOOKUP(C291,'Dummy Table'!$B$3:$C$30,2,FALSE),"")</f>
        <v>Mônaco</v>
      </c>
      <c r="E291" s="87" t="str">
        <f>IF(C291&lt;&gt;"",VLOOKUP(C291,'Dummy Table'!$B$3:$D$30,3,FALSE),"")</f>
        <v>Ferrari</v>
      </c>
      <c r="F291" s="139" t="s">
        <v>427</v>
      </c>
      <c r="G291" s="75"/>
      <c r="H291" s="75"/>
      <c r="I291" s="75"/>
    </row>
    <row r="292" spans="1:26" x14ac:dyDescent="0.2">
      <c r="B292" s="138">
        <f>$J$19</f>
        <v>18</v>
      </c>
      <c r="C292" s="86" t="s">
        <v>305</v>
      </c>
      <c r="D292" s="87" t="str">
        <f>IF(C292&lt;&gt;"",VLOOKUP(C292,'Dummy Table'!$B$3:$C$30,2,FALSE),"")</f>
        <v>Canadá</v>
      </c>
      <c r="E292" s="87" t="str">
        <f>IF(C292&lt;&gt;"",VLOOKUP(C292,'Dummy Table'!$B$3:$D$30,3,FALSE),"")</f>
        <v>Aston Martin</v>
      </c>
      <c r="F292" s="139" t="s">
        <v>427</v>
      </c>
      <c r="G292" s="75"/>
      <c r="H292" s="75"/>
      <c r="I292" s="75"/>
      <c r="K292" s="79"/>
    </row>
    <row r="293" spans="1:26" x14ac:dyDescent="0.2">
      <c r="B293" s="138">
        <f>$J$20</f>
        <v>19</v>
      </c>
      <c r="C293" s="86" t="s">
        <v>310</v>
      </c>
      <c r="D293" s="87" t="str">
        <f>IF(C293&lt;&gt;"",VLOOKUP(C293,'Dummy Table'!$B$3:$C$30,2,FALSE),"")</f>
        <v>Inglaterra</v>
      </c>
      <c r="E293" s="87" t="str">
        <f>IF(C293&lt;&gt;"",VLOOKUP(C293,'Dummy Table'!$B$3:$D$30,3,FALSE),"")</f>
        <v>McLaren</v>
      </c>
      <c r="F293" s="139" t="s">
        <v>427</v>
      </c>
      <c r="G293" s="75"/>
      <c r="H293" s="75"/>
      <c r="I293" s="75"/>
    </row>
    <row r="294" spans="1:26" x14ac:dyDescent="0.2">
      <c r="B294" s="138">
        <f>$J$21</f>
        <v>20</v>
      </c>
      <c r="C294" s="86" t="s">
        <v>325</v>
      </c>
      <c r="D294" s="87" t="str">
        <f>IF(C294&lt;&gt;"",VLOOKUP(C294,'Dummy Table'!$B$3:$C$30,2,FALSE),"")</f>
        <v>Inglaterra</v>
      </c>
      <c r="E294" s="87" t="str">
        <f>IF(C294&lt;&gt;"",VLOOKUP(C294,'Dummy Table'!$B$3:$D$30,3,FALSE),"")</f>
        <v>Haas</v>
      </c>
      <c r="F294" s="139" t="s">
        <v>427</v>
      </c>
      <c r="G294" s="75"/>
      <c r="H294" s="75"/>
      <c r="I294" s="75"/>
      <c r="K294" s="74"/>
    </row>
    <row r="295" spans="1:26" ht="12.75" customHeight="1" x14ac:dyDescent="0.2">
      <c r="B295" s="138">
        <f>$J$22</f>
        <v>21</v>
      </c>
      <c r="C295" s="86" t="s">
        <v>397</v>
      </c>
      <c r="D295" s="87" t="str">
        <f>IF(C295&lt;&gt;"",VLOOKUP(C295,'Dummy Table'!$B$3:$C$30,2,FALSE),"")</f>
        <v>Finlândia</v>
      </c>
      <c r="E295" s="87" t="str">
        <f>IF(C295&lt;&gt;"",VLOOKUP(C295,'Dummy Table'!$B$3:$D$30,3,FALSE),"")</f>
        <v>Cadillac</v>
      </c>
      <c r="F295" s="139" t="s">
        <v>427</v>
      </c>
      <c r="G295" s="75"/>
      <c r="H295" s="75"/>
      <c r="I295" s="75"/>
      <c r="K295" s="74"/>
    </row>
    <row r="296" spans="1:26" ht="12.75" customHeight="1" x14ac:dyDescent="0.2">
      <c r="B296" s="138">
        <f>$J$23</f>
        <v>22</v>
      </c>
      <c r="C296" s="86" t="s">
        <v>299</v>
      </c>
      <c r="D296" s="87" t="str">
        <f>IF(C296&lt;&gt;"",VLOOKUP(C296,'Dummy Table'!$B$3:$C$30,2,FALSE),"")</f>
        <v>Holanda</v>
      </c>
      <c r="E296" s="87" t="str">
        <f>IF(C296&lt;&gt;"",VLOOKUP(C296,'Dummy Table'!$B$3:$D$30,3,FALSE),"")</f>
        <v>Red Bull</v>
      </c>
      <c r="F296" s="139" t="s">
        <v>427</v>
      </c>
      <c r="G296" s="75"/>
      <c r="H296" s="75"/>
      <c r="I296" s="75"/>
      <c r="K296" s="74"/>
    </row>
    <row r="297" spans="1:26" s="80" customFormat="1" ht="12.75" hidden="1" customHeight="1" x14ac:dyDescent="0.2">
      <c r="A297" s="91"/>
      <c r="B297" s="138">
        <f>IF(F297="",$J$24,"Ret")</f>
        <v>23</v>
      </c>
      <c r="C297" s="78"/>
      <c r="D297" s="68" t="str">
        <f>IF(C297&lt;&gt;"",VLOOKUP(C297,'Dummy Table'!$B$3:$C$30,2,FALSE),"")</f>
        <v/>
      </c>
      <c r="E297" s="68" t="str">
        <f>IF(C297&lt;&gt;"",VLOOKUP(C297,'Dummy Table'!$B$3:$D$30,3,FALSE),"")</f>
        <v/>
      </c>
      <c r="F297" s="140"/>
      <c r="G297" s="75"/>
      <c r="H297" s="75"/>
      <c r="I297" s="75"/>
      <c r="J297" s="76"/>
      <c r="K297" s="74"/>
      <c r="L297" s="79"/>
      <c r="M297" s="72"/>
      <c r="N297" s="72"/>
      <c r="O297" s="72"/>
      <c r="P297" s="71"/>
      <c r="Q297" s="71"/>
      <c r="R297" s="71"/>
      <c r="S297" s="79"/>
      <c r="T297" s="79"/>
      <c r="U297" s="79"/>
      <c r="V297" s="79"/>
      <c r="W297" s="79"/>
      <c r="X297" s="79"/>
      <c r="Y297" s="79"/>
      <c r="Z297" s="79"/>
    </row>
    <row r="298" spans="1:26" ht="12.75" hidden="1" customHeight="1" x14ac:dyDescent="0.2">
      <c r="B298" s="138" t="str">
        <f>IF(F298="",$J$25,"Ret")</f>
        <v/>
      </c>
      <c r="C298" s="78"/>
      <c r="D298" s="68" t="str">
        <f>IF(C298&lt;&gt;"",VLOOKUP(C298,'Dummy Table'!$B$3:$C$30,2,FALSE),"")</f>
        <v/>
      </c>
      <c r="E298" s="68" t="str">
        <f>IF(C298&lt;&gt;"",VLOOKUP(C298,'Dummy Table'!$B$3:$D$30,3,FALSE),"")</f>
        <v/>
      </c>
      <c r="F298" s="140"/>
      <c r="G298" s="75"/>
      <c r="H298" s="75"/>
      <c r="I298" s="75"/>
      <c r="K298" s="74"/>
    </row>
    <row r="299" spans="1:26" x14ac:dyDescent="0.2">
      <c r="B299" s="141" t="s">
        <v>243</v>
      </c>
      <c r="C299" s="88" t="s">
        <v>324</v>
      </c>
      <c r="D299" s="89" t="str">
        <f>IF(C299&lt;&gt;"",VLOOKUP(C299,'Dummy Table'!$B$3:$C$30,2,FALSE),"")</f>
        <v>Itália</v>
      </c>
      <c r="E299" s="89" t="str">
        <f>IF(C299&lt;&gt;"",VLOOKUP(C299,'Dummy Table'!$B$3:$D$30,3,FALSE),"")</f>
        <v>Mercedes</v>
      </c>
      <c r="F299" s="142"/>
      <c r="H299" s="75"/>
      <c r="K299" s="74"/>
    </row>
    <row r="300" spans="1:26" ht="13.5" thickBot="1" x14ac:dyDescent="0.25">
      <c r="B300" s="143" t="s">
        <v>234</v>
      </c>
      <c r="C300" s="144" t="s">
        <v>324</v>
      </c>
      <c r="D300" s="145" t="str">
        <f>IF(C300&lt;&gt;"",VLOOKUP(C300,'Dummy Table'!$B$3:$C$30,2,FALSE),"")</f>
        <v>Itália</v>
      </c>
      <c r="E300" s="145" t="str">
        <f>IF(C300&lt;&gt;"",VLOOKUP(C300,'Dummy Table'!$B$3:$D$30,3,FALSE),"")</f>
        <v>Mercedes</v>
      </c>
      <c r="F300" s="146"/>
      <c r="H300" s="69">
        <f>IF(C300="",F300,0)</f>
        <v>0</v>
      </c>
      <c r="K300" s="74"/>
    </row>
    <row r="301" spans="1:26" x14ac:dyDescent="0.2">
      <c r="A301" s="91">
        <v>9</v>
      </c>
      <c r="B301" s="132">
        <f>VLOOKUP($A301,'Calendário atual'!$A$2:$E$30,2,FALSE)</f>
        <v>46187</v>
      </c>
      <c r="C301" s="175" t="str">
        <f>VLOOKUP($A301,'Calendário atual'!$A$2:$E$30,4,FALSE)</f>
        <v>FORMULA 1 MSC CRUISES GRAN PREMIO DE BARCELONA-CATALUNYA 2026</v>
      </c>
      <c r="D301" s="175"/>
      <c r="E301" s="175"/>
      <c r="F301" s="133" t="str">
        <f>VLOOKUP($A301,'Calendário atual'!$A$2:$E$30,3,FALSE)</f>
        <v>Espanha</v>
      </c>
      <c r="G301" s="75"/>
      <c r="H301" s="75"/>
      <c r="I301" s="75"/>
      <c r="K301" s="74"/>
    </row>
    <row r="302" spans="1:26" x14ac:dyDescent="0.2">
      <c r="B302" s="134" t="s">
        <v>14</v>
      </c>
      <c r="C302" s="90" t="s">
        <v>29</v>
      </c>
      <c r="D302" s="90" t="s">
        <v>16</v>
      </c>
      <c r="E302" s="90" t="s">
        <v>17</v>
      </c>
      <c r="F302" s="135" t="s">
        <v>18</v>
      </c>
      <c r="K302" s="74"/>
      <c r="M302" s="82"/>
      <c r="N302" s="82"/>
      <c r="O302" s="82"/>
      <c r="P302" s="79"/>
      <c r="Q302" s="79"/>
      <c r="R302" s="79"/>
    </row>
    <row r="303" spans="1:26" x14ac:dyDescent="0.2">
      <c r="B303" s="136">
        <f>$J$2</f>
        <v>1</v>
      </c>
      <c r="C303" s="86" t="s">
        <v>1</v>
      </c>
      <c r="D303" s="87" t="str">
        <f>IF(C303&lt;&gt;"",VLOOKUP(C303,'Dummy Table'!$B$3:$C$30,2,FALSE),"")</f>
        <v>Inglaterra</v>
      </c>
      <c r="E303" s="87" t="str">
        <f>IF(C303&lt;&gt;"",VLOOKUP(C303,'Dummy Table'!$B$3:$D$30,3,FALSE),"")</f>
        <v>Ferrari</v>
      </c>
      <c r="F303" s="137">
        <v>25</v>
      </c>
      <c r="G303" s="69">
        <f>IF(C303="",F303,0)</f>
        <v>0</v>
      </c>
      <c r="H303" s="69">
        <f>IF(C303="",F303,0)</f>
        <v>0</v>
      </c>
      <c r="I303" s="69">
        <f>IF(C303="",1,0)</f>
        <v>0</v>
      </c>
      <c r="K303" s="74"/>
    </row>
    <row r="304" spans="1:26" x14ac:dyDescent="0.2">
      <c r="B304" s="138">
        <f>$J$3</f>
        <v>2</v>
      </c>
      <c r="C304" s="86" t="s">
        <v>353</v>
      </c>
      <c r="D304" s="87" t="str">
        <f>IF(C304&lt;&gt;"",VLOOKUP(C304,'Dummy Table'!$B$3:$C$30,2,FALSE),"")</f>
        <v>Inglaterra</v>
      </c>
      <c r="E304" s="87" t="str">
        <f>IF(C304&lt;&gt;"",VLOOKUP(C304,'Dummy Table'!$B$3:$D$30,3,FALSE),"")</f>
        <v>Mercedes</v>
      </c>
      <c r="F304" s="137">
        <v>18</v>
      </c>
      <c r="H304" s="69">
        <f>IF(C304="",F304,0)</f>
        <v>0</v>
      </c>
      <c r="K304" s="74"/>
    </row>
    <row r="305" spans="1:26" x14ac:dyDescent="0.2">
      <c r="B305" s="138">
        <f>$J$4</f>
        <v>3</v>
      </c>
      <c r="C305" s="86" t="s">
        <v>310</v>
      </c>
      <c r="D305" s="87" t="str">
        <f>IF(C305&lt;&gt;"",VLOOKUP(C305,'Dummy Table'!$B$3:$C$30,2,FALSE),"")</f>
        <v>Inglaterra</v>
      </c>
      <c r="E305" s="87" t="str">
        <f>IF(C305&lt;&gt;"",VLOOKUP(C305,'Dummy Table'!$B$3:$D$30,3,FALSE),"")</f>
        <v>McLaren</v>
      </c>
      <c r="F305" s="137">
        <v>15</v>
      </c>
    </row>
    <row r="306" spans="1:26" x14ac:dyDescent="0.2">
      <c r="B306" s="138">
        <f>$J$5</f>
        <v>4</v>
      </c>
      <c r="C306" s="86" t="s">
        <v>299</v>
      </c>
      <c r="D306" s="87" t="str">
        <f>IF(C306&lt;&gt;"",VLOOKUP(C306,'Dummy Table'!$B$3:$C$30,2,FALSE),"")</f>
        <v>Holanda</v>
      </c>
      <c r="E306" s="87" t="str">
        <f>IF(C306&lt;&gt;"",VLOOKUP(C306,'Dummy Table'!$B$3:$D$30,3,FALSE),"")</f>
        <v>Red Bull</v>
      </c>
      <c r="F306" s="137">
        <v>12</v>
      </c>
      <c r="K306" s="79"/>
    </row>
    <row r="307" spans="1:26" x14ac:dyDescent="0.2">
      <c r="B307" s="138">
        <f>$J$6</f>
        <v>5</v>
      </c>
      <c r="C307" s="86" t="s">
        <v>323</v>
      </c>
      <c r="D307" s="87" t="str">
        <f>IF(C307&lt;&gt;"",VLOOKUP(C307,'Dummy Table'!$B$3:$C$30,2,FALSE),"")</f>
        <v>Austrália</v>
      </c>
      <c r="E307" s="87" t="str">
        <f>IF(C307&lt;&gt;"",VLOOKUP(C307,'Dummy Table'!$B$3:$D$30,3,FALSE),"")</f>
        <v>McLaren</v>
      </c>
      <c r="F307" s="137">
        <v>10</v>
      </c>
    </row>
    <row r="308" spans="1:26" x14ac:dyDescent="0.2">
      <c r="B308" s="138">
        <f>$J$7</f>
        <v>6</v>
      </c>
      <c r="C308" s="86" t="s">
        <v>406</v>
      </c>
      <c r="D308" s="87" t="str">
        <f>IF(C308&lt;&gt;"",VLOOKUP(C308,'Dummy Table'!$B$3:$C$30,2,FALSE),"")</f>
        <v>França</v>
      </c>
      <c r="E308" s="87" t="str">
        <f>IF(C308&lt;&gt;"",VLOOKUP(C308,'Dummy Table'!$B$3:$D$30,3,FALSE),"")</f>
        <v>Red Bull</v>
      </c>
      <c r="F308" s="137">
        <v>8</v>
      </c>
      <c r="K308" s="74"/>
    </row>
    <row r="309" spans="1:26" x14ac:dyDescent="0.2">
      <c r="B309" s="138">
        <f>$J$8</f>
        <v>7</v>
      </c>
      <c r="C309" s="86" t="s">
        <v>306</v>
      </c>
      <c r="D309" s="87" t="str">
        <f>IF(C309&lt;&gt;"",VLOOKUP(C309,'Dummy Table'!$B$3:$C$30,2,FALSE),"")</f>
        <v>França</v>
      </c>
      <c r="E309" s="87" t="str">
        <f>IF(C309&lt;&gt;"",VLOOKUP(C309,'Dummy Table'!$B$3:$D$30,3,FALSE),"")</f>
        <v>Alpine</v>
      </c>
      <c r="F309" s="137">
        <v>6</v>
      </c>
      <c r="K309" s="74"/>
    </row>
    <row r="310" spans="1:26" x14ac:dyDescent="0.2">
      <c r="B310" s="138">
        <f>$J$9</f>
        <v>8</v>
      </c>
      <c r="C310" s="86" t="s">
        <v>408</v>
      </c>
      <c r="D310" s="87" t="str">
        <f>IF(C310&lt;&gt;"",VLOOKUP(C310,'Dummy Table'!$B$3:$C$30,2,FALSE),"")</f>
        <v>Austrália</v>
      </c>
      <c r="E310" s="87" t="str">
        <f>IF(C310&lt;&gt;"",VLOOKUP(C310,'Dummy Table'!$B$3:$D$30,3,FALSE),"")</f>
        <v>Racing Bulls</v>
      </c>
      <c r="F310" s="137">
        <v>4</v>
      </c>
      <c r="K310" s="74"/>
    </row>
    <row r="311" spans="1:26" s="80" customFormat="1" x14ac:dyDescent="0.2">
      <c r="A311" s="91"/>
      <c r="B311" s="138">
        <f>$J$10</f>
        <v>9</v>
      </c>
      <c r="C311" s="86" t="s">
        <v>407</v>
      </c>
      <c r="D311" s="87" t="str">
        <f>IF(C311&lt;&gt;"",VLOOKUP(C311,'Dummy Table'!$B$3:$C$30,2,FALSE),"")</f>
        <v>Inglaterra</v>
      </c>
      <c r="E311" s="87" t="str">
        <f>IF(C311&lt;&gt;"",VLOOKUP(C311,'Dummy Table'!$B$3:$D$30,3,FALSE),"")</f>
        <v>Racing Bulls</v>
      </c>
      <c r="F311" s="137">
        <v>2</v>
      </c>
      <c r="G311" s="69"/>
      <c r="H311" s="69"/>
      <c r="I311" s="69"/>
      <c r="J311" s="76"/>
      <c r="K311" s="74"/>
      <c r="L311" s="79"/>
      <c r="M311" s="72"/>
      <c r="N311" s="72"/>
      <c r="O311" s="72"/>
      <c r="P311" s="71"/>
      <c r="Q311" s="71"/>
      <c r="R311" s="71"/>
      <c r="S311" s="79"/>
      <c r="T311" s="79"/>
      <c r="U311" s="79"/>
      <c r="V311" s="79"/>
      <c r="W311" s="79"/>
      <c r="X311" s="79"/>
      <c r="Y311" s="79"/>
      <c r="Z311" s="79"/>
    </row>
    <row r="312" spans="1:26" x14ac:dyDescent="0.2">
      <c r="B312" s="138">
        <f>$J$11</f>
        <v>10</v>
      </c>
      <c r="C312" s="86" t="s">
        <v>412</v>
      </c>
      <c r="D312" s="87" t="str">
        <f>IF(C312&lt;&gt;"",VLOOKUP(C312,'Dummy Table'!$B$3:$C$30,2,FALSE),"")</f>
        <v>Argentina</v>
      </c>
      <c r="E312" s="87" t="str">
        <f>IF(C312&lt;&gt;"",VLOOKUP(C312,'Dummy Table'!$B$3:$D$30,3,FALSE),"")</f>
        <v>Alpine</v>
      </c>
      <c r="F312" s="137">
        <v>1</v>
      </c>
      <c r="K312" s="74"/>
    </row>
    <row r="313" spans="1:26" x14ac:dyDescent="0.2">
      <c r="B313" s="138">
        <f>$J$12</f>
        <v>11</v>
      </c>
      <c r="C313" s="86" t="s">
        <v>329</v>
      </c>
      <c r="D313" s="87" t="str">
        <f>IF(C313&lt;&gt;"",VLOOKUP(C313,'Dummy Table'!$B$3:$C$30,2,FALSE),"")</f>
        <v>Brasil</v>
      </c>
      <c r="E313" s="87" t="str">
        <f>IF(C313&lt;&gt;"",VLOOKUP(C313,'Dummy Table'!$B$3:$D$30,3,FALSE),"")</f>
        <v>Audi</v>
      </c>
      <c r="F313" s="139"/>
      <c r="K313" s="74"/>
    </row>
    <row r="314" spans="1:26" x14ac:dyDescent="0.2">
      <c r="B314" s="138">
        <f>$J$13</f>
        <v>12</v>
      </c>
      <c r="C314" s="86" t="s">
        <v>328</v>
      </c>
      <c r="D314" s="87" t="str">
        <f>IF(C314&lt;&gt;"",VLOOKUP(C314,'Dummy Table'!$B$3:$C$30,2,FALSE),"")</f>
        <v>Espanha</v>
      </c>
      <c r="E314" s="87" t="str">
        <f>IF(C314&lt;&gt;"",VLOOKUP(C314,'Dummy Table'!$B$3:$D$30,3,FALSE),"")</f>
        <v>Williams</v>
      </c>
      <c r="F314" s="139"/>
      <c r="K314" s="74"/>
    </row>
    <row r="315" spans="1:26" x14ac:dyDescent="0.2">
      <c r="B315" s="138">
        <f>$J$14</f>
        <v>13</v>
      </c>
      <c r="C315" s="86" t="s">
        <v>313</v>
      </c>
      <c r="D315" s="87" t="str">
        <f>IF(C315&lt;&gt;"",VLOOKUP(C315,'Dummy Table'!$B$3:$C$30,2,FALSE),"")</f>
        <v>França</v>
      </c>
      <c r="E315" s="87" t="str">
        <f>IF(C315&lt;&gt;"",VLOOKUP(C315,'Dummy Table'!$B$3:$D$30,3,FALSE),"")</f>
        <v>Haas</v>
      </c>
      <c r="F315" s="139"/>
      <c r="G315" s="75"/>
      <c r="H315" s="75"/>
      <c r="I315" s="75"/>
      <c r="K315" s="74"/>
    </row>
    <row r="316" spans="1:26" x14ac:dyDescent="0.2">
      <c r="B316" s="138">
        <f>$J$15</f>
        <v>14</v>
      </c>
      <c r="C316" s="86" t="s">
        <v>396</v>
      </c>
      <c r="D316" s="87" t="str">
        <f>IF(C316&lt;&gt;"",VLOOKUP(C316,'Dummy Table'!$B$3:$C$30,2,FALSE),"")</f>
        <v>México</v>
      </c>
      <c r="E316" s="87" t="str">
        <f>IF(C316&lt;&gt;"",VLOOKUP(C316,'Dummy Table'!$B$3:$D$30,3,FALSE),"")</f>
        <v>Cadillac</v>
      </c>
      <c r="F316" s="139"/>
      <c r="G316" s="75"/>
      <c r="H316" s="75"/>
      <c r="I316" s="75"/>
      <c r="K316" s="74"/>
      <c r="M316" s="82"/>
      <c r="N316" s="82"/>
      <c r="O316" s="82"/>
      <c r="P316" s="79"/>
      <c r="Q316" s="79"/>
      <c r="R316" s="79"/>
    </row>
    <row r="317" spans="1:26" x14ac:dyDescent="0.2">
      <c r="B317" s="138">
        <f>$J$16</f>
        <v>15</v>
      </c>
      <c r="C317" s="86" t="s">
        <v>307</v>
      </c>
      <c r="D317" s="87" t="str">
        <f>IF(C317&lt;&gt;"",VLOOKUP(C317,'Dummy Table'!$B$3:$C$30,2,FALSE),"")</f>
        <v>Mônaco</v>
      </c>
      <c r="E317" s="87" t="str">
        <f>IF(C317&lt;&gt;"",VLOOKUP(C317,'Dummy Table'!$B$3:$D$30,3,FALSE),"")</f>
        <v>Ferrari</v>
      </c>
      <c r="F317" s="139" t="s">
        <v>427</v>
      </c>
      <c r="G317" s="75"/>
      <c r="H317" s="75"/>
      <c r="I317" s="75"/>
      <c r="K317" s="74"/>
    </row>
    <row r="318" spans="1:26" x14ac:dyDescent="0.2">
      <c r="B318" s="138">
        <f>$J$17</f>
        <v>16</v>
      </c>
      <c r="C318" s="86" t="s">
        <v>324</v>
      </c>
      <c r="D318" s="87" t="str">
        <f>IF(C318&lt;&gt;"",VLOOKUP(C318,'Dummy Table'!$B$3:$C$30,2,FALSE),"")</f>
        <v>Itália</v>
      </c>
      <c r="E318" s="87" t="str">
        <f>IF(C318&lt;&gt;"",VLOOKUP(C318,'Dummy Table'!$B$3:$D$30,3,FALSE),"")</f>
        <v>Mercedes</v>
      </c>
      <c r="F318" s="139" t="s">
        <v>427</v>
      </c>
      <c r="G318" s="75"/>
      <c r="H318" s="75"/>
      <c r="I318" s="75"/>
      <c r="K318" s="74"/>
    </row>
    <row r="319" spans="1:26" x14ac:dyDescent="0.2">
      <c r="B319" s="138">
        <f>$J$18</f>
        <v>17</v>
      </c>
      <c r="C319" s="86" t="s">
        <v>325</v>
      </c>
      <c r="D319" s="87" t="str">
        <f>IF(C319&lt;&gt;"",VLOOKUP(C319,'Dummy Table'!$B$3:$C$30,2,FALSE),"")</f>
        <v>Inglaterra</v>
      </c>
      <c r="E319" s="87" t="str">
        <f>IF(C319&lt;&gt;"",VLOOKUP(C319,'Dummy Table'!$B$3:$D$30,3,FALSE),"")</f>
        <v>Haas</v>
      </c>
      <c r="F319" s="139" t="s">
        <v>427</v>
      </c>
      <c r="G319" s="75"/>
      <c r="H319" s="75"/>
      <c r="I319" s="75"/>
    </row>
    <row r="320" spans="1:26" x14ac:dyDescent="0.2">
      <c r="B320" s="138">
        <f>$J$19</f>
        <v>18</v>
      </c>
      <c r="C320" s="86" t="s">
        <v>309</v>
      </c>
      <c r="D320" s="87" t="str">
        <f>IF(C320&lt;&gt;"",VLOOKUP(C320,'Dummy Table'!$B$3:$C$30,2,FALSE),"")</f>
        <v>Tailandia</v>
      </c>
      <c r="E320" s="87" t="str">
        <f>IF(C320&lt;&gt;"",VLOOKUP(C320,'Dummy Table'!$B$3:$D$30,3,FALSE),"")</f>
        <v>Williams</v>
      </c>
      <c r="F320" s="139" t="s">
        <v>427</v>
      </c>
      <c r="G320" s="75"/>
      <c r="H320" s="75"/>
      <c r="I320" s="75"/>
      <c r="K320" s="79"/>
    </row>
    <row r="321" spans="1:26" x14ac:dyDescent="0.2">
      <c r="B321" s="138">
        <f>$J$20</f>
        <v>19</v>
      </c>
      <c r="C321" s="86" t="s">
        <v>30</v>
      </c>
      <c r="D321" s="87" t="str">
        <f>IF(C321&lt;&gt;"",VLOOKUP(C321,'Dummy Table'!$B$3:$C$30,2,FALSE),"")</f>
        <v>Espanha</v>
      </c>
      <c r="E321" s="87" t="str">
        <f>IF(C321&lt;&gt;"",VLOOKUP(C321,'Dummy Table'!$B$3:$D$30,3,FALSE),"")</f>
        <v>Aston Martin</v>
      </c>
      <c r="F321" s="139" t="s">
        <v>427</v>
      </c>
      <c r="G321" s="75"/>
      <c r="H321" s="75"/>
      <c r="I321" s="75"/>
    </row>
    <row r="322" spans="1:26" x14ac:dyDescent="0.2">
      <c r="B322" s="138">
        <f>$J$21</f>
        <v>20</v>
      </c>
      <c r="C322" s="86" t="s">
        <v>252</v>
      </c>
      <c r="D322" s="87" t="str">
        <f>IF(C322&lt;&gt;"",VLOOKUP(C322,'Dummy Table'!$B$3:$C$30,2,FALSE),"")</f>
        <v>Alemanha</v>
      </c>
      <c r="E322" s="87" t="str">
        <f>IF(C322&lt;&gt;"",VLOOKUP(C322,'Dummy Table'!$B$3:$D$30,3,FALSE),"")</f>
        <v>Audi</v>
      </c>
      <c r="F322" s="139" t="s">
        <v>427</v>
      </c>
      <c r="G322" s="75"/>
      <c r="H322" s="75"/>
      <c r="I322" s="75"/>
      <c r="K322" s="74"/>
    </row>
    <row r="323" spans="1:26" ht="12.75" customHeight="1" x14ac:dyDescent="0.2">
      <c r="B323" s="138">
        <f>$J$22</f>
        <v>21</v>
      </c>
      <c r="C323" s="86" t="s">
        <v>397</v>
      </c>
      <c r="D323" s="87" t="str">
        <f>IF(C323&lt;&gt;"",VLOOKUP(C323,'Dummy Table'!$B$3:$C$30,2,FALSE),"")</f>
        <v>Finlândia</v>
      </c>
      <c r="E323" s="87" t="str">
        <f>IF(C323&lt;&gt;"",VLOOKUP(C323,'Dummy Table'!$B$3:$D$30,3,FALSE),"")</f>
        <v>Cadillac</v>
      </c>
      <c r="F323" s="139" t="s">
        <v>427</v>
      </c>
      <c r="G323" s="75"/>
      <c r="H323" s="75"/>
      <c r="I323" s="75"/>
      <c r="K323" s="74"/>
    </row>
    <row r="324" spans="1:26" ht="12.75" customHeight="1" x14ac:dyDescent="0.2">
      <c r="B324" s="138">
        <f>$J$23</f>
        <v>22</v>
      </c>
      <c r="C324" s="86" t="s">
        <v>305</v>
      </c>
      <c r="D324" s="87" t="str">
        <f>IF(C324&lt;&gt;"",VLOOKUP(C324,'Dummy Table'!$B$3:$C$30,2,FALSE),"")</f>
        <v>Canadá</v>
      </c>
      <c r="E324" s="87" t="str">
        <f>IF(C324&lt;&gt;"",VLOOKUP(C324,'Dummy Table'!$B$3:$D$30,3,FALSE),"")</f>
        <v>Aston Martin</v>
      </c>
      <c r="F324" s="139" t="s">
        <v>427</v>
      </c>
      <c r="G324" s="75"/>
      <c r="H324" s="75"/>
      <c r="I324" s="75"/>
      <c r="K324" s="74"/>
    </row>
    <row r="325" spans="1:26" s="80" customFormat="1" ht="12.75" hidden="1" customHeight="1" x14ac:dyDescent="0.2">
      <c r="A325" s="91"/>
      <c r="B325" s="138">
        <f>IF(F325="",$J$24,"Ret")</f>
        <v>23</v>
      </c>
      <c r="C325" s="78"/>
      <c r="D325" s="68" t="str">
        <f>IF(C325&lt;&gt;"",VLOOKUP(C325,'Dummy Table'!$B$3:$C$30,2,FALSE),"")</f>
        <v/>
      </c>
      <c r="E325" s="68" t="str">
        <f>IF(C325&lt;&gt;"",VLOOKUP(C325,'Dummy Table'!$B$3:$D$30,3,FALSE),"")</f>
        <v/>
      </c>
      <c r="F325" s="140"/>
      <c r="G325" s="75"/>
      <c r="H325" s="75"/>
      <c r="I325" s="75"/>
      <c r="J325" s="76"/>
      <c r="K325" s="74"/>
      <c r="L325" s="79"/>
      <c r="M325" s="72"/>
      <c r="N325" s="72"/>
      <c r="O325" s="72"/>
      <c r="P325" s="71"/>
      <c r="Q325" s="71"/>
      <c r="R325" s="71"/>
      <c r="S325" s="79"/>
      <c r="T325" s="79"/>
      <c r="U325" s="79"/>
      <c r="V325" s="79"/>
      <c r="W325" s="79"/>
      <c r="X325" s="79"/>
      <c r="Y325" s="79"/>
      <c r="Z325" s="79"/>
    </row>
    <row r="326" spans="1:26" ht="12.75" hidden="1" customHeight="1" x14ac:dyDescent="0.2">
      <c r="B326" s="138" t="str">
        <f>IF(F326="",$J$25,"Ret")</f>
        <v/>
      </c>
      <c r="C326" s="78"/>
      <c r="D326" s="68" t="str">
        <f>IF(C326&lt;&gt;"",VLOOKUP(C326,'Dummy Table'!$B$3:$C$30,2,FALSE),"")</f>
        <v/>
      </c>
      <c r="E326" s="68" t="str">
        <f>IF(C326&lt;&gt;"",VLOOKUP(C326,'Dummy Table'!$B$3:$D$30,3,FALSE),"")</f>
        <v/>
      </c>
      <c r="F326" s="140"/>
      <c r="G326" s="75"/>
      <c r="H326" s="75"/>
      <c r="I326" s="75"/>
      <c r="K326" s="74"/>
    </row>
    <row r="327" spans="1:26" x14ac:dyDescent="0.2">
      <c r="B327" s="141" t="s">
        <v>243</v>
      </c>
      <c r="C327" s="88" t="s">
        <v>353</v>
      </c>
      <c r="D327" s="89" t="str">
        <f>IF(C327&lt;&gt;"",VLOOKUP(C327,'Dummy Table'!$B$3:$C$30,2,FALSE),"")</f>
        <v>Inglaterra</v>
      </c>
      <c r="E327" s="89" t="str">
        <f>IF(C327&lt;&gt;"",VLOOKUP(C327,'Dummy Table'!$B$3:$D$30,3,FALSE),"")</f>
        <v>Mercedes</v>
      </c>
      <c r="F327" s="142"/>
      <c r="H327" s="75"/>
      <c r="K327" s="74"/>
    </row>
    <row r="328" spans="1:26" ht="13.5" thickBot="1" x14ac:dyDescent="0.25">
      <c r="B328" s="143" t="s">
        <v>234</v>
      </c>
      <c r="C328" s="144" t="s">
        <v>1</v>
      </c>
      <c r="D328" s="145" t="str">
        <f>IF(C328&lt;&gt;"",VLOOKUP(C328,'Dummy Table'!$B$3:$C$30,2,FALSE),"")</f>
        <v>Inglaterra</v>
      </c>
      <c r="E328" s="145" t="str">
        <f>IF(C328&lt;&gt;"",VLOOKUP(C328,'Dummy Table'!$B$3:$D$30,3,FALSE),"")</f>
        <v>Ferrari</v>
      </c>
      <c r="F328" s="146"/>
      <c r="H328" s="69">
        <f>IF(C328="",F328,0)</f>
        <v>0</v>
      </c>
      <c r="K328" s="74"/>
    </row>
    <row r="329" spans="1:26" x14ac:dyDescent="0.2">
      <c r="A329" s="91">
        <v>10</v>
      </c>
      <c r="B329" s="132">
        <f>VLOOKUP($A329,'Calendário atual'!$A$2:$E$30,2,FALSE)</f>
        <v>46201</v>
      </c>
      <c r="C329" s="175" t="str">
        <f>VLOOKUP($A329,'Calendário atual'!$A$2:$E$30,4,FALSE)</f>
        <v>FORMULA 1 LENOVO AUSTRIAN GRAND PRIX 2026</v>
      </c>
      <c r="D329" s="175"/>
      <c r="E329" s="175"/>
      <c r="F329" s="133" t="str">
        <f>VLOOKUP($A329,'Calendário atual'!$A$2:$E$30,3,FALSE)</f>
        <v>Austria</v>
      </c>
      <c r="G329" s="75"/>
      <c r="H329" s="75"/>
      <c r="I329" s="75"/>
      <c r="K329" s="74"/>
    </row>
    <row r="330" spans="1:26" x14ac:dyDescent="0.2">
      <c r="B330" s="134" t="s">
        <v>14</v>
      </c>
      <c r="C330" s="90" t="s">
        <v>29</v>
      </c>
      <c r="D330" s="90" t="s">
        <v>16</v>
      </c>
      <c r="E330" s="90" t="s">
        <v>17</v>
      </c>
      <c r="F330" s="135" t="s">
        <v>18</v>
      </c>
      <c r="K330" s="74"/>
    </row>
    <row r="331" spans="1:26" x14ac:dyDescent="0.2">
      <c r="B331" s="136">
        <f>$J$2</f>
        <v>1</v>
      </c>
      <c r="C331" s="86" t="s">
        <v>353</v>
      </c>
      <c r="D331" s="87" t="str">
        <f>IF(C331&lt;&gt;"",VLOOKUP(C331,'Dummy Table'!$B$3:$C$30,2,FALSE),"")</f>
        <v>Inglaterra</v>
      </c>
      <c r="E331" s="87" t="str">
        <f>IF(C331&lt;&gt;"",VLOOKUP(C331,'Dummy Table'!$B$3:$D$30,3,FALSE),"")</f>
        <v>Mercedes</v>
      </c>
      <c r="F331" s="137">
        <v>25</v>
      </c>
      <c r="G331" s="69">
        <f>IF(C331="",F331,0)</f>
        <v>0</v>
      </c>
      <c r="H331" s="69">
        <f>IF(C331="",F331,0)</f>
        <v>0</v>
      </c>
      <c r="I331" s="69">
        <f>IF(C331="",1,0)</f>
        <v>0</v>
      </c>
      <c r="K331" s="74"/>
    </row>
    <row r="332" spans="1:26" x14ac:dyDescent="0.2">
      <c r="B332" s="138">
        <f>$J$3</f>
        <v>2</v>
      </c>
      <c r="C332" s="86" t="s">
        <v>299</v>
      </c>
      <c r="D332" s="87" t="str">
        <f>IF(C332&lt;&gt;"",VLOOKUP(C332,'Dummy Table'!$B$3:$C$30,2,FALSE),"")</f>
        <v>Holanda</v>
      </c>
      <c r="E332" s="87" t="str">
        <f>IF(C332&lt;&gt;"",VLOOKUP(C332,'Dummy Table'!$B$3:$D$30,3,FALSE),"")</f>
        <v>Red Bull</v>
      </c>
      <c r="F332" s="137">
        <v>18</v>
      </c>
      <c r="H332" s="69">
        <f>IF(C332="",F332,0)</f>
        <v>0</v>
      </c>
      <c r="K332" s="74"/>
    </row>
    <row r="333" spans="1:26" x14ac:dyDescent="0.2">
      <c r="B333" s="138">
        <f>$J$4</f>
        <v>3</v>
      </c>
      <c r="C333" s="86" t="s">
        <v>324</v>
      </c>
      <c r="D333" s="87" t="str">
        <f>IF(C333&lt;&gt;"",VLOOKUP(C333,'Dummy Table'!$B$3:$C$30,2,FALSE),"")</f>
        <v>Itália</v>
      </c>
      <c r="E333" s="87" t="str">
        <f>IF(C333&lt;&gt;"",VLOOKUP(C333,'Dummy Table'!$B$3:$D$30,3,FALSE),"")</f>
        <v>Mercedes</v>
      </c>
      <c r="F333" s="137">
        <v>15</v>
      </c>
    </row>
    <row r="334" spans="1:26" x14ac:dyDescent="0.2">
      <c r="B334" s="138">
        <f>$J$5</f>
        <v>4</v>
      </c>
      <c r="C334" s="86" t="s">
        <v>323</v>
      </c>
      <c r="D334" s="87" t="str">
        <f>IF(C334&lt;&gt;"",VLOOKUP(C334,'Dummy Table'!$B$3:$C$30,2,FALSE),"")</f>
        <v>Austrália</v>
      </c>
      <c r="E334" s="87" t="str">
        <f>IF(C334&lt;&gt;"",VLOOKUP(C334,'Dummy Table'!$B$3:$D$30,3,FALSE),"")</f>
        <v>McLaren</v>
      </c>
      <c r="F334" s="137">
        <v>12</v>
      </c>
      <c r="K334" s="79"/>
    </row>
    <row r="335" spans="1:26" x14ac:dyDescent="0.2">
      <c r="B335" s="138">
        <f>$J$6</f>
        <v>5</v>
      </c>
      <c r="C335" s="86" t="s">
        <v>1</v>
      </c>
      <c r="D335" s="87" t="str">
        <f>IF(C335&lt;&gt;"",VLOOKUP(C335,'Dummy Table'!$B$3:$C$30,2,FALSE),"")</f>
        <v>Inglaterra</v>
      </c>
      <c r="E335" s="87" t="str">
        <f>IF(C335&lt;&gt;"",VLOOKUP(C335,'Dummy Table'!$B$3:$D$30,3,FALSE),"")</f>
        <v>Ferrari</v>
      </c>
      <c r="F335" s="137">
        <v>10</v>
      </c>
    </row>
    <row r="336" spans="1:26" x14ac:dyDescent="0.2">
      <c r="B336" s="138">
        <f>$J$7</f>
        <v>6</v>
      </c>
      <c r="C336" s="86" t="s">
        <v>406</v>
      </c>
      <c r="D336" s="87" t="str">
        <f>IF(C336&lt;&gt;"",VLOOKUP(C336,'Dummy Table'!$B$3:$C$30,2,FALSE),"")</f>
        <v>França</v>
      </c>
      <c r="E336" s="87" t="str">
        <f>IF(C336&lt;&gt;"",VLOOKUP(C336,'Dummy Table'!$B$3:$D$30,3,FALSE),"")</f>
        <v>Red Bull</v>
      </c>
      <c r="F336" s="137">
        <v>8</v>
      </c>
      <c r="K336" s="74"/>
    </row>
    <row r="337" spans="1:26" x14ac:dyDescent="0.2">
      <c r="B337" s="138">
        <f>$J$8</f>
        <v>7</v>
      </c>
      <c r="C337" s="86" t="s">
        <v>310</v>
      </c>
      <c r="D337" s="87" t="str">
        <f>IF(C337&lt;&gt;"",VLOOKUP(C337,'Dummy Table'!$B$3:$C$30,2,FALSE),"")</f>
        <v>Inglaterra</v>
      </c>
      <c r="E337" s="87" t="str">
        <f>IF(C337&lt;&gt;"",VLOOKUP(C337,'Dummy Table'!$B$3:$D$30,3,FALSE),"")</f>
        <v>McLaren</v>
      </c>
      <c r="F337" s="137">
        <v>6</v>
      </c>
      <c r="K337" s="74"/>
    </row>
    <row r="338" spans="1:26" x14ac:dyDescent="0.2">
      <c r="B338" s="138">
        <f>$J$9</f>
        <v>8</v>
      </c>
      <c r="C338" s="86" t="s">
        <v>307</v>
      </c>
      <c r="D338" s="87" t="str">
        <f>IF(C338&lt;&gt;"",VLOOKUP(C338,'Dummy Table'!$B$3:$C$30,2,FALSE),"")</f>
        <v>Mônaco</v>
      </c>
      <c r="E338" s="87" t="str">
        <f>IF(C338&lt;&gt;"",VLOOKUP(C338,'Dummy Table'!$B$3:$D$30,3,FALSE),"")</f>
        <v>Ferrari</v>
      </c>
      <c r="F338" s="137">
        <v>4</v>
      </c>
      <c r="K338" s="74"/>
    </row>
    <row r="339" spans="1:26" s="80" customFormat="1" x14ac:dyDescent="0.2">
      <c r="A339" s="91"/>
      <c r="B339" s="138">
        <f>$J$10</f>
        <v>9</v>
      </c>
      <c r="C339" s="86" t="s">
        <v>408</v>
      </c>
      <c r="D339" s="87" t="str">
        <f>IF(C339&lt;&gt;"",VLOOKUP(C339,'Dummy Table'!$B$3:$C$30,2,FALSE),"")</f>
        <v>Austrália</v>
      </c>
      <c r="E339" s="87" t="str">
        <f>IF(C339&lt;&gt;"",VLOOKUP(C339,'Dummy Table'!$B$3:$D$30,3,FALSE),"")</f>
        <v>Racing Bulls</v>
      </c>
      <c r="F339" s="137">
        <v>2</v>
      </c>
      <c r="G339" s="69"/>
      <c r="H339" s="69"/>
      <c r="I339" s="69"/>
      <c r="J339" s="76"/>
      <c r="K339" s="74"/>
      <c r="L339" s="79"/>
      <c r="M339" s="72"/>
      <c r="N339" s="72"/>
      <c r="O339" s="72"/>
      <c r="P339" s="71"/>
      <c r="Q339" s="71"/>
      <c r="R339" s="71"/>
      <c r="S339" s="79"/>
      <c r="T339" s="79"/>
      <c r="U339" s="79"/>
      <c r="V339" s="79"/>
      <c r="W339" s="79"/>
      <c r="X339" s="79"/>
      <c r="Y339" s="79"/>
      <c r="Z339" s="79"/>
    </row>
    <row r="340" spans="1:26" x14ac:dyDescent="0.2">
      <c r="B340" s="138">
        <f>$J$11</f>
        <v>10</v>
      </c>
      <c r="C340" s="86" t="s">
        <v>407</v>
      </c>
      <c r="D340" s="87" t="str">
        <f>IF(C340&lt;&gt;"",VLOOKUP(C340,'Dummy Table'!$B$3:$C$30,2,FALSE),"")</f>
        <v>Inglaterra</v>
      </c>
      <c r="E340" s="87" t="str">
        <f>IF(C340&lt;&gt;"",VLOOKUP(C340,'Dummy Table'!$B$3:$D$30,3,FALSE),"")</f>
        <v>Racing Bulls</v>
      </c>
      <c r="F340" s="137">
        <v>1</v>
      </c>
      <c r="K340" s="74"/>
    </row>
    <row r="341" spans="1:26" x14ac:dyDescent="0.2">
      <c r="B341" s="138">
        <f>$J$12</f>
        <v>11</v>
      </c>
      <c r="C341" s="86" t="s">
        <v>329</v>
      </c>
      <c r="D341" s="87" t="str">
        <f>IF(C341&lt;&gt;"",VLOOKUP(C341,'Dummy Table'!$B$3:$C$30,2,FALSE),"")</f>
        <v>Brasil</v>
      </c>
      <c r="E341" s="87" t="str">
        <f>IF(C341&lt;&gt;"",VLOOKUP(C341,'Dummy Table'!$B$3:$D$30,3,FALSE),"")</f>
        <v>Audi</v>
      </c>
      <c r="F341" s="139"/>
      <c r="K341" s="74"/>
    </row>
    <row r="342" spans="1:26" x14ac:dyDescent="0.2">
      <c r="B342" s="138">
        <f>$J$13</f>
        <v>12</v>
      </c>
      <c r="C342" s="86" t="s">
        <v>252</v>
      </c>
      <c r="D342" s="87" t="str">
        <f>IF(C342&lt;&gt;"",VLOOKUP(C342,'Dummy Table'!$B$3:$C$30,2,FALSE),"")</f>
        <v>Alemanha</v>
      </c>
      <c r="E342" s="87" t="str">
        <f>IF(C342&lt;&gt;"",VLOOKUP(C342,'Dummy Table'!$B$3:$D$30,3,FALSE),"")</f>
        <v>Audi</v>
      </c>
      <c r="F342" s="139"/>
      <c r="K342" s="74"/>
    </row>
    <row r="343" spans="1:26" x14ac:dyDescent="0.2">
      <c r="B343" s="138">
        <f>$J$14</f>
        <v>13</v>
      </c>
      <c r="C343" s="86" t="s">
        <v>306</v>
      </c>
      <c r="D343" s="87" t="str">
        <f>IF(C343&lt;&gt;"",VLOOKUP(C343,'Dummy Table'!$B$3:$C$30,2,FALSE),"")</f>
        <v>França</v>
      </c>
      <c r="E343" s="87" t="str">
        <f>IF(C343&lt;&gt;"",VLOOKUP(C343,'Dummy Table'!$B$3:$D$30,3,FALSE),"")</f>
        <v>Alpine</v>
      </c>
      <c r="F343" s="139"/>
      <c r="G343" s="75"/>
      <c r="H343" s="75"/>
      <c r="I343" s="75"/>
      <c r="K343" s="74"/>
    </row>
    <row r="344" spans="1:26" x14ac:dyDescent="0.2">
      <c r="B344" s="138">
        <f>$J$15</f>
        <v>14</v>
      </c>
      <c r="C344" s="86" t="s">
        <v>325</v>
      </c>
      <c r="D344" s="87" t="str">
        <f>IF(C344&lt;&gt;"",VLOOKUP(C344,'Dummy Table'!$B$3:$C$30,2,FALSE),"")</f>
        <v>Inglaterra</v>
      </c>
      <c r="E344" s="87" t="str">
        <f>IF(C344&lt;&gt;"",VLOOKUP(C344,'Dummy Table'!$B$3:$D$30,3,FALSE),"")</f>
        <v>Haas</v>
      </c>
      <c r="F344" s="139"/>
      <c r="G344" s="75"/>
      <c r="H344" s="75"/>
      <c r="I344" s="75"/>
      <c r="K344" s="74"/>
      <c r="M344" s="82"/>
      <c r="N344" s="82"/>
      <c r="O344" s="82"/>
      <c r="P344" s="79"/>
      <c r="Q344" s="79"/>
      <c r="R344" s="79"/>
    </row>
    <row r="345" spans="1:26" x14ac:dyDescent="0.2">
      <c r="B345" s="138">
        <f>$J$16</f>
        <v>15</v>
      </c>
      <c r="C345" s="86" t="s">
        <v>412</v>
      </c>
      <c r="D345" s="87" t="str">
        <f>IF(C345&lt;&gt;"",VLOOKUP(C345,'Dummy Table'!$B$3:$C$30,2,FALSE),"")</f>
        <v>Argentina</v>
      </c>
      <c r="E345" s="87" t="str">
        <f>IF(C345&lt;&gt;"",VLOOKUP(C345,'Dummy Table'!$B$3:$D$30,3,FALSE),"")</f>
        <v>Alpine</v>
      </c>
      <c r="F345" s="139"/>
      <c r="G345" s="75"/>
      <c r="H345" s="75"/>
      <c r="I345" s="75"/>
      <c r="K345" s="74"/>
    </row>
    <row r="346" spans="1:26" x14ac:dyDescent="0.2">
      <c r="B346" s="138">
        <f>$J$17</f>
        <v>16</v>
      </c>
      <c r="C346" s="86" t="s">
        <v>313</v>
      </c>
      <c r="D346" s="87" t="str">
        <f>IF(C346&lt;&gt;"",VLOOKUP(C346,'Dummy Table'!$B$3:$C$30,2,FALSE),"")</f>
        <v>França</v>
      </c>
      <c r="E346" s="87" t="str">
        <f>IF(C346&lt;&gt;"",VLOOKUP(C346,'Dummy Table'!$B$3:$D$30,3,FALSE),"")</f>
        <v>Haas</v>
      </c>
      <c r="F346" s="139"/>
      <c r="G346" s="75"/>
      <c r="H346" s="75"/>
      <c r="I346" s="75"/>
      <c r="K346" s="74"/>
    </row>
    <row r="347" spans="1:26" x14ac:dyDescent="0.2">
      <c r="B347" s="138">
        <f>$J$18</f>
        <v>17</v>
      </c>
      <c r="C347" s="86" t="s">
        <v>309</v>
      </c>
      <c r="D347" s="87" t="str">
        <f>IF(C347&lt;&gt;"",VLOOKUP(C347,'Dummy Table'!$B$3:$C$30,2,FALSE),"")</f>
        <v>Tailandia</v>
      </c>
      <c r="E347" s="87" t="str">
        <f>IF(C347&lt;&gt;"",VLOOKUP(C347,'Dummy Table'!$B$3:$D$30,3,FALSE),"")</f>
        <v>Williams</v>
      </c>
      <c r="F347" s="139"/>
      <c r="G347" s="75"/>
      <c r="H347" s="75"/>
      <c r="I347" s="75"/>
    </row>
    <row r="348" spans="1:26" x14ac:dyDescent="0.2">
      <c r="B348" s="138">
        <f>$J$19</f>
        <v>18</v>
      </c>
      <c r="C348" s="86" t="s">
        <v>30</v>
      </c>
      <c r="D348" s="87" t="str">
        <f>IF(C348&lt;&gt;"",VLOOKUP(C348,'Dummy Table'!$B$3:$C$30,2,FALSE),"")</f>
        <v>Espanha</v>
      </c>
      <c r="E348" s="87" t="str">
        <f>IF(C348&lt;&gt;"",VLOOKUP(C348,'Dummy Table'!$B$3:$D$30,3,FALSE),"")</f>
        <v>Aston Martin</v>
      </c>
      <c r="F348" s="139"/>
      <c r="G348" s="75"/>
      <c r="H348" s="75"/>
      <c r="I348" s="75"/>
      <c r="K348" s="79"/>
    </row>
    <row r="349" spans="1:26" x14ac:dyDescent="0.2">
      <c r="B349" s="138">
        <f>$J$20</f>
        <v>19</v>
      </c>
      <c r="C349" s="86" t="s">
        <v>305</v>
      </c>
      <c r="D349" s="87" t="str">
        <f>IF(C349&lt;&gt;"",VLOOKUP(C349,'Dummy Table'!$B$3:$C$30,2,FALSE),"")</f>
        <v>Canadá</v>
      </c>
      <c r="E349" s="87" t="str">
        <f>IF(C349&lt;&gt;"",VLOOKUP(C349,'Dummy Table'!$B$3:$D$30,3,FALSE),"")</f>
        <v>Aston Martin</v>
      </c>
      <c r="F349" s="139" t="s">
        <v>427</v>
      </c>
      <c r="G349" s="75"/>
      <c r="H349" s="75"/>
      <c r="I349" s="75"/>
    </row>
    <row r="350" spans="1:26" x14ac:dyDescent="0.2">
      <c r="B350" s="138">
        <f>$J$21</f>
        <v>20</v>
      </c>
      <c r="C350" s="86" t="s">
        <v>328</v>
      </c>
      <c r="D350" s="87" t="str">
        <f>IF(C350&lt;&gt;"",VLOOKUP(C350,'Dummy Table'!$B$3:$C$30,2,FALSE),"")</f>
        <v>Espanha</v>
      </c>
      <c r="E350" s="87" t="str">
        <f>IF(C350&lt;&gt;"",VLOOKUP(C350,'Dummy Table'!$B$3:$D$30,3,FALSE),"")</f>
        <v>Williams</v>
      </c>
      <c r="F350" s="139" t="s">
        <v>427</v>
      </c>
      <c r="G350" s="75"/>
      <c r="H350" s="75"/>
      <c r="I350" s="75"/>
      <c r="K350" s="74"/>
    </row>
    <row r="351" spans="1:26" ht="12.75" customHeight="1" x14ac:dyDescent="0.2">
      <c r="B351" s="138">
        <f>$J$22</f>
        <v>21</v>
      </c>
      <c r="C351" s="86" t="s">
        <v>396</v>
      </c>
      <c r="D351" s="87" t="str">
        <f>IF(C351&lt;&gt;"",VLOOKUP(C351,'Dummy Table'!$B$3:$C$30,2,FALSE),"")</f>
        <v>México</v>
      </c>
      <c r="E351" s="87" t="str">
        <f>IF(C351&lt;&gt;"",VLOOKUP(C351,'Dummy Table'!$B$3:$D$30,3,FALSE),"")</f>
        <v>Cadillac</v>
      </c>
      <c r="F351" s="139" t="s">
        <v>427</v>
      </c>
      <c r="G351" s="75"/>
      <c r="H351" s="75"/>
      <c r="I351" s="75"/>
      <c r="K351" s="74"/>
    </row>
    <row r="352" spans="1:26" ht="12.75" customHeight="1" x14ac:dyDescent="0.2">
      <c r="B352" s="138">
        <f>$J$23</f>
        <v>22</v>
      </c>
      <c r="C352" s="86" t="s">
        <v>397</v>
      </c>
      <c r="D352" s="87" t="str">
        <f>IF(C352&lt;&gt;"",VLOOKUP(C352,'Dummy Table'!$B$3:$C$30,2,FALSE),"")</f>
        <v>Finlândia</v>
      </c>
      <c r="E352" s="87" t="str">
        <f>IF(C352&lt;&gt;"",VLOOKUP(C352,'Dummy Table'!$B$3:$D$30,3,FALSE),"")</f>
        <v>Cadillac</v>
      </c>
      <c r="F352" s="139" t="s">
        <v>427</v>
      </c>
      <c r="G352" s="75"/>
      <c r="H352" s="75"/>
      <c r="I352" s="75"/>
      <c r="K352" s="74"/>
    </row>
    <row r="353" spans="1:26" s="80" customFormat="1" ht="12.75" hidden="1" customHeight="1" x14ac:dyDescent="0.2">
      <c r="A353" s="91"/>
      <c r="B353" s="138">
        <f>IF(F353="",$J$24,"Ret")</f>
        <v>23</v>
      </c>
      <c r="C353" s="78"/>
      <c r="D353" s="68" t="str">
        <f>IF(C353&lt;&gt;"",VLOOKUP(C353,'Dummy Table'!$B$3:$C$30,2,FALSE),"")</f>
        <v/>
      </c>
      <c r="E353" s="68" t="str">
        <f>IF(C353&lt;&gt;"",VLOOKUP(C353,'Dummy Table'!$B$3:$D$30,3,FALSE),"")</f>
        <v/>
      </c>
      <c r="F353" s="140"/>
      <c r="G353" s="75"/>
      <c r="H353" s="75"/>
      <c r="I353" s="75"/>
      <c r="J353" s="76"/>
      <c r="K353" s="74"/>
      <c r="L353" s="79"/>
      <c r="M353" s="72"/>
      <c r="N353" s="72"/>
      <c r="O353" s="72"/>
      <c r="P353" s="71"/>
      <c r="Q353" s="71"/>
      <c r="R353" s="71"/>
      <c r="S353" s="79"/>
      <c r="T353" s="79"/>
      <c r="U353" s="79"/>
      <c r="V353" s="79"/>
      <c r="W353" s="79"/>
      <c r="X353" s="79"/>
      <c r="Y353" s="79"/>
      <c r="Z353" s="79"/>
    </row>
    <row r="354" spans="1:26" ht="12.75" hidden="1" customHeight="1" x14ac:dyDescent="0.2">
      <c r="B354" s="138" t="str">
        <f>IF(F354="",$J$25,"Ret")</f>
        <v/>
      </c>
      <c r="C354" s="78"/>
      <c r="D354" s="68" t="str">
        <f>IF(C354&lt;&gt;"",VLOOKUP(C354,'Dummy Table'!$B$3:$C$30,2,FALSE),"")</f>
        <v/>
      </c>
      <c r="E354" s="68" t="str">
        <f>IF(C354&lt;&gt;"",VLOOKUP(C354,'Dummy Table'!$B$3:$D$30,3,FALSE),"")</f>
        <v/>
      </c>
      <c r="F354" s="140"/>
      <c r="G354" s="75"/>
      <c r="H354" s="75"/>
      <c r="I354" s="75"/>
      <c r="K354" s="74"/>
    </row>
    <row r="355" spans="1:26" x14ac:dyDescent="0.2">
      <c r="B355" s="141" t="s">
        <v>243</v>
      </c>
      <c r="C355" s="88" t="s">
        <v>353</v>
      </c>
      <c r="D355" s="89" t="str">
        <f>IF(C355&lt;&gt;"",VLOOKUP(C355,'Dummy Table'!$B$3:$C$30,2,FALSE),"")</f>
        <v>Inglaterra</v>
      </c>
      <c r="E355" s="89" t="str">
        <f>IF(C355&lt;&gt;"",VLOOKUP(C355,'Dummy Table'!$B$3:$D$30,3,FALSE),"")</f>
        <v>Mercedes</v>
      </c>
      <c r="F355" s="142"/>
      <c r="H355" s="75"/>
      <c r="K355" s="74"/>
    </row>
    <row r="356" spans="1:26" ht="13.5" thickBot="1" x14ac:dyDescent="0.25">
      <c r="B356" s="143" t="s">
        <v>234</v>
      </c>
      <c r="C356" s="144" t="s">
        <v>324</v>
      </c>
      <c r="D356" s="145" t="str">
        <f>IF(C356&lt;&gt;"",VLOOKUP(C356,'Dummy Table'!$B$3:$C$30,2,FALSE),"")</f>
        <v>Itália</v>
      </c>
      <c r="E356" s="145" t="str">
        <f>IF(C356&lt;&gt;"",VLOOKUP(C356,'Dummy Table'!$B$3:$D$30,3,FALSE),"")</f>
        <v>Mercedes</v>
      </c>
      <c r="F356" s="146"/>
      <c r="H356" s="69">
        <f>IF(C356="",F356,0)</f>
        <v>0</v>
      </c>
      <c r="K356" s="74"/>
    </row>
    <row r="357" spans="1:26" x14ac:dyDescent="0.2">
      <c r="A357" s="91">
        <v>11</v>
      </c>
      <c r="B357" s="132">
        <f>VLOOKUP($A357,'Calendário atual'!$A$2:$E$30,2,FALSE)</f>
        <v>46208</v>
      </c>
      <c r="C357" s="175" t="str">
        <f>VLOOKUP($A357,'Calendário atual'!$A$2:$E$30,4,FALSE)</f>
        <v>FORMULA 1 PIRELLI BRITISH GRAND PRIX 2026</v>
      </c>
      <c r="D357" s="175"/>
      <c r="E357" s="175"/>
      <c r="F357" s="133" t="str">
        <f>VLOOKUP($A357,'Calendário atual'!$A$2:$E$30,3,FALSE)</f>
        <v>Inglaterra</v>
      </c>
      <c r="G357" s="75"/>
      <c r="H357" s="75"/>
      <c r="I357" s="75"/>
      <c r="K357" s="74"/>
    </row>
    <row r="358" spans="1:26" x14ac:dyDescent="0.2">
      <c r="B358" s="147"/>
      <c r="C358" s="93" t="s">
        <v>354</v>
      </c>
      <c r="D358" s="94"/>
      <c r="E358" s="94"/>
      <c r="F358" s="148"/>
      <c r="G358" s="75"/>
      <c r="H358" s="75"/>
      <c r="I358" s="75"/>
      <c r="K358" s="81"/>
      <c r="M358" s="77"/>
      <c r="N358" s="77"/>
      <c r="O358" s="77"/>
      <c r="P358" s="77"/>
      <c r="Q358" s="77"/>
      <c r="R358" s="77"/>
      <c r="S358" s="77"/>
      <c r="T358" s="77"/>
      <c r="V358" s="71"/>
      <c r="W358" s="71"/>
      <c r="X358" s="71"/>
    </row>
    <row r="359" spans="1:26" x14ac:dyDescent="0.2">
      <c r="B359" s="134" t="s">
        <v>14</v>
      </c>
      <c r="C359" s="90" t="s">
        <v>29</v>
      </c>
      <c r="D359" s="90" t="s">
        <v>16</v>
      </c>
      <c r="E359" s="90" t="s">
        <v>17</v>
      </c>
      <c r="F359" s="135" t="s">
        <v>18</v>
      </c>
      <c r="M359" s="82"/>
      <c r="N359" s="82"/>
      <c r="O359" s="82"/>
      <c r="P359" s="79"/>
      <c r="Q359" s="79"/>
      <c r="R359" s="79"/>
      <c r="V359" s="71"/>
      <c r="W359" s="71"/>
      <c r="X359" s="71"/>
    </row>
    <row r="360" spans="1:26" x14ac:dyDescent="0.2">
      <c r="B360" s="136">
        <f>$J$2</f>
        <v>1</v>
      </c>
      <c r="C360" s="86" t="s">
        <v>324</v>
      </c>
      <c r="D360" s="87" t="str">
        <f>IF(C360&lt;&gt;"",VLOOKUP(C360,'Dummy Table'!$B$3:$C$30,2,FALSE),"")</f>
        <v>Itália</v>
      </c>
      <c r="E360" s="87" t="str">
        <f>IF(C360&lt;&gt;"",VLOOKUP(C360,'Dummy Table'!$B$3:$D$30,3,FALSE),"")</f>
        <v>Mercedes</v>
      </c>
      <c r="F360" s="137">
        <v>8</v>
      </c>
      <c r="G360" s="69">
        <f>IF(C360="",F360,0)</f>
        <v>0</v>
      </c>
      <c r="H360" s="69">
        <f>IF(C360="",F360,0)</f>
        <v>0</v>
      </c>
      <c r="K360" s="74"/>
      <c r="V360" s="71"/>
      <c r="W360" s="71"/>
      <c r="X360" s="71"/>
    </row>
    <row r="361" spans="1:26" x14ac:dyDescent="0.2">
      <c r="B361" s="138">
        <f>$J$3</f>
        <v>2</v>
      </c>
      <c r="C361" s="86" t="s">
        <v>1</v>
      </c>
      <c r="D361" s="87" t="str">
        <f>IF(C361&lt;&gt;"",VLOOKUP(C361,'Dummy Table'!$B$3:$C$30,2,FALSE),"")</f>
        <v>Inglaterra</v>
      </c>
      <c r="E361" s="87" t="str">
        <f>IF(C361&lt;&gt;"",VLOOKUP(C361,'Dummy Table'!$B$3:$D$30,3,FALSE),"")</f>
        <v>Ferrari</v>
      </c>
      <c r="F361" s="137">
        <v>7</v>
      </c>
      <c r="H361" s="69">
        <f>IF(C361="",F361,0)</f>
        <v>0</v>
      </c>
      <c r="K361" s="74"/>
    </row>
    <row r="362" spans="1:26" x14ac:dyDescent="0.2">
      <c r="B362" s="138">
        <f>$J$4</f>
        <v>3</v>
      </c>
      <c r="C362" s="86" t="s">
        <v>310</v>
      </c>
      <c r="D362" s="87" t="str">
        <f>IF(C362&lt;&gt;"",VLOOKUP(C362,'Dummy Table'!$B$3:$C$30,2,FALSE),"")</f>
        <v>Inglaterra</v>
      </c>
      <c r="E362" s="87" t="str">
        <f>IF(C362&lt;&gt;"",VLOOKUP(C362,'Dummy Table'!$B$3:$D$30,3,FALSE),"")</f>
        <v>McLaren</v>
      </c>
      <c r="F362" s="137">
        <v>6</v>
      </c>
    </row>
    <row r="363" spans="1:26" x14ac:dyDescent="0.2">
      <c r="B363" s="138">
        <f>$J$5</f>
        <v>4</v>
      </c>
      <c r="C363" s="86" t="s">
        <v>353</v>
      </c>
      <c r="D363" s="87" t="str">
        <f>IF(C363&lt;&gt;"",VLOOKUP(C363,'Dummy Table'!$B$3:$C$30,2,FALSE),"")</f>
        <v>Inglaterra</v>
      </c>
      <c r="E363" s="87" t="str">
        <f>IF(C363&lt;&gt;"",VLOOKUP(C363,'Dummy Table'!$B$3:$D$30,3,FALSE),"")</f>
        <v>Mercedes</v>
      </c>
      <c r="F363" s="137">
        <v>5</v>
      </c>
      <c r="K363" s="79"/>
    </row>
    <row r="364" spans="1:26" x14ac:dyDescent="0.2">
      <c r="B364" s="138">
        <f>$J$6</f>
        <v>5</v>
      </c>
      <c r="C364" s="86" t="s">
        <v>307</v>
      </c>
      <c r="D364" s="87" t="str">
        <f>IF(C364&lt;&gt;"",VLOOKUP(C364,'Dummy Table'!$B$3:$C$30,2,FALSE),"")</f>
        <v>Mônaco</v>
      </c>
      <c r="E364" s="87" t="str">
        <f>IF(C364&lt;&gt;"",VLOOKUP(C364,'Dummy Table'!$B$3:$D$30,3,FALSE),"")</f>
        <v>Ferrari</v>
      </c>
      <c r="F364" s="137">
        <v>4</v>
      </c>
    </row>
    <row r="365" spans="1:26" x14ac:dyDescent="0.2">
      <c r="B365" s="138">
        <f>$J$7</f>
        <v>6</v>
      </c>
      <c r="C365" s="86" t="s">
        <v>299</v>
      </c>
      <c r="D365" s="87" t="str">
        <f>IF(C365&lt;&gt;"",VLOOKUP(C365,'Dummy Table'!$B$3:$C$30,2,FALSE),"")</f>
        <v>Holanda</v>
      </c>
      <c r="E365" s="87" t="str">
        <f>IF(C365&lt;&gt;"",VLOOKUP(C365,'Dummy Table'!$B$3:$D$30,3,FALSE),"")</f>
        <v>Red Bull</v>
      </c>
      <c r="F365" s="137">
        <v>3</v>
      </c>
      <c r="K365" s="74"/>
    </row>
    <row r="366" spans="1:26" x14ac:dyDescent="0.2">
      <c r="B366" s="138">
        <f>$J$8</f>
        <v>7</v>
      </c>
      <c r="C366" s="86" t="s">
        <v>323</v>
      </c>
      <c r="D366" s="87" t="str">
        <f>IF(C366&lt;&gt;"",VLOOKUP(C366,'Dummy Table'!$B$3:$C$30,2,FALSE),"")</f>
        <v>Austrália</v>
      </c>
      <c r="E366" s="87" t="str">
        <f>IF(C366&lt;&gt;"",VLOOKUP(C366,'Dummy Table'!$B$3:$D$30,3,FALSE),"")</f>
        <v>McLaren</v>
      </c>
      <c r="F366" s="137">
        <v>2</v>
      </c>
      <c r="K366" s="74"/>
    </row>
    <row r="367" spans="1:26" x14ac:dyDescent="0.2">
      <c r="B367" s="138">
        <f>$J$9</f>
        <v>8</v>
      </c>
      <c r="C367" s="86" t="s">
        <v>408</v>
      </c>
      <c r="D367" s="87" t="str">
        <f>IF(C367&lt;&gt;"",VLOOKUP(C367,'Dummy Table'!$B$3:$C$30,2,FALSE),"")</f>
        <v>Austrália</v>
      </c>
      <c r="E367" s="87" t="str">
        <f>IF(C367&lt;&gt;"",VLOOKUP(C367,'Dummy Table'!$B$3:$D$30,3,FALSE),"")</f>
        <v>Racing Bulls</v>
      </c>
      <c r="F367" s="137">
        <v>1</v>
      </c>
      <c r="K367" s="74"/>
    </row>
    <row r="368" spans="1:26" s="80" customFormat="1" x14ac:dyDescent="0.2">
      <c r="A368" s="91"/>
      <c r="B368" s="138">
        <f>$J$10</f>
        <v>9</v>
      </c>
      <c r="C368" s="86" t="s">
        <v>406</v>
      </c>
      <c r="D368" s="87" t="str">
        <f>IF(C368&lt;&gt;"",VLOOKUP(C368,'Dummy Table'!$B$3:$C$30,2,FALSE),"")</f>
        <v>França</v>
      </c>
      <c r="E368" s="87" t="str">
        <f>IF(C368&lt;&gt;"",VLOOKUP(C368,'Dummy Table'!$B$3:$D$30,3,FALSE),"")</f>
        <v>Red Bull</v>
      </c>
      <c r="F368" s="137"/>
      <c r="G368" s="69"/>
      <c r="H368" s="69"/>
      <c r="I368" s="69"/>
      <c r="J368" s="76"/>
      <c r="K368" s="74"/>
      <c r="L368" s="79"/>
      <c r="M368" s="72"/>
      <c r="N368" s="72"/>
      <c r="O368" s="72"/>
      <c r="P368" s="71"/>
      <c r="Q368" s="71"/>
      <c r="R368" s="71"/>
      <c r="S368" s="79"/>
      <c r="T368" s="79"/>
      <c r="U368" s="79"/>
      <c r="V368" s="79"/>
      <c r="W368" s="79"/>
      <c r="X368" s="79"/>
      <c r="Y368" s="79"/>
      <c r="Z368" s="79"/>
    </row>
    <row r="369" spans="2:24" x14ac:dyDescent="0.2">
      <c r="B369" s="138">
        <f>$J$11</f>
        <v>10</v>
      </c>
      <c r="C369" s="86" t="s">
        <v>407</v>
      </c>
      <c r="D369" s="87" t="str">
        <f>IF(C369&lt;&gt;"",VLOOKUP(C369,'Dummy Table'!$B$3:$C$30,2,FALSE),"")</f>
        <v>Inglaterra</v>
      </c>
      <c r="E369" s="87" t="str">
        <f>IF(C369&lt;&gt;"",VLOOKUP(C369,'Dummy Table'!$B$3:$D$30,3,FALSE),"")</f>
        <v>Racing Bulls</v>
      </c>
      <c r="F369" s="137"/>
      <c r="K369" s="74"/>
    </row>
    <row r="370" spans="2:24" x14ac:dyDescent="0.2">
      <c r="B370" s="138">
        <f>$J$12</f>
        <v>11</v>
      </c>
      <c r="C370" s="86" t="s">
        <v>306</v>
      </c>
      <c r="D370" s="87" t="str">
        <f>IF(C370&lt;&gt;"",VLOOKUP(C370,'Dummy Table'!$B$3:$C$30,2,FALSE),"")</f>
        <v>França</v>
      </c>
      <c r="E370" s="87" t="str">
        <f>IF(C370&lt;&gt;"",VLOOKUP(C370,'Dummy Table'!$B$3:$D$30,3,FALSE),"")</f>
        <v>Alpine</v>
      </c>
      <c r="F370" s="139"/>
      <c r="K370" s="74"/>
    </row>
    <row r="371" spans="2:24" x14ac:dyDescent="0.2">
      <c r="B371" s="138">
        <f>$J$13</f>
        <v>12</v>
      </c>
      <c r="C371" s="86" t="s">
        <v>412</v>
      </c>
      <c r="D371" s="87" t="str">
        <f>IF(C371&lt;&gt;"",VLOOKUP(C371,'Dummy Table'!$B$3:$C$30,2,FALSE),"")</f>
        <v>Argentina</v>
      </c>
      <c r="E371" s="87" t="str">
        <f>IF(C371&lt;&gt;"",VLOOKUP(C371,'Dummy Table'!$B$3:$D$30,3,FALSE),"")</f>
        <v>Alpine</v>
      </c>
      <c r="F371" s="139"/>
      <c r="K371" s="74"/>
    </row>
    <row r="372" spans="2:24" x14ac:dyDescent="0.2">
      <c r="B372" s="138">
        <f>$J$14</f>
        <v>13</v>
      </c>
      <c r="C372" s="86" t="s">
        <v>329</v>
      </c>
      <c r="D372" s="87" t="str">
        <f>IF(C372&lt;&gt;"",VLOOKUP(C372,'Dummy Table'!$B$3:$C$30,2,FALSE),"")</f>
        <v>Brasil</v>
      </c>
      <c r="E372" s="87" t="str">
        <f>IF(C372&lt;&gt;"",VLOOKUP(C372,'Dummy Table'!$B$3:$D$30,3,FALSE),"")</f>
        <v>Audi</v>
      </c>
      <c r="F372" s="139"/>
      <c r="G372" s="75"/>
      <c r="H372" s="75"/>
      <c r="I372" s="75"/>
      <c r="K372" s="74"/>
    </row>
    <row r="373" spans="2:24" x14ac:dyDescent="0.2">
      <c r="B373" s="138">
        <f>$J$15</f>
        <v>14</v>
      </c>
      <c r="C373" s="86" t="s">
        <v>325</v>
      </c>
      <c r="D373" s="87" t="str">
        <f>IF(C373&lt;&gt;"",VLOOKUP(C373,'Dummy Table'!$B$3:$C$30,2,FALSE),"")</f>
        <v>Inglaterra</v>
      </c>
      <c r="E373" s="87" t="str">
        <f>IF(C373&lt;&gt;"",VLOOKUP(C373,'Dummy Table'!$B$3:$D$30,3,FALSE),"")</f>
        <v>Haas</v>
      </c>
      <c r="F373" s="139"/>
      <c r="G373" s="75"/>
      <c r="H373" s="75"/>
      <c r="I373" s="75"/>
      <c r="K373" s="74"/>
      <c r="M373" s="82"/>
      <c r="N373" s="82"/>
      <c r="O373" s="82"/>
      <c r="P373" s="79"/>
      <c r="Q373" s="79"/>
      <c r="R373" s="79"/>
    </row>
    <row r="374" spans="2:24" x14ac:dyDescent="0.2">
      <c r="B374" s="138">
        <f>$J$16</f>
        <v>15</v>
      </c>
      <c r="C374" s="86" t="s">
        <v>252</v>
      </c>
      <c r="D374" s="87" t="str">
        <f>IF(C374&lt;&gt;"",VLOOKUP(C374,'Dummy Table'!$B$3:$C$30,2,FALSE),"")</f>
        <v>Alemanha</v>
      </c>
      <c r="E374" s="87" t="str">
        <f>IF(C374&lt;&gt;"",VLOOKUP(C374,'Dummy Table'!$B$3:$D$30,3,FALSE),"")</f>
        <v>Audi</v>
      </c>
      <c r="F374" s="139"/>
      <c r="G374" s="75"/>
      <c r="H374" s="75"/>
      <c r="I374" s="75"/>
      <c r="K374" s="74"/>
    </row>
    <row r="375" spans="2:24" x14ac:dyDescent="0.2">
      <c r="B375" s="138">
        <f>$J$17</f>
        <v>16</v>
      </c>
      <c r="C375" s="86" t="s">
        <v>313</v>
      </c>
      <c r="D375" s="87" t="str">
        <f>IF(C375&lt;&gt;"",VLOOKUP(C375,'Dummy Table'!$B$3:$C$30,2,FALSE),"")</f>
        <v>França</v>
      </c>
      <c r="E375" s="87" t="str">
        <f>IF(C375&lt;&gt;"",VLOOKUP(C375,'Dummy Table'!$B$3:$D$30,3,FALSE),"")</f>
        <v>Haas</v>
      </c>
      <c r="F375" s="139"/>
      <c r="G375" s="75"/>
      <c r="H375" s="75"/>
      <c r="I375" s="75"/>
      <c r="K375" s="74"/>
    </row>
    <row r="376" spans="2:24" x14ac:dyDescent="0.2">
      <c r="B376" s="138">
        <f>$J$18</f>
        <v>17</v>
      </c>
      <c r="C376" s="86" t="s">
        <v>328</v>
      </c>
      <c r="D376" s="87" t="str">
        <f>IF(C376&lt;&gt;"",VLOOKUP(C376,'Dummy Table'!$B$3:$C$30,2,FALSE),"")</f>
        <v>Espanha</v>
      </c>
      <c r="E376" s="87" t="str">
        <f>IF(C376&lt;&gt;"",VLOOKUP(C376,'Dummy Table'!$B$3:$D$30,3,FALSE),"")</f>
        <v>Williams</v>
      </c>
      <c r="F376" s="139"/>
      <c r="G376" s="75"/>
      <c r="H376" s="75"/>
      <c r="I376" s="75"/>
    </row>
    <row r="377" spans="2:24" x14ac:dyDescent="0.2">
      <c r="B377" s="138">
        <f>$J$19</f>
        <v>18</v>
      </c>
      <c r="C377" s="86" t="s">
        <v>309</v>
      </c>
      <c r="D377" s="87" t="str">
        <f>IF(C377&lt;&gt;"",VLOOKUP(C377,'Dummy Table'!$B$3:$C$30,2,FALSE),"")</f>
        <v>Tailandia</v>
      </c>
      <c r="E377" s="87" t="str">
        <f>IF(C377&lt;&gt;"",VLOOKUP(C377,'Dummy Table'!$B$3:$D$30,3,FALSE),"")</f>
        <v>Williams</v>
      </c>
      <c r="F377" s="139"/>
      <c r="G377" s="75"/>
      <c r="H377" s="75"/>
      <c r="I377" s="75"/>
      <c r="K377" s="79"/>
    </row>
    <row r="378" spans="2:24" x14ac:dyDescent="0.2">
      <c r="B378" s="138">
        <f>$J$20</f>
        <v>19</v>
      </c>
      <c r="C378" s="86" t="s">
        <v>397</v>
      </c>
      <c r="D378" s="87" t="str">
        <f>IF(C378&lt;&gt;"",VLOOKUP(C378,'Dummy Table'!$B$3:$C$30,2,FALSE),"")</f>
        <v>Finlândia</v>
      </c>
      <c r="E378" s="87" t="str">
        <f>IF(C378&lt;&gt;"",VLOOKUP(C378,'Dummy Table'!$B$3:$D$30,3,FALSE),"")</f>
        <v>Cadillac</v>
      </c>
      <c r="F378" s="139"/>
      <c r="G378" s="75"/>
      <c r="H378" s="75"/>
      <c r="I378" s="75"/>
    </row>
    <row r="379" spans="2:24" x14ac:dyDescent="0.2">
      <c r="B379" s="138">
        <f>$J$21</f>
        <v>20</v>
      </c>
      <c r="C379" s="86" t="s">
        <v>30</v>
      </c>
      <c r="D379" s="87" t="str">
        <f>IF(C379&lt;&gt;"",VLOOKUP(C379,'Dummy Table'!$B$3:$C$30,2,FALSE),"")</f>
        <v>Espanha</v>
      </c>
      <c r="E379" s="87" t="str">
        <f>IF(C379&lt;&gt;"",VLOOKUP(C379,'Dummy Table'!$B$3:$D$30,3,FALSE),"")</f>
        <v>Aston Martin</v>
      </c>
      <c r="F379" s="139"/>
      <c r="G379" s="75"/>
      <c r="H379" s="75"/>
      <c r="I379" s="75"/>
      <c r="K379" s="74"/>
    </row>
    <row r="380" spans="2:24" x14ac:dyDescent="0.2">
      <c r="B380" s="138">
        <f>$J$22</f>
        <v>21</v>
      </c>
      <c r="C380" s="86" t="s">
        <v>305</v>
      </c>
      <c r="D380" s="87" t="str">
        <f>IF(C380&lt;&gt;"",VLOOKUP(C380,'Dummy Table'!$B$3:$C$30,2,FALSE),"")</f>
        <v>Canadá</v>
      </c>
      <c r="E380" s="87" t="str">
        <f>IF(C380&lt;&gt;"",VLOOKUP(C380,'Dummy Table'!$B$3:$D$30,3,FALSE),"")</f>
        <v>Aston Martin</v>
      </c>
      <c r="F380" s="139"/>
      <c r="G380" s="75"/>
      <c r="H380" s="75"/>
      <c r="I380" s="75"/>
      <c r="K380" s="74"/>
    </row>
    <row r="381" spans="2:24" x14ac:dyDescent="0.2">
      <c r="B381" s="138">
        <f>$J$23</f>
        <v>22</v>
      </c>
      <c r="C381" s="86" t="s">
        <v>396</v>
      </c>
      <c r="D381" s="87" t="str">
        <f>IF(C381&lt;&gt;"",VLOOKUP(C381,'Dummy Table'!$B$3:$C$30,2,FALSE),"")</f>
        <v>México</v>
      </c>
      <c r="E381" s="87" t="str">
        <f>IF(C381&lt;&gt;"",VLOOKUP(C381,'Dummy Table'!$B$3:$D$30,3,FALSE),"")</f>
        <v>Cadillac</v>
      </c>
      <c r="F381" s="139"/>
      <c r="G381" s="75"/>
      <c r="H381" s="75"/>
      <c r="I381" s="75"/>
      <c r="K381" s="74"/>
    </row>
    <row r="382" spans="2:24" x14ac:dyDescent="0.2">
      <c r="B382" s="147"/>
      <c r="C382" s="93" t="s">
        <v>355</v>
      </c>
      <c r="D382" s="94"/>
      <c r="E382" s="94"/>
      <c r="F382" s="148"/>
      <c r="G382" s="75"/>
      <c r="H382" s="75"/>
      <c r="I382" s="75"/>
      <c r="K382" s="81"/>
      <c r="M382" s="77"/>
      <c r="N382" s="77"/>
      <c r="O382" s="77"/>
      <c r="P382" s="77"/>
      <c r="Q382" s="77"/>
      <c r="R382" s="77"/>
      <c r="S382" s="77"/>
      <c r="T382" s="77"/>
      <c r="V382" s="71"/>
      <c r="W382" s="71"/>
      <c r="X382" s="71"/>
    </row>
    <row r="383" spans="2:24" x14ac:dyDescent="0.2">
      <c r="B383" s="134" t="s">
        <v>14</v>
      </c>
      <c r="C383" s="90" t="s">
        <v>29</v>
      </c>
      <c r="D383" s="90" t="s">
        <v>16</v>
      </c>
      <c r="E383" s="90" t="s">
        <v>17</v>
      </c>
      <c r="F383" s="135" t="s">
        <v>18</v>
      </c>
      <c r="K383" s="74"/>
    </row>
    <row r="384" spans="2:24" x14ac:dyDescent="0.2">
      <c r="B384" s="136">
        <f>$J$2</f>
        <v>1</v>
      </c>
      <c r="C384" s="86" t="s">
        <v>307</v>
      </c>
      <c r="D384" s="87" t="str">
        <f>IF(C384&lt;&gt;"",VLOOKUP(C384,'Dummy Table'!$B$3:$C$30,2,FALSE),"")</f>
        <v>Mônaco</v>
      </c>
      <c r="E384" s="87" t="str">
        <f>IF(C384&lt;&gt;"",VLOOKUP(C384,'Dummy Table'!$B$3:$D$30,3,FALSE),"")</f>
        <v>Ferrari</v>
      </c>
      <c r="F384" s="137">
        <v>25</v>
      </c>
      <c r="G384" s="69">
        <f>IF(C384="",F384,0)</f>
        <v>0</v>
      </c>
      <c r="H384" s="69">
        <f>IF(C384="",F384,0)</f>
        <v>0</v>
      </c>
      <c r="I384" s="69">
        <f>IF(C384="",1,0)</f>
        <v>0</v>
      </c>
      <c r="K384" s="74"/>
    </row>
    <row r="385" spans="1:26" x14ac:dyDescent="0.2">
      <c r="B385" s="138">
        <f>$J$3</f>
        <v>2</v>
      </c>
      <c r="C385" s="86" t="s">
        <v>353</v>
      </c>
      <c r="D385" s="87" t="str">
        <f>IF(C385&lt;&gt;"",VLOOKUP(C385,'Dummy Table'!$B$3:$C$30,2,FALSE),"")</f>
        <v>Inglaterra</v>
      </c>
      <c r="E385" s="87" t="str">
        <f>IF(C385&lt;&gt;"",VLOOKUP(C385,'Dummy Table'!$B$3:$D$30,3,FALSE),"")</f>
        <v>Mercedes</v>
      </c>
      <c r="F385" s="137">
        <v>18</v>
      </c>
      <c r="H385" s="69">
        <f>IF(C385="",F385,0)</f>
        <v>0</v>
      </c>
      <c r="K385" s="74"/>
    </row>
    <row r="386" spans="1:26" x14ac:dyDescent="0.2">
      <c r="B386" s="138">
        <f>$J$4</f>
        <v>3</v>
      </c>
      <c r="C386" s="86" t="s">
        <v>1</v>
      </c>
      <c r="D386" s="87" t="str">
        <f>IF(C386&lt;&gt;"",VLOOKUP(C386,'Dummy Table'!$B$3:$C$30,2,FALSE),"")</f>
        <v>Inglaterra</v>
      </c>
      <c r="E386" s="87" t="str">
        <f>IF(C386&lt;&gt;"",VLOOKUP(C386,'Dummy Table'!$B$3:$D$30,3,FALSE),"")</f>
        <v>Ferrari</v>
      </c>
      <c r="F386" s="137">
        <v>15</v>
      </c>
    </row>
    <row r="387" spans="1:26" x14ac:dyDescent="0.2">
      <c r="B387" s="138">
        <f>$J$5</f>
        <v>4</v>
      </c>
      <c r="C387" s="86" t="s">
        <v>310</v>
      </c>
      <c r="D387" s="87" t="str">
        <f>IF(C387&lt;&gt;"",VLOOKUP(C387,'Dummy Table'!$B$3:$C$30,2,FALSE),"")</f>
        <v>Inglaterra</v>
      </c>
      <c r="E387" s="87" t="str">
        <f>IF(C387&lt;&gt;"",VLOOKUP(C387,'Dummy Table'!$B$3:$D$30,3,FALSE),"")</f>
        <v>McLaren</v>
      </c>
      <c r="F387" s="137">
        <v>12</v>
      </c>
      <c r="K387" s="79"/>
    </row>
    <row r="388" spans="1:26" x14ac:dyDescent="0.2">
      <c r="B388" s="138">
        <f>$J$6</f>
        <v>5</v>
      </c>
      <c r="C388" s="86" t="s">
        <v>406</v>
      </c>
      <c r="D388" s="87" t="str">
        <f>IF(C388&lt;&gt;"",VLOOKUP(C388,'Dummy Table'!$B$3:$C$30,2,FALSE),"")</f>
        <v>França</v>
      </c>
      <c r="E388" s="87" t="str">
        <f>IF(C388&lt;&gt;"",VLOOKUP(C388,'Dummy Table'!$B$3:$D$30,3,FALSE),"")</f>
        <v>Red Bull</v>
      </c>
      <c r="F388" s="137">
        <v>10</v>
      </c>
    </row>
    <row r="389" spans="1:26" x14ac:dyDescent="0.2">
      <c r="B389" s="138">
        <f>$J$7</f>
        <v>6</v>
      </c>
      <c r="C389" s="86" t="s">
        <v>408</v>
      </c>
      <c r="D389" s="87" t="str">
        <f>IF(C389&lt;&gt;"",VLOOKUP(C389,'Dummy Table'!$B$3:$C$30,2,FALSE),"")</f>
        <v>Austrália</v>
      </c>
      <c r="E389" s="87" t="str">
        <f>IF(C389&lt;&gt;"",VLOOKUP(C389,'Dummy Table'!$B$3:$D$30,3,FALSE),"")</f>
        <v>Racing Bulls</v>
      </c>
      <c r="F389" s="137">
        <v>8</v>
      </c>
      <c r="K389" s="74"/>
    </row>
    <row r="390" spans="1:26" x14ac:dyDescent="0.2">
      <c r="B390" s="138">
        <f>$J$8</f>
        <v>7</v>
      </c>
      <c r="C390" s="86" t="s">
        <v>407</v>
      </c>
      <c r="D390" s="87" t="str">
        <f>IF(C390&lt;&gt;"",VLOOKUP(C390,'Dummy Table'!$B$3:$C$30,2,FALSE),"")</f>
        <v>Inglaterra</v>
      </c>
      <c r="E390" s="87" t="str">
        <f>IF(C390&lt;&gt;"",VLOOKUP(C390,'Dummy Table'!$B$3:$D$30,3,FALSE),"")</f>
        <v>Racing Bulls</v>
      </c>
      <c r="F390" s="137">
        <v>6</v>
      </c>
      <c r="K390" s="74"/>
    </row>
    <row r="391" spans="1:26" x14ac:dyDescent="0.2">
      <c r="B391" s="138">
        <f>$J$9</f>
        <v>8</v>
      </c>
      <c r="C391" s="86" t="s">
        <v>329</v>
      </c>
      <c r="D391" s="87" t="str">
        <f>IF(C391&lt;&gt;"",VLOOKUP(C391,'Dummy Table'!$B$3:$C$30,2,FALSE),"")</f>
        <v>Brasil</v>
      </c>
      <c r="E391" s="87" t="str">
        <f>IF(C391&lt;&gt;"",VLOOKUP(C391,'Dummy Table'!$B$3:$D$30,3,FALSE),"")</f>
        <v>Audi</v>
      </c>
      <c r="F391" s="137">
        <v>4</v>
      </c>
      <c r="K391" s="74"/>
    </row>
    <row r="392" spans="1:26" s="80" customFormat="1" x14ac:dyDescent="0.2">
      <c r="A392" s="91"/>
      <c r="B392" s="138">
        <f>$J$10</f>
        <v>9</v>
      </c>
      <c r="C392" s="86" t="s">
        <v>412</v>
      </c>
      <c r="D392" s="87" t="str">
        <f>IF(C392&lt;&gt;"",VLOOKUP(C392,'Dummy Table'!$B$3:$C$30,2,FALSE),"")</f>
        <v>Argentina</v>
      </c>
      <c r="E392" s="87" t="str">
        <f>IF(C392&lt;&gt;"",VLOOKUP(C392,'Dummy Table'!$B$3:$D$30,3,FALSE),"")</f>
        <v>Alpine</v>
      </c>
      <c r="F392" s="137">
        <v>2</v>
      </c>
      <c r="G392" s="69"/>
      <c r="H392" s="69"/>
      <c r="I392" s="69"/>
      <c r="J392" s="76"/>
      <c r="K392" s="74"/>
      <c r="L392" s="79"/>
      <c r="M392" s="72"/>
      <c r="N392" s="72"/>
      <c r="O392" s="72"/>
      <c r="P392" s="71"/>
      <c r="Q392" s="71"/>
      <c r="R392" s="71"/>
      <c r="S392" s="79"/>
      <c r="T392" s="79"/>
      <c r="U392" s="79"/>
      <c r="V392" s="79"/>
      <c r="W392" s="79"/>
      <c r="X392" s="79"/>
      <c r="Y392" s="79"/>
      <c r="Z392" s="79"/>
    </row>
    <row r="393" spans="1:26" x14ac:dyDescent="0.2">
      <c r="B393" s="138">
        <f>$J$11</f>
        <v>10</v>
      </c>
      <c r="C393" s="86" t="s">
        <v>306</v>
      </c>
      <c r="D393" s="87" t="str">
        <f>IF(C393&lt;&gt;"",VLOOKUP(C393,'Dummy Table'!$B$3:$C$30,2,FALSE),"")</f>
        <v>França</v>
      </c>
      <c r="E393" s="87" t="str">
        <f>IF(C393&lt;&gt;"",VLOOKUP(C393,'Dummy Table'!$B$3:$D$30,3,FALSE),"")</f>
        <v>Alpine</v>
      </c>
      <c r="F393" s="137">
        <v>1</v>
      </c>
      <c r="K393" s="74"/>
    </row>
    <row r="394" spans="1:26" x14ac:dyDescent="0.2">
      <c r="B394" s="138">
        <f>$J$12</f>
        <v>11</v>
      </c>
      <c r="C394" s="86" t="s">
        <v>323</v>
      </c>
      <c r="D394" s="87" t="str">
        <f>IF(C394&lt;&gt;"",VLOOKUP(C394,'Dummy Table'!$B$3:$C$30,2,FALSE),"")</f>
        <v>Austrália</v>
      </c>
      <c r="E394" s="87" t="str">
        <f>IF(C394&lt;&gt;"",VLOOKUP(C394,'Dummy Table'!$B$3:$D$30,3,FALSE),"")</f>
        <v>McLaren</v>
      </c>
      <c r="F394" s="139"/>
      <c r="K394" s="74"/>
    </row>
    <row r="395" spans="1:26" x14ac:dyDescent="0.2">
      <c r="B395" s="138">
        <f>$J$13</f>
        <v>12</v>
      </c>
      <c r="C395" s="86" t="s">
        <v>325</v>
      </c>
      <c r="D395" s="87" t="str">
        <f>IF(C395&lt;&gt;"",VLOOKUP(C395,'Dummy Table'!$B$3:$C$30,2,FALSE),"")</f>
        <v>Inglaterra</v>
      </c>
      <c r="E395" s="87" t="str">
        <f>IF(C395&lt;&gt;"",VLOOKUP(C395,'Dummy Table'!$B$3:$D$30,3,FALSE),"")</f>
        <v>Haas</v>
      </c>
      <c r="F395" s="139"/>
      <c r="K395" s="74"/>
    </row>
    <row r="396" spans="1:26" x14ac:dyDescent="0.2">
      <c r="B396" s="138">
        <f>$J$14</f>
        <v>13</v>
      </c>
      <c r="C396" s="86" t="s">
        <v>313</v>
      </c>
      <c r="D396" s="87" t="str">
        <f>IF(C396&lt;&gt;"",VLOOKUP(C396,'Dummy Table'!$B$3:$C$30,2,FALSE),"")</f>
        <v>França</v>
      </c>
      <c r="E396" s="87" t="str">
        <f>IF(C396&lt;&gt;"",VLOOKUP(C396,'Dummy Table'!$B$3:$D$30,3,FALSE),"")</f>
        <v>Haas</v>
      </c>
      <c r="F396" s="139"/>
      <c r="G396" s="75"/>
      <c r="H396" s="75"/>
      <c r="I396" s="75"/>
      <c r="K396" s="74"/>
    </row>
    <row r="397" spans="1:26" x14ac:dyDescent="0.2">
      <c r="B397" s="138">
        <f>$J$15</f>
        <v>14</v>
      </c>
      <c r="C397" s="86" t="s">
        <v>396</v>
      </c>
      <c r="D397" s="87" t="str">
        <f>IF(C397&lt;&gt;"",VLOOKUP(C397,'Dummy Table'!$B$3:$C$30,2,FALSE),"")</f>
        <v>México</v>
      </c>
      <c r="E397" s="87" t="str">
        <f>IF(C397&lt;&gt;"",VLOOKUP(C397,'Dummy Table'!$B$3:$D$30,3,FALSE),"")</f>
        <v>Cadillac</v>
      </c>
      <c r="F397" s="139"/>
      <c r="G397" s="75"/>
      <c r="H397" s="75"/>
      <c r="I397" s="75"/>
      <c r="K397" s="74"/>
      <c r="M397" s="82"/>
      <c r="N397" s="82"/>
      <c r="O397" s="82"/>
      <c r="P397" s="79"/>
      <c r="Q397" s="79"/>
      <c r="R397" s="79"/>
    </row>
    <row r="398" spans="1:26" x14ac:dyDescent="0.2">
      <c r="B398" s="138">
        <f>$J$16</f>
        <v>15</v>
      </c>
      <c r="C398" s="86" t="s">
        <v>324</v>
      </c>
      <c r="D398" s="87" t="str">
        <f>IF(C398&lt;&gt;"",VLOOKUP(C398,'Dummy Table'!$B$3:$C$30,2,FALSE),"")</f>
        <v>Itália</v>
      </c>
      <c r="E398" s="87" t="str">
        <f>IF(C398&lt;&gt;"",VLOOKUP(C398,'Dummy Table'!$B$3:$D$30,3,FALSE),"")</f>
        <v>Mercedes</v>
      </c>
      <c r="F398" s="139"/>
      <c r="G398" s="75"/>
      <c r="H398" s="75"/>
      <c r="I398" s="75"/>
      <c r="K398" s="74"/>
    </row>
    <row r="399" spans="1:26" x14ac:dyDescent="0.2">
      <c r="B399" s="138">
        <f>$J$17</f>
        <v>16</v>
      </c>
      <c r="C399" s="86" t="s">
        <v>397</v>
      </c>
      <c r="D399" s="87" t="str">
        <f>IF(C399&lt;&gt;"",VLOOKUP(C399,'Dummy Table'!$B$3:$C$30,2,FALSE),"")</f>
        <v>Finlândia</v>
      </c>
      <c r="E399" s="87" t="str">
        <f>IF(C399&lt;&gt;"",VLOOKUP(C399,'Dummy Table'!$B$3:$D$30,3,FALSE),"")</f>
        <v>Cadillac</v>
      </c>
      <c r="F399" s="139"/>
      <c r="G399" s="75"/>
      <c r="H399" s="75"/>
      <c r="I399" s="75"/>
      <c r="K399" s="74"/>
    </row>
    <row r="400" spans="1:26" x14ac:dyDescent="0.2">
      <c r="B400" s="138">
        <f>$J$18</f>
        <v>17</v>
      </c>
      <c r="C400" s="86" t="s">
        <v>328</v>
      </c>
      <c r="D400" s="87" t="str">
        <f>IF(C400&lt;&gt;"",VLOOKUP(C400,'Dummy Table'!$B$3:$C$30,2,FALSE),"")</f>
        <v>Espanha</v>
      </c>
      <c r="E400" s="87" t="str">
        <f>IF(C400&lt;&gt;"",VLOOKUP(C400,'Dummy Table'!$B$3:$D$30,3,FALSE),"")</f>
        <v>Williams</v>
      </c>
      <c r="F400" s="139"/>
      <c r="G400" s="75"/>
      <c r="H400" s="75"/>
      <c r="I400" s="75"/>
    </row>
    <row r="401" spans="1:26" x14ac:dyDescent="0.2">
      <c r="B401" s="138">
        <f>$J$19</f>
        <v>18</v>
      </c>
      <c r="C401" s="86" t="s">
        <v>30</v>
      </c>
      <c r="D401" s="87" t="str">
        <f>IF(C401&lt;&gt;"",VLOOKUP(C401,'Dummy Table'!$B$3:$C$30,2,FALSE),"")</f>
        <v>Espanha</v>
      </c>
      <c r="E401" s="87" t="str">
        <f>IF(C401&lt;&gt;"",VLOOKUP(C401,'Dummy Table'!$B$3:$D$30,3,FALSE),"")</f>
        <v>Aston Martin</v>
      </c>
      <c r="F401" s="139"/>
      <c r="G401" s="75"/>
      <c r="H401" s="75"/>
      <c r="I401" s="75"/>
      <c r="K401" s="79"/>
    </row>
    <row r="402" spans="1:26" x14ac:dyDescent="0.2">
      <c r="B402" s="138">
        <f>$J$20</f>
        <v>19</v>
      </c>
      <c r="C402" s="86" t="s">
        <v>305</v>
      </c>
      <c r="D402" s="87" t="str">
        <f>IF(C402&lt;&gt;"",VLOOKUP(C402,'Dummy Table'!$B$3:$C$30,2,FALSE),"")</f>
        <v>Canadá</v>
      </c>
      <c r="E402" s="87" t="str">
        <f>IF(C402&lt;&gt;"",VLOOKUP(C402,'Dummy Table'!$B$3:$D$30,3,FALSE),"")</f>
        <v>Aston Martin</v>
      </c>
      <c r="F402" s="139"/>
      <c r="G402" s="75"/>
      <c r="H402" s="75"/>
      <c r="I402" s="75"/>
    </row>
    <row r="403" spans="1:26" x14ac:dyDescent="0.2">
      <c r="B403" s="138">
        <f>$J$21</f>
        <v>20</v>
      </c>
      <c r="C403" s="86" t="s">
        <v>299</v>
      </c>
      <c r="D403" s="87" t="str">
        <f>IF(C403&lt;&gt;"",VLOOKUP(C403,'Dummy Table'!$B$3:$C$30,2,FALSE),"")</f>
        <v>Holanda</v>
      </c>
      <c r="E403" s="87" t="str">
        <f>IF(C403&lt;&gt;"",VLOOKUP(C403,'Dummy Table'!$B$3:$D$30,3,FALSE),"")</f>
        <v>Red Bull</v>
      </c>
      <c r="F403" s="139" t="s">
        <v>427</v>
      </c>
      <c r="G403" s="75"/>
      <c r="H403" s="75"/>
      <c r="I403" s="75"/>
      <c r="K403" s="74"/>
    </row>
    <row r="404" spans="1:26" ht="12.75" customHeight="1" x14ac:dyDescent="0.2">
      <c r="B404" s="138">
        <f>$J$22</f>
        <v>21</v>
      </c>
      <c r="C404" s="86" t="s">
        <v>309</v>
      </c>
      <c r="D404" s="87" t="str">
        <f>IF(C404&lt;&gt;"",VLOOKUP(C404,'Dummy Table'!$B$3:$C$30,2,FALSE),"")</f>
        <v>Tailandia</v>
      </c>
      <c r="E404" s="87" t="str">
        <f>IF(C404&lt;&gt;"",VLOOKUP(C404,'Dummy Table'!$B$3:$D$30,3,FALSE),"")</f>
        <v>Williams</v>
      </c>
      <c r="F404" s="139" t="s">
        <v>427</v>
      </c>
      <c r="G404" s="75"/>
      <c r="H404" s="75"/>
      <c r="I404" s="75"/>
      <c r="K404" s="74"/>
    </row>
    <row r="405" spans="1:26" ht="12.75" customHeight="1" x14ac:dyDescent="0.2">
      <c r="B405" s="138">
        <f>$J$23</f>
        <v>22</v>
      </c>
      <c r="C405" s="86" t="s">
        <v>252</v>
      </c>
      <c r="D405" s="87" t="str">
        <f>IF(C405&lt;&gt;"",VLOOKUP(C405,'Dummy Table'!$B$3:$C$30,2,FALSE),"")</f>
        <v>Alemanha</v>
      </c>
      <c r="E405" s="87" t="str">
        <f>IF(C405&lt;&gt;"",VLOOKUP(C405,'Dummy Table'!$B$3:$D$30,3,FALSE),"")</f>
        <v>Audi</v>
      </c>
      <c r="F405" s="139" t="s">
        <v>427</v>
      </c>
      <c r="G405" s="75"/>
      <c r="H405" s="75"/>
      <c r="I405" s="75"/>
      <c r="K405" s="74"/>
    </row>
    <row r="406" spans="1:26" s="80" customFormat="1" ht="12.75" hidden="1" customHeight="1" x14ac:dyDescent="0.2">
      <c r="A406" s="91"/>
      <c r="B406" s="149">
        <f>IF(F406="",$J$24,"Ret")</f>
        <v>23</v>
      </c>
      <c r="C406" s="78"/>
      <c r="D406" s="68" t="str">
        <f>IF(C406&lt;&gt;"",VLOOKUP(C406,'Dummy Table'!$B$3:$C$30,2,FALSE),"")</f>
        <v/>
      </c>
      <c r="E406" s="68" t="str">
        <f>IF(C406&lt;&gt;"",VLOOKUP(C406,'Dummy Table'!$B$3:$D$30,3,FALSE),"")</f>
        <v/>
      </c>
      <c r="F406" s="140"/>
      <c r="G406" s="75"/>
      <c r="H406" s="75"/>
      <c r="I406" s="75"/>
      <c r="J406" s="76"/>
      <c r="K406" s="74"/>
      <c r="L406" s="79"/>
      <c r="M406" s="72"/>
      <c r="N406" s="72"/>
      <c r="O406" s="72"/>
      <c r="P406" s="71"/>
      <c r="Q406" s="71"/>
      <c r="R406" s="71"/>
      <c r="S406" s="79"/>
      <c r="T406" s="79"/>
      <c r="U406" s="79"/>
      <c r="V406" s="79"/>
      <c r="W406" s="79"/>
      <c r="X406" s="79"/>
      <c r="Y406" s="79"/>
      <c r="Z406" s="79"/>
    </row>
    <row r="407" spans="1:26" ht="12.75" hidden="1" customHeight="1" x14ac:dyDescent="0.2">
      <c r="B407" s="149" t="str">
        <f>IF(F407="",$J$25,"Ret")</f>
        <v/>
      </c>
      <c r="C407" s="78"/>
      <c r="D407" s="68" t="str">
        <f>IF(C407&lt;&gt;"",VLOOKUP(C407,'Dummy Table'!$B$3:$C$30,2,FALSE),"")</f>
        <v/>
      </c>
      <c r="E407" s="68" t="str">
        <f>IF(C407&lt;&gt;"",VLOOKUP(C407,'Dummy Table'!$B$3:$D$30,3,FALSE),"")</f>
        <v/>
      </c>
      <c r="F407" s="140"/>
      <c r="G407" s="75"/>
      <c r="H407" s="75"/>
      <c r="I407" s="75"/>
      <c r="K407" s="74"/>
    </row>
    <row r="408" spans="1:26" x14ac:dyDescent="0.2">
      <c r="B408" s="141" t="s">
        <v>243</v>
      </c>
      <c r="C408" s="88" t="s">
        <v>324</v>
      </c>
      <c r="D408" s="89" t="str">
        <f>IF(C408&lt;&gt;"",VLOOKUP(C408,'Dummy Table'!$B$3:$C$30,2,FALSE),"")</f>
        <v>Itália</v>
      </c>
      <c r="E408" s="89" t="str">
        <f>IF(C408&lt;&gt;"",VLOOKUP(C408,'Dummy Table'!$B$3:$D$30,3,FALSE),"")</f>
        <v>Mercedes</v>
      </c>
      <c r="F408" s="142"/>
      <c r="H408" s="75"/>
      <c r="K408" s="74"/>
    </row>
    <row r="409" spans="1:26" ht="13.5" thickBot="1" x14ac:dyDescent="0.25">
      <c r="B409" s="143" t="s">
        <v>234</v>
      </c>
      <c r="C409" s="144" t="s">
        <v>324</v>
      </c>
      <c r="D409" s="145" t="str">
        <f>IF(C409&lt;&gt;"",VLOOKUP(C409,'Dummy Table'!$B$3:$C$30,2,FALSE),"")</f>
        <v>Itália</v>
      </c>
      <c r="E409" s="145" t="str">
        <f>IF(C409&lt;&gt;"",VLOOKUP(C409,'Dummy Table'!$B$3:$D$30,3,FALSE),"")</f>
        <v>Mercedes</v>
      </c>
      <c r="F409" s="146"/>
      <c r="H409" s="69">
        <f>IF(C409="",F409,0)</f>
        <v>0</v>
      </c>
      <c r="K409" s="74"/>
    </row>
    <row r="410" spans="1:26" x14ac:dyDescent="0.2">
      <c r="A410" s="91">
        <v>12</v>
      </c>
      <c r="B410" s="132">
        <f>VLOOKUP($A410,'Calendário atual'!$A$2:$E$30,2,FALSE)</f>
        <v>46222</v>
      </c>
      <c r="C410" s="175" t="str">
        <f>VLOOKUP($A410,'Calendário atual'!$A$2:$E$30,4,FALSE)</f>
        <v>FORMULA 1 MOËT &amp; CHANDON BELGIAN GRAND PRIX 2026</v>
      </c>
      <c r="D410" s="175"/>
      <c r="E410" s="175"/>
      <c r="F410" s="133" t="str">
        <f>VLOOKUP($A410,'Calendário atual'!$A$2:$E$30,3,FALSE)</f>
        <v>Bélgica</v>
      </c>
      <c r="G410" s="75"/>
      <c r="H410" s="75"/>
      <c r="I410" s="75"/>
      <c r="K410" s="74"/>
    </row>
    <row r="411" spans="1:26" x14ac:dyDescent="0.2">
      <c r="B411" s="134" t="s">
        <v>14</v>
      </c>
      <c r="C411" s="90" t="s">
        <v>29</v>
      </c>
      <c r="D411" s="90" t="s">
        <v>16</v>
      </c>
      <c r="E411" s="90" t="s">
        <v>17</v>
      </c>
      <c r="F411" s="135" t="s">
        <v>18</v>
      </c>
      <c r="K411" s="74"/>
    </row>
    <row r="412" spans="1:26" x14ac:dyDescent="0.2">
      <c r="B412" s="136">
        <f>$J$2</f>
        <v>1</v>
      </c>
      <c r="C412" s="86" t="s">
        <v>324</v>
      </c>
      <c r="D412" s="87" t="str">
        <f>IF(C412&lt;&gt;"",VLOOKUP(C412,'Dummy Table'!$B$3:$C$30,2,FALSE),"")</f>
        <v>Itália</v>
      </c>
      <c r="E412" s="87" t="str">
        <f>IF(C412&lt;&gt;"",VLOOKUP(C412,'Dummy Table'!$B$3:$D$30,3,FALSE),"")</f>
        <v>Mercedes</v>
      </c>
      <c r="F412" s="137">
        <v>25</v>
      </c>
      <c r="G412" s="69">
        <f>IF(C412="",F412,0)</f>
        <v>0</v>
      </c>
      <c r="H412" s="69">
        <f>IF(C412="",F412,0)</f>
        <v>0</v>
      </c>
      <c r="I412" s="69">
        <f>IF(C412="",1,0)</f>
        <v>0</v>
      </c>
      <c r="K412" s="74"/>
    </row>
    <row r="413" spans="1:26" x14ac:dyDescent="0.2">
      <c r="B413" s="138">
        <f>$J$3</f>
        <v>2</v>
      </c>
      <c r="C413" s="86" t="s">
        <v>307</v>
      </c>
      <c r="D413" s="87" t="str">
        <f>IF(C413&lt;&gt;"",VLOOKUP(C413,'Dummy Table'!$B$3:$C$30,2,FALSE),"")</f>
        <v>Mônaco</v>
      </c>
      <c r="E413" s="87" t="str">
        <f>IF(C413&lt;&gt;"",VLOOKUP(C413,'Dummy Table'!$B$3:$D$30,3,FALSE),"")</f>
        <v>Ferrari</v>
      </c>
      <c r="F413" s="137">
        <v>18</v>
      </c>
      <c r="H413" s="69">
        <f>IF(C413="",F413,0)</f>
        <v>0</v>
      </c>
      <c r="K413" s="74"/>
    </row>
    <row r="414" spans="1:26" x14ac:dyDescent="0.2">
      <c r="B414" s="138">
        <f>$J$4</f>
        <v>3</v>
      </c>
      <c r="C414" s="86" t="s">
        <v>299</v>
      </c>
      <c r="D414" s="87" t="str">
        <f>IF(C414&lt;&gt;"",VLOOKUP(C414,'Dummy Table'!$B$3:$C$30,2,FALSE),"")</f>
        <v>Holanda</v>
      </c>
      <c r="E414" s="87" t="str">
        <f>IF(C414&lt;&gt;"",VLOOKUP(C414,'Dummy Table'!$B$3:$D$30,3,FALSE),"")</f>
        <v>Red Bull</v>
      </c>
      <c r="F414" s="137">
        <v>15</v>
      </c>
    </row>
    <row r="415" spans="1:26" x14ac:dyDescent="0.2">
      <c r="B415" s="138">
        <f>$J$5</f>
        <v>4</v>
      </c>
      <c r="C415" s="86" t="s">
        <v>1</v>
      </c>
      <c r="D415" s="87" t="str">
        <f>IF(C415&lt;&gt;"",VLOOKUP(C415,'Dummy Table'!$B$3:$C$30,2,FALSE),"")</f>
        <v>Inglaterra</v>
      </c>
      <c r="E415" s="87" t="str">
        <f>IF(C415&lt;&gt;"",VLOOKUP(C415,'Dummy Table'!$B$3:$D$30,3,FALSE),"")</f>
        <v>Ferrari</v>
      </c>
      <c r="F415" s="137">
        <v>12</v>
      </c>
      <c r="K415" s="79"/>
    </row>
    <row r="416" spans="1:26" x14ac:dyDescent="0.2">
      <c r="B416" s="138">
        <f>$J$6</f>
        <v>5</v>
      </c>
      <c r="C416" s="86" t="s">
        <v>323</v>
      </c>
      <c r="D416" s="87" t="str">
        <f>IF(C416&lt;&gt;"",VLOOKUP(C416,'Dummy Table'!$B$3:$C$30,2,FALSE),"")</f>
        <v>Austrália</v>
      </c>
      <c r="E416" s="87" t="str">
        <f>IF(C416&lt;&gt;"",VLOOKUP(C416,'Dummy Table'!$B$3:$D$30,3,FALSE),"")</f>
        <v>McLaren</v>
      </c>
      <c r="F416" s="137">
        <v>10</v>
      </c>
    </row>
    <row r="417" spans="1:26" x14ac:dyDescent="0.2">
      <c r="B417" s="138">
        <f>$J$7</f>
        <v>6</v>
      </c>
      <c r="C417" s="86" t="s">
        <v>406</v>
      </c>
      <c r="D417" s="87" t="str">
        <f>IF(C417&lt;&gt;"",VLOOKUP(C417,'Dummy Table'!$B$3:$C$30,2,FALSE),"")</f>
        <v>França</v>
      </c>
      <c r="E417" s="87" t="str">
        <f>IF(C417&lt;&gt;"",VLOOKUP(C417,'Dummy Table'!$B$3:$D$30,3,FALSE),"")</f>
        <v>Red Bull</v>
      </c>
      <c r="F417" s="137">
        <v>8</v>
      </c>
      <c r="K417" s="74"/>
    </row>
    <row r="418" spans="1:26" x14ac:dyDescent="0.2">
      <c r="B418" s="138">
        <f>$J$8</f>
        <v>7</v>
      </c>
      <c r="C418" s="86" t="s">
        <v>310</v>
      </c>
      <c r="D418" s="87" t="str">
        <f>IF(C418&lt;&gt;"",VLOOKUP(C418,'Dummy Table'!$B$3:$C$30,2,FALSE),"")</f>
        <v>Inglaterra</v>
      </c>
      <c r="E418" s="87" t="str">
        <f>IF(C418&lt;&gt;"",VLOOKUP(C418,'Dummy Table'!$B$3:$D$30,3,FALSE),"")</f>
        <v>McLaren</v>
      </c>
      <c r="F418" s="137">
        <v>6</v>
      </c>
      <c r="K418" s="74"/>
    </row>
    <row r="419" spans="1:26" x14ac:dyDescent="0.2">
      <c r="B419" s="138">
        <f>$J$9</f>
        <v>8</v>
      </c>
      <c r="C419" s="86" t="s">
        <v>329</v>
      </c>
      <c r="D419" s="87" t="str">
        <f>IF(C419&lt;&gt;"",VLOOKUP(C419,'Dummy Table'!$B$3:$C$30,2,FALSE),"")</f>
        <v>Brasil</v>
      </c>
      <c r="E419" s="87" t="str">
        <f>IF(C419&lt;&gt;"",VLOOKUP(C419,'Dummy Table'!$B$3:$D$30,3,FALSE),"")</f>
        <v>Audi</v>
      </c>
      <c r="F419" s="137">
        <v>4</v>
      </c>
      <c r="K419" s="74"/>
    </row>
    <row r="420" spans="1:26" s="80" customFormat="1" x14ac:dyDescent="0.2">
      <c r="A420" s="91"/>
      <c r="B420" s="138">
        <f>$J$10</f>
        <v>9</v>
      </c>
      <c r="C420" s="86" t="s">
        <v>407</v>
      </c>
      <c r="D420" s="87" t="str">
        <f>IF(C420&lt;&gt;"",VLOOKUP(C420,'Dummy Table'!$B$3:$C$30,2,FALSE),"")</f>
        <v>Inglaterra</v>
      </c>
      <c r="E420" s="87" t="str">
        <f>IF(C420&lt;&gt;"",VLOOKUP(C420,'Dummy Table'!$B$3:$D$30,3,FALSE),"")</f>
        <v>Racing Bulls</v>
      </c>
      <c r="F420" s="137">
        <v>2</v>
      </c>
      <c r="G420" s="69"/>
      <c r="H420" s="69"/>
      <c r="I420" s="69"/>
      <c r="J420" s="76"/>
      <c r="K420" s="74"/>
      <c r="L420" s="79"/>
      <c r="M420" s="72"/>
      <c r="N420" s="72"/>
      <c r="O420" s="72"/>
      <c r="P420" s="71"/>
      <c r="Q420" s="71"/>
      <c r="R420" s="71"/>
      <c r="S420" s="79"/>
      <c r="T420" s="79"/>
      <c r="U420" s="79"/>
      <c r="V420" s="79"/>
      <c r="W420" s="79"/>
      <c r="X420" s="79"/>
      <c r="Y420" s="79"/>
      <c r="Z420" s="79"/>
    </row>
    <row r="421" spans="1:26" x14ac:dyDescent="0.2">
      <c r="B421" s="138">
        <f>$J$11</f>
        <v>10</v>
      </c>
      <c r="C421" s="86" t="s">
        <v>412</v>
      </c>
      <c r="D421" s="87" t="str">
        <f>IF(C421&lt;&gt;"",VLOOKUP(C421,'Dummy Table'!$B$3:$C$30,2,FALSE),"")</f>
        <v>Argentina</v>
      </c>
      <c r="E421" s="87" t="str">
        <f>IF(C421&lt;&gt;"",VLOOKUP(C421,'Dummy Table'!$B$3:$D$30,3,FALSE),"")</f>
        <v>Alpine</v>
      </c>
      <c r="F421" s="137">
        <v>1</v>
      </c>
      <c r="K421" s="74"/>
    </row>
    <row r="422" spans="1:26" x14ac:dyDescent="0.2">
      <c r="B422" s="138">
        <f>$J$12</f>
        <v>11</v>
      </c>
      <c r="C422" s="86" t="s">
        <v>306</v>
      </c>
      <c r="D422" s="87" t="str">
        <f>IF(C422&lt;&gt;"",VLOOKUP(C422,'Dummy Table'!$B$3:$C$30,2,FALSE),"")</f>
        <v>França</v>
      </c>
      <c r="E422" s="87" t="str">
        <f>IF(C422&lt;&gt;"",VLOOKUP(C422,'Dummy Table'!$B$3:$D$30,3,FALSE),"")</f>
        <v>Alpine</v>
      </c>
      <c r="F422" s="139"/>
      <c r="K422" s="74"/>
    </row>
    <row r="423" spans="1:26" x14ac:dyDescent="0.2">
      <c r="B423" s="138">
        <f>$J$13</f>
        <v>12</v>
      </c>
      <c r="C423" s="86" t="s">
        <v>408</v>
      </c>
      <c r="D423" s="87" t="str">
        <f>IF(C423&lt;&gt;"",VLOOKUP(C423,'Dummy Table'!$B$3:$C$30,2,FALSE),"")</f>
        <v>Austrália</v>
      </c>
      <c r="E423" s="87" t="str">
        <f>IF(C423&lt;&gt;"",VLOOKUP(C423,'Dummy Table'!$B$3:$D$30,3,FALSE),"")</f>
        <v>Racing Bulls</v>
      </c>
      <c r="F423" s="139"/>
      <c r="K423" s="74"/>
    </row>
    <row r="424" spans="1:26" x14ac:dyDescent="0.2">
      <c r="B424" s="138">
        <f>$J$14</f>
        <v>13</v>
      </c>
      <c r="C424" s="86" t="s">
        <v>252</v>
      </c>
      <c r="D424" s="87" t="str">
        <f>IF(C424&lt;&gt;"",VLOOKUP(C424,'Dummy Table'!$B$3:$C$30,2,FALSE),"")</f>
        <v>Alemanha</v>
      </c>
      <c r="E424" s="87" t="str">
        <f>IF(C424&lt;&gt;"",VLOOKUP(C424,'Dummy Table'!$B$3:$D$30,3,FALSE),"")</f>
        <v>Audi</v>
      </c>
      <c r="F424" s="139"/>
      <c r="G424" s="75"/>
      <c r="H424" s="75"/>
      <c r="I424" s="75"/>
      <c r="K424" s="74"/>
    </row>
    <row r="425" spans="1:26" x14ac:dyDescent="0.2">
      <c r="B425" s="138">
        <f>$J$15</f>
        <v>14</v>
      </c>
      <c r="C425" s="86" t="s">
        <v>325</v>
      </c>
      <c r="D425" s="87" t="str">
        <f>IF(C425&lt;&gt;"",VLOOKUP(C425,'Dummy Table'!$B$3:$C$30,2,FALSE),"")</f>
        <v>Inglaterra</v>
      </c>
      <c r="E425" s="87" t="str">
        <f>IF(C425&lt;&gt;"",VLOOKUP(C425,'Dummy Table'!$B$3:$D$30,3,FALSE),"")</f>
        <v>Haas</v>
      </c>
      <c r="F425" s="139"/>
      <c r="G425" s="75"/>
      <c r="H425" s="75"/>
      <c r="I425" s="75"/>
      <c r="K425" s="74"/>
      <c r="M425" s="82"/>
      <c r="N425" s="82"/>
      <c r="O425" s="82"/>
      <c r="P425" s="79"/>
      <c r="Q425" s="79"/>
      <c r="R425" s="79"/>
    </row>
    <row r="426" spans="1:26" x14ac:dyDescent="0.2">
      <c r="B426" s="138">
        <f>$J$16</f>
        <v>15</v>
      </c>
      <c r="C426" s="86" t="s">
        <v>309</v>
      </c>
      <c r="D426" s="87" t="str">
        <f>IF(C426&lt;&gt;"",VLOOKUP(C426,'Dummy Table'!$B$3:$C$30,2,FALSE),"")</f>
        <v>Tailandia</v>
      </c>
      <c r="E426" s="87" t="str">
        <f>IF(C426&lt;&gt;"",VLOOKUP(C426,'Dummy Table'!$B$3:$D$30,3,FALSE),"")</f>
        <v>Williams</v>
      </c>
      <c r="F426" s="139"/>
      <c r="G426" s="75"/>
      <c r="H426" s="75"/>
      <c r="I426" s="75"/>
      <c r="K426" s="74"/>
    </row>
    <row r="427" spans="1:26" x14ac:dyDescent="0.2">
      <c r="B427" s="138">
        <f>$J$17</f>
        <v>16</v>
      </c>
      <c r="C427" s="86" t="s">
        <v>328</v>
      </c>
      <c r="D427" s="87" t="str">
        <f>IF(C427&lt;&gt;"",VLOOKUP(C427,'Dummy Table'!$B$3:$C$30,2,FALSE),"")</f>
        <v>Espanha</v>
      </c>
      <c r="E427" s="87" t="str">
        <f>IF(C427&lt;&gt;"",VLOOKUP(C427,'Dummy Table'!$B$3:$D$30,3,FALSE),"")</f>
        <v>Williams</v>
      </c>
      <c r="F427" s="139"/>
      <c r="G427" s="75"/>
      <c r="H427" s="75"/>
      <c r="I427" s="75"/>
      <c r="K427" s="74"/>
    </row>
    <row r="428" spans="1:26" x14ac:dyDescent="0.2">
      <c r="B428" s="138">
        <f>$J$18</f>
        <v>17</v>
      </c>
      <c r="C428" s="86" t="s">
        <v>313</v>
      </c>
      <c r="D428" s="87" t="str">
        <f>IF(C428&lt;&gt;"",VLOOKUP(C428,'Dummy Table'!$B$3:$C$30,2,FALSE),"")</f>
        <v>França</v>
      </c>
      <c r="E428" s="87" t="str">
        <f>IF(C428&lt;&gt;"",VLOOKUP(C428,'Dummy Table'!$B$3:$D$30,3,FALSE),"")</f>
        <v>Haas</v>
      </c>
      <c r="F428" s="139"/>
      <c r="G428" s="75"/>
      <c r="H428" s="75"/>
      <c r="I428" s="75"/>
    </row>
    <row r="429" spans="1:26" x14ac:dyDescent="0.2">
      <c r="B429" s="138">
        <f>$J$19</f>
        <v>18</v>
      </c>
      <c r="C429" s="86" t="s">
        <v>397</v>
      </c>
      <c r="D429" s="87" t="str">
        <f>IF(C429&lt;&gt;"",VLOOKUP(C429,'Dummy Table'!$B$3:$C$30,2,FALSE),"")</f>
        <v>Finlândia</v>
      </c>
      <c r="E429" s="87" t="str">
        <f>IF(C429&lt;&gt;"",VLOOKUP(C429,'Dummy Table'!$B$3:$D$30,3,FALSE),"")</f>
        <v>Cadillac</v>
      </c>
      <c r="F429" s="139"/>
      <c r="G429" s="75"/>
      <c r="H429" s="75"/>
      <c r="I429" s="75"/>
      <c r="K429" s="79"/>
    </row>
    <row r="430" spans="1:26" x14ac:dyDescent="0.2">
      <c r="B430" s="138">
        <f>$J$20</f>
        <v>19</v>
      </c>
      <c r="C430" s="86" t="s">
        <v>30</v>
      </c>
      <c r="D430" s="87" t="str">
        <f>IF(C430&lt;&gt;"",VLOOKUP(C430,'Dummy Table'!$B$3:$C$30,2,FALSE),"")</f>
        <v>Espanha</v>
      </c>
      <c r="E430" s="87" t="str">
        <f>IF(C430&lt;&gt;"",VLOOKUP(C430,'Dummy Table'!$B$3:$D$30,3,FALSE),"")</f>
        <v>Aston Martin</v>
      </c>
      <c r="F430" s="139"/>
      <c r="G430" s="75"/>
      <c r="H430" s="75"/>
      <c r="I430" s="75"/>
    </row>
    <row r="431" spans="1:26" x14ac:dyDescent="0.2">
      <c r="B431" s="138">
        <f>$J$21</f>
        <v>20</v>
      </c>
      <c r="C431" s="86" t="s">
        <v>305</v>
      </c>
      <c r="D431" s="87" t="str">
        <f>IF(C431&lt;&gt;"",VLOOKUP(C431,'Dummy Table'!$B$3:$C$30,2,FALSE),"")</f>
        <v>Canadá</v>
      </c>
      <c r="E431" s="87" t="str">
        <f>IF(C431&lt;&gt;"",VLOOKUP(C431,'Dummy Table'!$B$3:$D$30,3,FALSE),"")</f>
        <v>Aston Martin</v>
      </c>
      <c r="F431" s="139" t="s">
        <v>427</v>
      </c>
      <c r="G431" s="75"/>
      <c r="H431" s="75"/>
      <c r="I431" s="75"/>
      <c r="K431" s="74"/>
    </row>
    <row r="432" spans="1:26" ht="12.75" customHeight="1" x14ac:dyDescent="0.2">
      <c r="B432" s="138">
        <f>$J$22</f>
        <v>21</v>
      </c>
      <c r="C432" s="86" t="s">
        <v>396</v>
      </c>
      <c r="D432" s="87" t="str">
        <f>IF(C432&lt;&gt;"",VLOOKUP(C432,'Dummy Table'!$B$3:$C$30,2,FALSE),"")</f>
        <v>México</v>
      </c>
      <c r="E432" s="87" t="str">
        <f>IF(C432&lt;&gt;"",VLOOKUP(C432,'Dummy Table'!$B$3:$D$30,3,FALSE),"")</f>
        <v>Cadillac</v>
      </c>
      <c r="F432" s="139" t="s">
        <v>427</v>
      </c>
      <c r="G432" s="75"/>
      <c r="H432" s="75"/>
      <c r="I432" s="75"/>
      <c r="K432" s="74"/>
    </row>
    <row r="433" spans="1:26" ht="12.75" customHeight="1" x14ac:dyDescent="0.2">
      <c r="B433" s="138">
        <f>$J$23</f>
        <v>22</v>
      </c>
      <c r="C433" s="86" t="s">
        <v>353</v>
      </c>
      <c r="D433" s="87" t="str">
        <f>IF(C433&lt;&gt;"",VLOOKUP(C433,'Dummy Table'!$B$3:$C$30,2,FALSE),"")</f>
        <v>Inglaterra</v>
      </c>
      <c r="E433" s="87" t="str">
        <f>IF(C433&lt;&gt;"",VLOOKUP(C433,'Dummy Table'!$B$3:$D$30,3,FALSE),"")</f>
        <v>Mercedes</v>
      </c>
      <c r="F433" s="139" t="s">
        <v>427</v>
      </c>
      <c r="G433" s="75"/>
      <c r="H433" s="75"/>
      <c r="I433" s="75"/>
      <c r="K433" s="74"/>
    </row>
    <row r="434" spans="1:26" s="80" customFormat="1" ht="12.75" hidden="1" customHeight="1" x14ac:dyDescent="0.2">
      <c r="A434" s="91"/>
      <c r="B434" s="138">
        <f>IF(F434="",$J$24,"Ret")</f>
        <v>23</v>
      </c>
      <c r="C434" s="78"/>
      <c r="D434" s="68" t="str">
        <f>IF(C434&lt;&gt;"",VLOOKUP(C434,'Dummy Table'!$B$3:$C$30,2,FALSE),"")</f>
        <v/>
      </c>
      <c r="E434" s="68" t="str">
        <f>IF(C434&lt;&gt;"",VLOOKUP(C434,'Dummy Table'!$B$3:$D$30,3,FALSE),"")</f>
        <v/>
      </c>
      <c r="F434" s="140"/>
      <c r="G434" s="75"/>
      <c r="H434" s="75"/>
      <c r="I434" s="75"/>
      <c r="J434" s="76"/>
      <c r="K434" s="74"/>
      <c r="L434" s="79"/>
      <c r="M434" s="72"/>
      <c r="N434" s="72"/>
      <c r="O434" s="72"/>
      <c r="P434" s="71"/>
      <c r="Q434" s="71"/>
      <c r="R434" s="71"/>
      <c r="S434" s="79"/>
      <c r="T434" s="79"/>
      <c r="U434" s="79"/>
      <c r="V434" s="79"/>
      <c r="W434" s="79"/>
      <c r="X434" s="79"/>
      <c r="Y434" s="79"/>
      <c r="Z434" s="79"/>
    </row>
    <row r="435" spans="1:26" ht="12.75" hidden="1" customHeight="1" x14ac:dyDescent="0.2">
      <c r="B435" s="138" t="str">
        <f>IF(F435="",$J$25,"Ret")</f>
        <v/>
      </c>
      <c r="C435" s="78"/>
      <c r="D435" s="68" t="str">
        <f>IF(C435&lt;&gt;"",VLOOKUP(C435,'Dummy Table'!$B$3:$C$30,2,FALSE),"")</f>
        <v/>
      </c>
      <c r="E435" s="68" t="str">
        <f>IF(C435&lt;&gt;"",VLOOKUP(C435,'Dummy Table'!$B$3:$D$30,3,FALSE),"")</f>
        <v/>
      </c>
      <c r="F435" s="140"/>
      <c r="G435" s="75"/>
      <c r="H435" s="75"/>
      <c r="I435" s="75"/>
      <c r="K435" s="74"/>
    </row>
    <row r="436" spans="1:26" x14ac:dyDescent="0.2">
      <c r="B436" s="141" t="s">
        <v>243</v>
      </c>
      <c r="C436" s="88" t="s">
        <v>324</v>
      </c>
      <c r="D436" s="89" t="str">
        <f>IF(C436&lt;&gt;"",VLOOKUP(C436,'Dummy Table'!$B$3:$C$30,2,FALSE),"")</f>
        <v>Itália</v>
      </c>
      <c r="E436" s="89" t="str">
        <f>IF(C436&lt;&gt;"",VLOOKUP(C436,'Dummy Table'!$B$3:$D$30,3,FALSE),"")</f>
        <v>Mercedes</v>
      </c>
      <c r="F436" s="142"/>
      <c r="H436" s="75"/>
      <c r="K436" s="74"/>
    </row>
    <row r="437" spans="1:26" ht="13.5" thickBot="1" x14ac:dyDescent="0.25">
      <c r="B437" s="143" t="s">
        <v>234</v>
      </c>
      <c r="C437" s="144" t="s">
        <v>310</v>
      </c>
      <c r="D437" s="145" t="str">
        <f>IF(C437&lt;&gt;"",VLOOKUP(C437,'Dummy Table'!$B$3:$C$30,2,FALSE),"")</f>
        <v>Inglaterra</v>
      </c>
      <c r="E437" s="145" t="str">
        <f>IF(C437&lt;&gt;"",VLOOKUP(C437,'Dummy Table'!$B$3:$D$30,3,FALSE),"")</f>
        <v>McLaren</v>
      </c>
      <c r="F437" s="146"/>
      <c r="H437" s="69">
        <f>IF(C437="",F437,0)</f>
        <v>0</v>
      </c>
      <c r="K437" s="74"/>
    </row>
    <row r="438" spans="1:26" x14ac:dyDescent="0.2">
      <c r="A438" s="91">
        <v>13</v>
      </c>
      <c r="B438" s="132">
        <f>VLOOKUP($A438,'Calendário atual'!$A$2:$E$30,2,FALSE)</f>
        <v>46229</v>
      </c>
      <c r="C438" s="175" t="str">
        <f>VLOOKUP($A438,'Calendário atual'!$A$2:$E$30,4,FALSE)</f>
        <v>FORMULA 1 AWS HUNGARIAN GRAND PRIX 2026</v>
      </c>
      <c r="D438" s="175"/>
      <c r="E438" s="175"/>
      <c r="F438" s="133" t="str">
        <f>VLOOKUP($A438,'Calendário atual'!$A$2:$E$30,3,FALSE)</f>
        <v>Hungria</v>
      </c>
      <c r="G438" s="75"/>
      <c r="H438" s="75"/>
      <c r="I438" s="75"/>
      <c r="K438" s="74"/>
    </row>
    <row r="439" spans="1:26" x14ac:dyDescent="0.2">
      <c r="B439" s="134" t="s">
        <v>14</v>
      </c>
      <c r="C439" s="90" t="s">
        <v>29</v>
      </c>
      <c r="D439" s="90" t="s">
        <v>16</v>
      </c>
      <c r="E439" s="90" t="s">
        <v>17</v>
      </c>
      <c r="F439" s="135" t="s">
        <v>18</v>
      </c>
      <c r="K439" s="74"/>
    </row>
    <row r="440" spans="1:26" x14ac:dyDescent="0.2">
      <c r="B440" s="136">
        <f>$J$2</f>
        <v>1</v>
      </c>
      <c r="C440" s="86" t="s">
        <v>310</v>
      </c>
      <c r="D440" s="87" t="str">
        <f>IF(C440&lt;&gt;"",VLOOKUP(C440,'Dummy Table'!$B$3:$C$30,2,FALSE),"")</f>
        <v>Inglaterra</v>
      </c>
      <c r="E440" s="87" t="str">
        <f>IF(C440&lt;&gt;"",VLOOKUP(C440,'Dummy Table'!$B$3:$D$30,3,FALSE),"")</f>
        <v>McLaren</v>
      </c>
      <c r="F440" s="137">
        <v>25</v>
      </c>
      <c r="G440" s="69">
        <f>IF(C440="",F440,0)</f>
        <v>0</v>
      </c>
      <c r="H440" s="69">
        <f>IF(C440="",F440,0)</f>
        <v>0</v>
      </c>
      <c r="I440" s="69">
        <f>IF(C440="",1,0)</f>
        <v>0</v>
      </c>
      <c r="K440" s="74"/>
    </row>
    <row r="441" spans="1:26" x14ac:dyDescent="0.2">
      <c r="B441" s="138">
        <f>$J$3</f>
        <v>2</v>
      </c>
      <c r="C441" s="86" t="s">
        <v>299</v>
      </c>
      <c r="D441" s="87" t="str">
        <f>IF(C441&lt;&gt;"",VLOOKUP(C441,'Dummy Table'!$B$3:$C$30,2,FALSE),"")</f>
        <v>Holanda</v>
      </c>
      <c r="E441" s="87" t="str">
        <f>IF(C441&lt;&gt;"",VLOOKUP(C441,'Dummy Table'!$B$3:$D$30,3,FALSE),"")</f>
        <v>Red Bull</v>
      </c>
      <c r="F441" s="137">
        <v>18</v>
      </c>
      <c r="H441" s="69">
        <f>IF(C441="",F441,0)</f>
        <v>0</v>
      </c>
      <c r="K441" s="74"/>
    </row>
    <row r="442" spans="1:26" x14ac:dyDescent="0.2">
      <c r="B442" s="138">
        <f>$J$4</f>
        <v>3</v>
      </c>
      <c r="C442" s="86" t="s">
        <v>324</v>
      </c>
      <c r="D442" s="87" t="str">
        <f>IF(C442&lt;&gt;"",VLOOKUP(C442,'Dummy Table'!$B$3:$C$30,2,FALSE),"")</f>
        <v>Itália</v>
      </c>
      <c r="E442" s="87" t="str">
        <f>IF(C442&lt;&gt;"",VLOOKUP(C442,'Dummy Table'!$B$3:$D$30,3,FALSE),"")</f>
        <v>Mercedes</v>
      </c>
      <c r="F442" s="137">
        <v>15</v>
      </c>
    </row>
    <row r="443" spans="1:26" x14ac:dyDescent="0.2">
      <c r="B443" s="138">
        <f>$J$5</f>
        <v>4</v>
      </c>
      <c r="C443" s="86" t="s">
        <v>307</v>
      </c>
      <c r="D443" s="87" t="str">
        <f>IF(C443&lt;&gt;"",VLOOKUP(C443,'Dummy Table'!$B$3:$C$30,2,FALSE),"")</f>
        <v>Mônaco</v>
      </c>
      <c r="E443" s="87" t="str">
        <f>IF(C443&lt;&gt;"",VLOOKUP(C443,'Dummy Table'!$B$3:$D$30,3,FALSE),"")</f>
        <v>Ferrari</v>
      </c>
      <c r="F443" s="137">
        <v>12</v>
      </c>
      <c r="K443" s="79"/>
    </row>
    <row r="444" spans="1:26" x14ac:dyDescent="0.2">
      <c r="B444" s="138">
        <f>$J$6</f>
        <v>5</v>
      </c>
      <c r="C444" s="86" t="s">
        <v>1</v>
      </c>
      <c r="D444" s="87" t="str">
        <f>IF(C444&lt;&gt;"",VLOOKUP(C444,'Dummy Table'!$B$3:$C$30,2,FALSE),"")</f>
        <v>Inglaterra</v>
      </c>
      <c r="E444" s="87" t="str">
        <f>IF(C444&lt;&gt;"",VLOOKUP(C444,'Dummy Table'!$B$3:$D$30,3,FALSE),"")</f>
        <v>Ferrari</v>
      </c>
      <c r="F444" s="137">
        <v>10</v>
      </c>
    </row>
    <row r="445" spans="1:26" x14ac:dyDescent="0.2">
      <c r="B445" s="138">
        <f>$J$7</f>
        <v>6</v>
      </c>
      <c r="C445" s="86" t="s">
        <v>406</v>
      </c>
      <c r="D445" s="87" t="str">
        <f>IF(C445&lt;&gt;"",VLOOKUP(C445,'Dummy Table'!$B$3:$C$30,2,FALSE),"")</f>
        <v>França</v>
      </c>
      <c r="E445" s="87" t="str">
        <f>IF(C445&lt;&gt;"",VLOOKUP(C445,'Dummy Table'!$B$3:$D$30,3,FALSE),"")</f>
        <v>Red Bull</v>
      </c>
      <c r="F445" s="137">
        <v>8</v>
      </c>
      <c r="K445" s="74"/>
    </row>
    <row r="446" spans="1:26" x14ac:dyDescent="0.2">
      <c r="B446" s="138">
        <f>$J$8</f>
        <v>7</v>
      </c>
      <c r="C446" s="86" t="s">
        <v>353</v>
      </c>
      <c r="D446" s="87" t="str">
        <f>IF(C446&lt;&gt;"",VLOOKUP(C446,'Dummy Table'!$B$3:$C$30,2,FALSE),"")</f>
        <v>Inglaterra</v>
      </c>
      <c r="E446" s="87" t="str">
        <f>IF(C446&lt;&gt;"",VLOOKUP(C446,'Dummy Table'!$B$3:$D$30,3,FALSE),"")</f>
        <v>Mercedes</v>
      </c>
      <c r="F446" s="137">
        <v>6</v>
      </c>
      <c r="K446" s="74"/>
    </row>
    <row r="447" spans="1:26" x14ac:dyDescent="0.2">
      <c r="B447" s="138">
        <f>$J$9</f>
        <v>8</v>
      </c>
      <c r="C447" s="86" t="s">
        <v>408</v>
      </c>
      <c r="D447" s="87" t="str">
        <f>IF(C447&lt;&gt;"",VLOOKUP(C447,'Dummy Table'!$B$3:$C$30,2,FALSE),"")</f>
        <v>Austrália</v>
      </c>
      <c r="E447" s="87" t="str">
        <f>IF(C447&lt;&gt;"",VLOOKUP(C447,'Dummy Table'!$B$3:$D$30,3,FALSE),"")</f>
        <v>Racing Bulls</v>
      </c>
      <c r="F447" s="137">
        <v>4</v>
      </c>
      <c r="K447" s="74"/>
    </row>
    <row r="448" spans="1:26" s="80" customFormat="1" x14ac:dyDescent="0.2">
      <c r="A448" s="91"/>
      <c r="B448" s="138">
        <f>$J$10</f>
        <v>9</v>
      </c>
      <c r="C448" s="86" t="s">
        <v>252</v>
      </c>
      <c r="D448" s="87" t="str">
        <f>IF(C448&lt;&gt;"",VLOOKUP(C448,'Dummy Table'!$B$3:$C$30,2,FALSE),"")</f>
        <v>Alemanha</v>
      </c>
      <c r="E448" s="87" t="str">
        <f>IF(C448&lt;&gt;"",VLOOKUP(C448,'Dummy Table'!$B$3:$D$30,3,FALSE),"")</f>
        <v>Audi</v>
      </c>
      <c r="F448" s="137">
        <v>2</v>
      </c>
      <c r="G448" s="69"/>
      <c r="H448" s="69"/>
      <c r="I448" s="69"/>
      <c r="J448" s="76"/>
      <c r="K448" s="74"/>
      <c r="L448" s="79"/>
      <c r="M448" s="72"/>
      <c r="N448" s="72"/>
      <c r="O448" s="72"/>
      <c r="P448" s="71"/>
      <c r="Q448" s="71"/>
      <c r="R448" s="71"/>
      <c r="S448" s="79"/>
      <c r="T448" s="79"/>
      <c r="U448" s="79"/>
      <c r="V448" s="79"/>
      <c r="W448" s="79"/>
      <c r="X448" s="79"/>
      <c r="Y448" s="79"/>
      <c r="Z448" s="79"/>
    </row>
    <row r="449" spans="1:26" x14ac:dyDescent="0.2">
      <c r="B449" s="138">
        <f>$J$11</f>
        <v>10</v>
      </c>
      <c r="C449" s="86" t="s">
        <v>407</v>
      </c>
      <c r="D449" s="87" t="str">
        <f>IF(C449&lt;&gt;"",VLOOKUP(C449,'Dummy Table'!$B$3:$C$30,2,FALSE),"")</f>
        <v>Inglaterra</v>
      </c>
      <c r="E449" s="87" t="str">
        <f>IF(C449&lt;&gt;"",VLOOKUP(C449,'Dummy Table'!$B$3:$D$30,3,FALSE),"")</f>
        <v>Racing Bulls</v>
      </c>
      <c r="F449" s="137">
        <v>1</v>
      </c>
      <c r="K449" s="74"/>
    </row>
    <row r="450" spans="1:26" x14ac:dyDescent="0.2">
      <c r="B450" s="138">
        <f>$J$12</f>
        <v>11</v>
      </c>
      <c r="C450" s="86" t="s">
        <v>329</v>
      </c>
      <c r="D450" s="87" t="str">
        <f>IF(C450&lt;&gt;"",VLOOKUP(C450,'Dummy Table'!$B$3:$C$30,2,FALSE),"")</f>
        <v>Brasil</v>
      </c>
      <c r="E450" s="87" t="str">
        <f>IF(C450&lt;&gt;"",VLOOKUP(C450,'Dummy Table'!$B$3:$D$30,3,FALSE),"")</f>
        <v>Audi</v>
      </c>
      <c r="F450" s="139"/>
      <c r="K450" s="74"/>
    </row>
    <row r="451" spans="1:26" x14ac:dyDescent="0.2">
      <c r="B451" s="138">
        <f>$J$13</f>
        <v>12</v>
      </c>
      <c r="C451" s="86" t="s">
        <v>306</v>
      </c>
      <c r="D451" s="87" t="str">
        <f>IF(C451&lt;&gt;"",VLOOKUP(C451,'Dummy Table'!$B$3:$C$30,2,FALSE),"")</f>
        <v>França</v>
      </c>
      <c r="E451" s="87" t="str">
        <f>IF(C451&lt;&gt;"",VLOOKUP(C451,'Dummy Table'!$B$3:$D$30,3,FALSE),"")</f>
        <v>Alpine</v>
      </c>
      <c r="F451" s="139"/>
      <c r="K451" s="74"/>
    </row>
    <row r="452" spans="1:26" x14ac:dyDescent="0.2">
      <c r="B452" s="138">
        <f>$J$14</f>
        <v>13</v>
      </c>
      <c r="C452" s="86" t="s">
        <v>305</v>
      </c>
      <c r="D452" s="87" t="str">
        <f>IF(C452&lt;&gt;"",VLOOKUP(C452,'Dummy Table'!$B$3:$C$30,2,FALSE),"")</f>
        <v>Canadá</v>
      </c>
      <c r="E452" s="87" t="str">
        <f>IF(C452&lt;&gt;"",VLOOKUP(C452,'Dummy Table'!$B$3:$D$30,3,FALSE),"")</f>
        <v>Aston Martin</v>
      </c>
      <c r="F452" s="139"/>
      <c r="G452" s="75"/>
      <c r="H452" s="75"/>
      <c r="I452" s="75"/>
      <c r="K452" s="74"/>
    </row>
    <row r="453" spans="1:26" x14ac:dyDescent="0.2">
      <c r="B453" s="138">
        <f>$J$15</f>
        <v>14</v>
      </c>
      <c r="C453" s="86" t="s">
        <v>30</v>
      </c>
      <c r="D453" s="87" t="str">
        <f>IF(C453&lt;&gt;"",VLOOKUP(C453,'Dummy Table'!$B$3:$C$30,2,FALSE),"")</f>
        <v>Espanha</v>
      </c>
      <c r="E453" s="87" t="str">
        <f>IF(C453&lt;&gt;"",VLOOKUP(C453,'Dummy Table'!$B$3:$D$30,3,FALSE),"")</f>
        <v>Aston Martin</v>
      </c>
      <c r="F453" s="139"/>
      <c r="G453" s="75"/>
      <c r="H453" s="75"/>
      <c r="I453" s="75"/>
      <c r="K453" s="74"/>
      <c r="M453" s="82"/>
      <c r="N453" s="82"/>
      <c r="O453" s="82"/>
      <c r="P453" s="79"/>
      <c r="Q453" s="79"/>
      <c r="R453" s="79"/>
    </row>
    <row r="454" spans="1:26" x14ac:dyDescent="0.2">
      <c r="B454" s="138">
        <f>$J$16</f>
        <v>15</v>
      </c>
      <c r="C454" s="86" t="s">
        <v>412</v>
      </c>
      <c r="D454" s="87" t="str">
        <f>IF(C454&lt;&gt;"",VLOOKUP(C454,'Dummy Table'!$B$3:$C$30,2,FALSE),"")</f>
        <v>Argentina</v>
      </c>
      <c r="E454" s="87" t="str">
        <f>IF(C454&lt;&gt;"",VLOOKUP(C454,'Dummy Table'!$B$3:$D$30,3,FALSE),"")</f>
        <v>Alpine</v>
      </c>
      <c r="F454" s="139"/>
      <c r="G454" s="75"/>
      <c r="H454" s="75"/>
      <c r="I454" s="75"/>
      <c r="K454" s="74"/>
    </row>
    <row r="455" spans="1:26" x14ac:dyDescent="0.2">
      <c r="B455" s="138">
        <f>$J$17</f>
        <v>16</v>
      </c>
      <c r="C455" s="86" t="s">
        <v>313</v>
      </c>
      <c r="D455" s="87" t="str">
        <f>IF(C455&lt;&gt;"",VLOOKUP(C455,'Dummy Table'!$B$3:$C$30,2,FALSE),"")</f>
        <v>França</v>
      </c>
      <c r="E455" s="87" t="str">
        <f>IF(C455&lt;&gt;"",VLOOKUP(C455,'Dummy Table'!$B$3:$D$30,3,FALSE),"")</f>
        <v>Haas</v>
      </c>
      <c r="F455" s="139"/>
      <c r="G455" s="75"/>
      <c r="H455" s="75"/>
      <c r="I455" s="75"/>
      <c r="K455" s="74"/>
    </row>
    <row r="456" spans="1:26" x14ac:dyDescent="0.2">
      <c r="B456" s="138">
        <f>$J$18</f>
        <v>17</v>
      </c>
      <c r="C456" s="86" t="s">
        <v>309</v>
      </c>
      <c r="D456" s="87" t="str">
        <f>IF(C456&lt;&gt;"",VLOOKUP(C456,'Dummy Table'!$B$3:$C$30,2,FALSE),"")</f>
        <v>Tailandia</v>
      </c>
      <c r="E456" s="87" t="str">
        <f>IF(C456&lt;&gt;"",VLOOKUP(C456,'Dummy Table'!$B$3:$D$30,3,FALSE),"")</f>
        <v>Williams</v>
      </c>
      <c r="F456" s="139"/>
      <c r="G456" s="75"/>
      <c r="H456" s="75"/>
      <c r="I456" s="75"/>
    </row>
    <row r="457" spans="1:26" x14ac:dyDescent="0.2">
      <c r="B457" s="138">
        <f>$J$19</f>
        <v>18</v>
      </c>
      <c r="C457" s="86" t="s">
        <v>328</v>
      </c>
      <c r="D457" s="87" t="str">
        <f>IF(C457&lt;&gt;"",VLOOKUP(C457,'Dummy Table'!$B$3:$C$30,2,FALSE),"")</f>
        <v>Espanha</v>
      </c>
      <c r="E457" s="87" t="str">
        <f>IF(C457&lt;&gt;"",VLOOKUP(C457,'Dummy Table'!$B$3:$D$30,3,FALSE),"")</f>
        <v>Williams</v>
      </c>
      <c r="F457" s="139"/>
      <c r="G457" s="75"/>
      <c r="H457" s="75"/>
      <c r="I457" s="75"/>
      <c r="K457" s="79"/>
    </row>
    <row r="458" spans="1:26" x14ac:dyDescent="0.2">
      <c r="B458" s="138">
        <f>$J$20</f>
        <v>19</v>
      </c>
      <c r="C458" s="86" t="s">
        <v>325</v>
      </c>
      <c r="D458" s="87" t="str">
        <f>IF(C458&lt;&gt;"",VLOOKUP(C458,'Dummy Table'!$B$3:$C$30,2,FALSE),"")</f>
        <v>Inglaterra</v>
      </c>
      <c r="E458" s="87" t="str">
        <f>IF(C458&lt;&gt;"",VLOOKUP(C458,'Dummy Table'!$B$3:$D$30,3,FALSE),"")</f>
        <v>Haas</v>
      </c>
      <c r="F458" s="139"/>
      <c r="G458" s="75"/>
      <c r="H458" s="75"/>
      <c r="I458" s="75"/>
    </row>
    <row r="459" spans="1:26" x14ac:dyDescent="0.2">
      <c r="B459" s="138">
        <f>$J$21</f>
        <v>20</v>
      </c>
      <c r="C459" s="86" t="s">
        <v>323</v>
      </c>
      <c r="D459" s="87" t="str">
        <f>IF(C459&lt;&gt;"",VLOOKUP(C459,'Dummy Table'!$B$3:$C$30,2,FALSE),"")</f>
        <v>Austrália</v>
      </c>
      <c r="E459" s="87" t="str">
        <f>IF(C459&lt;&gt;"",VLOOKUP(C459,'Dummy Table'!$B$3:$D$30,3,FALSE),"")</f>
        <v>McLaren</v>
      </c>
      <c r="F459" s="139" t="s">
        <v>427</v>
      </c>
      <c r="G459" s="75"/>
      <c r="H459" s="75"/>
      <c r="I459" s="75"/>
      <c r="K459" s="74"/>
    </row>
    <row r="460" spans="1:26" ht="12.75" customHeight="1" x14ac:dyDescent="0.2">
      <c r="B460" s="138">
        <f>$J$22</f>
        <v>21</v>
      </c>
      <c r="C460" s="86" t="s">
        <v>396</v>
      </c>
      <c r="D460" s="87" t="str">
        <f>IF(C460&lt;&gt;"",VLOOKUP(C460,'Dummy Table'!$B$3:$C$30,2,FALSE),"")</f>
        <v>México</v>
      </c>
      <c r="E460" s="87" t="str">
        <f>IF(C460&lt;&gt;"",VLOOKUP(C460,'Dummy Table'!$B$3:$D$30,3,FALSE),"")</f>
        <v>Cadillac</v>
      </c>
      <c r="F460" s="139" t="s">
        <v>427</v>
      </c>
      <c r="G460" s="75"/>
      <c r="H460" s="75"/>
      <c r="I460" s="75"/>
      <c r="K460" s="74"/>
    </row>
    <row r="461" spans="1:26" ht="12.75" customHeight="1" x14ac:dyDescent="0.2">
      <c r="B461" s="138">
        <f>$J$23</f>
        <v>22</v>
      </c>
      <c r="C461" s="86" t="s">
        <v>397</v>
      </c>
      <c r="D461" s="87" t="str">
        <f>IF(C461&lt;&gt;"",VLOOKUP(C461,'Dummy Table'!$B$3:$C$30,2,FALSE),"")</f>
        <v>Finlândia</v>
      </c>
      <c r="E461" s="87" t="str">
        <f>IF(C461&lt;&gt;"",VLOOKUP(C461,'Dummy Table'!$B$3:$D$30,3,FALSE),"")</f>
        <v>Cadillac</v>
      </c>
      <c r="F461" s="139" t="s">
        <v>427</v>
      </c>
      <c r="G461" s="75"/>
      <c r="H461" s="75"/>
      <c r="I461" s="75"/>
      <c r="K461" s="74"/>
    </row>
    <row r="462" spans="1:26" s="80" customFormat="1" ht="12.75" hidden="1" customHeight="1" x14ac:dyDescent="0.2">
      <c r="A462" s="91"/>
      <c r="B462" s="138">
        <f>IF(F462="",$J$24,"Ret")</f>
        <v>23</v>
      </c>
      <c r="C462" s="78"/>
      <c r="D462" s="68" t="str">
        <f>IF(C462&lt;&gt;"",VLOOKUP(C462,'Dummy Table'!$B$3:$C$30,2,FALSE),"")</f>
        <v/>
      </c>
      <c r="E462" s="68" t="str">
        <f>IF(C462&lt;&gt;"",VLOOKUP(C462,'Dummy Table'!$B$3:$D$30,3,FALSE),"")</f>
        <v/>
      </c>
      <c r="F462" s="140"/>
      <c r="G462" s="75"/>
      <c r="H462" s="75"/>
      <c r="I462" s="75"/>
      <c r="J462" s="76"/>
      <c r="K462" s="74"/>
      <c r="L462" s="79"/>
      <c r="M462" s="72"/>
      <c r="N462" s="72"/>
      <c r="O462" s="72"/>
      <c r="P462" s="71"/>
      <c r="Q462" s="71"/>
      <c r="R462" s="71"/>
      <c r="S462" s="79"/>
      <c r="T462" s="79"/>
      <c r="U462" s="79"/>
      <c r="V462" s="79"/>
      <c r="W462" s="79"/>
      <c r="X462" s="79"/>
      <c r="Y462" s="79"/>
      <c r="Z462" s="79"/>
    </row>
    <row r="463" spans="1:26" ht="12.75" hidden="1" customHeight="1" x14ac:dyDescent="0.2">
      <c r="B463" s="138" t="str">
        <f>IF(F463="",$J$25,"Ret")</f>
        <v/>
      </c>
      <c r="C463" s="78"/>
      <c r="D463" s="68" t="str">
        <f>IF(C463&lt;&gt;"",VLOOKUP(C463,'Dummy Table'!$B$3:$C$30,2,FALSE),"")</f>
        <v/>
      </c>
      <c r="E463" s="68" t="str">
        <f>IF(C463&lt;&gt;"",VLOOKUP(C463,'Dummy Table'!$B$3:$D$30,3,FALSE),"")</f>
        <v/>
      </c>
      <c r="F463" s="140"/>
      <c r="G463" s="75"/>
      <c r="H463" s="75"/>
      <c r="I463" s="75"/>
      <c r="K463" s="74"/>
    </row>
    <row r="464" spans="1:26" x14ac:dyDescent="0.2">
      <c r="B464" s="141" t="s">
        <v>243</v>
      </c>
      <c r="C464" s="88" t="s">
        <v>310</v>
      </c>
      <c r="D464" s="89" t="str">
        <f>IF(C464&lt;&gt;"",VLOOKUP(C464,'Dummy Table'!$B$3:$C$30,2,FALSE),"")</f>
        <v>Inglaterra</v>
      </c>
      <c r="E464" s="89" t="str">
        <f>IF(C464&lt;&gt;"",VLOOKUP(C464,'Dummy Table'!$B$3:$D$30,3,FALSE),"")</f>
        <v>McLaren</v>
      </c>
      <c r="F464" s="142"/>
      <c r="H464" s="75"/>
      <c r="K464" s="74"/>
      <c r="M464" s="83"/>
      <c r="N464" s="83"/>
      <c r="O464" s="83"/>
      <c r="P464" s="69"/>
      <c r="Q464" s="69"/>
      <c r="R464" s="69"/>
    </row>
    <row r="465" spans="1:26" ht="13.5" thickBot="1" x14ac:dyDescent="0.25">
      <c r="B465" s="143" t="s">
        <v>234</v>
      </c>
      <c r="C465" s="144" t="s">
        <v>307</v>
      </c>
      <c r="D465" s="145" t="str">
        <f>IF(C465&lt;&gt;"",VLOOKUP(C465,'Dummy Table'!$B$3:$C$30,2,FALSE),"")</f>
        <v>Mônaco</v>
      </c>
      <c r="E465" s="145" t="str">
        <f>IF(C465&lt;&gt;"",VLOOKUP(C465,'Dummy Table'!$B$3:$D$30,3,FALSE),"")</f>
        <v>Ferrari</v>
      </c>
      <c r="F465" s="146"/>
      <c r="H465" s="69">
        <f>IF(C465="",F465,0)</f>
        <v>0</v>
      </c>
      <c r="K465" s="74"/>
      <c r="M465" s="83"/>
      <c r="N465" s="83"/>
      <c r="O465" s="83"/>
      <c r="P465" s="69"/>
      <c r="Q465" s="69"/>
      <c r="R465" s="69"/>
    </row>
    <row r="466" spans="1:26" x14ac:dyDescent="0.2">
      <c r="A466" s="91">
        <v>14</v>
      </c>
      <c r="B466" s="132">
        <f>VLOOKUP($A466,'Calendário atual'!$A$2:$E$30,2,FALSE)</f>
        <v>46257</v>
      </c>
      <c r="C466" s="175" t="str">
        <f>VLOOKUP($A466,'Calendário atual'!$A$2:$E$30,4,FALSE)</f>
        <v>FORMULA 1 HEINEKEN DUTCH GRAND PRIX 2026</v>
      </c>
      <c r="D466" s="175"/>
      <c r="E466" s="175"/>
      <c r="F466" s="133" t="str">
        <f>VLOOKUP($A466,'Calendário atual'!$A$2:$E$30,3,FALSE)</f>
        <v>Holanda</v>
      </c>
      <c r="G466" s="75"/>
      <c r="H466" s="75"/>
      <c r="I466" s="75"/>
      <c r="K466" s="74"/>
      <c r="M466" s="83"/>
      <c r="N466" s="83"/>
      <c r="O466" s="83"/>
      <c r="P466" s="69"/>
      <c r="Q466" s="69"/>
      <c r="R466" s="69"/>
    </row>
    <row r="467" spans="1:26" x14ac:dyDescent="0.2">
      <c r="B467" s="147"/>
      <c r="C467" s="93" t="s">
        <v>354</v>
      </c>
      <c r="D467" s="94"/>
      <c r="E467" s="94"/>
      <c r="F467" s="148"/>
      <c r="G467" s="75"/>
      <c r="H467" s="75"/>
      <c r="I467" s="75"/>
      <c r="K467" s="81"/>
      <c r="M467" s="77"/>
      <c r="N467" s="77"/>
      <c r="O467" s="77"/>
      <c r="P467" s="77"/>
      <c r="Q467" s="77"/>
      <c r="R467" s="77"/>
      <c r="S467" s="77"/>
      <c r="T467" s="77"/>
      <c r="V467" s="71"/>
      <c r="W467" s="71"/>
      <c r="X467" s="71"/>
    </row>
    <row r="468" spans="1:26" x14ac:dyDescent="0.2">
      <c r="B468" s="134" t="s">
        <v>14</v>
      </c>
      <c r="C468" s="90" t="s">
        <v>29</v>
      </c>
      <c r="D468" s="90" t="s">
        <v>16</v>
      </c>
      <c r="E468" s="90" t="s">
        <v>17</v>
      </c>
      <c r="F468" s="135" t="s">
        <v>18</v>
      </c>
      <c r="M468" s="82"/>
      <c r="N468" s="82"/>
      <c r="O468" s="82"/>
      <c r="P468" s="79"/>
      <c r="Q468" s="79"/>
      <c r="R468" s="79"/>
      <c r="V468" s="71"/>
      <c r="W468" s="71"/>
      <c r="X468" s="71"/>
    </row>
    <row r="469" spans="1:26" x14ac:dyDescent="0.2">
      <c r="B469" s="136">
        <f>$J$2</f>
        <v>1</v>
      </c>
      <c r="C469" s="86" t="s">
        <v>353</v>
      </c>
      <c r="D469" s="87" t="str">
        <f>IF(C469&lt;&gt;"",VLOOKUP(C469,'Dummy Table'!$B$3:$C$30,2,FALSE),"")</f>
        <v>Inglaterra</v>
      </c>
      <c r="E469" s="87" t="str">
        <f>IF(C469&lt;&gt;"",VLOOKUP(C469,'Dummy Table'!$B$3:$D$30,3,FALSE),"")</f>
        <v>Mercedes</v>
      </c>
      <c r="F469" s="137">
        <v>8</v>
      </c>
      <c r="G469" s="69">
        <f>IF(C469="",F469,0)</f>
        <v>0</v>
      </c>
      <c r="H469" s="69">
        <f>IF(C469="",F469,0)</f>
        <v>0</v>
      </c>
      <c r="K469" s="74"/>
      <c r="V469" s="71"/>
      <c r="W469" s="71"/>
      <c r="X469" s="71"/>
    </row>
    <row r="470" spans="1:26" x14ac:dyDescent="0.2">
      <c r="B470" s="138">
        <f>$J$3</f>
        <v>2</v>
      </c>
      <c r="C470" s="86" t="s">
        <v>307</v>
      </c>
      <c r="D470" s="87" t="str">
        <f>IF(C470&lt;&gt;"",VLOOKUP(C470,'Dummy Table'!$B$3:$C$30,2,FALSE),"")</f>
        <v>Mônaco</v>
      </c>
      <c r="E470" s="87" t="str">
        <f>IF(C470&lt;&gt;"",VLOOKUP(C470,'Dummy Table'!$B$3:$D$30,3,FALSE),"")</f>
        <v>Ferrari</v>
      </c>
      <c r="F470" s="137">
        <v>7</v>
      </c>
      <c r="H470" s="69">
        <f>IF(C470="",F470,0)</f>
        <v>0</v>
      </c>
      <c r="K470" s="74"/>
    </row>
    <row r="471" spans="1:26" x14ac:dyDescent="0.2">
      <c r="B471" s="138">
        <f>$J$4</f>
        <v>3</v>
      </c>
      <c r="C471" s="86" t="s">
        <v>310</v>
      </c>
      <c r="D471" s="87" t="str">
        <f>IF(C471&lt;&gt;"",VLOOKUP(C471,'Dummy Table'!$B$3:$C$30,2,FALSE),"")</f>
        <v>Inglaterra</v>
      </c>
      <c r="E471" s="87" t="str">
        <f>IF(C471&lt;&gt;"",VLOOKUP(C471,'Dummy Table'!$B$3:$D$30,3,FALSE),"")</f>
        <v>McLaren</v>
      </c>
      <c r="F471" s="137">
        <v>6</v>
      </c>
    </row>
    <row r="472" spans="1:26" x14ac:dyDescent="0.2">
      <c r="B472" s="138">
        <f>$J$5</f>
        <v>4</v>
      </c>
      <c r="C472" s="86" t="s">
        <v>324</v>
      </c>
      <c r="D472" s="87" t="str">
        <f>IF(C472&lt;&gt;"",VLOOKUP(C472,'Dummy Table'!$B$3:$C$30,2,FALSE),"")</f>
        <v>Itália</v>
      </c>
      <c r="E472" s="87" t="str">
        <f>IF(C472&lt;&gt;"",VLOOKUP(C472,'Dummy Table'!$B$3:$D$30,3,FALSE),"")</f>
        <v>Mercedes</v>
      </c>
      <c r="F472" s="137">
        <v>5</v>
      </c>
      <c r="K472" s="79"/>
    </row>
    <row r="473" spans="1:26" x14ac:dyDescent="0.2">
      <c r="B473" s="138">
        <f>$J$6</f>
        <v>5</v>
      </c>
      <c r="C473" s="86" t="s">
        <v>323</v>
      </c>
      <c r="D473" s="87" t="str">
        <f>IF(C473&lt;&gt;"",VLOOKUP(C473,'Dummy Table'!$B$3:$C$30,2,FALSE),"")</f>
        <v>Austrália</v>
      </c>
      <c r="E473" s="87" t="str">
        <f>IF(C473&lt;&gt;"",VLOOKUP(C473,'Dummy Table'!$B$3:$D$30,3,FALSE),"")</f>
        <v>McLaren</v>
      </c>
      <c r="F473" s="137">
        <v>4</v>
      </c>
    </row>
    <row r="474" spans="1:26" x14ac:dyDescent="0.2">
      <c r="B474" s="138">
        <f>$J$7</f>
        <v>6</v>
      </c>
      <c r="C474" s="86" t="s">
        <v>299</v>
      </c>
      <c r="D474" s="87" t="str">
        <f>IF(C474&lt;&gt;"",VLOOKUP(C474,'Dummy Table'!$B$3:$C$30,2,FALSE),"")</f>
        <v>Holanda</v>
      </c>
      <c r="E474" s="87" t="str">
        <f>IF(C474&lt;&gt;"",VLOOKUP(C474,'Dummy Table'!$B$3:$D$30,3,FALSE),"")</f>
        <v>Red Bull</v>
      </c>
      <c r="F474" s="137">
        <v>3</v>
      </c>
      <c r="K474" s="74"/>
    </row>
    <row r="475" spans="1:26" x14ac:dyDescent="0.2">
      <c r="B475" s="138">
        <f>$J$8</f>
        <v>7</v>
      </c>
      <c r="C475" s="86" t="s">
        <v>1</v>
      </c>
      <c r="D475" s="87" t="str">
        <f>IF(C475&lt;&gt;"",VLOOKUP(C475,'Dummy Table'!$B$3:$C$30,2,FALSE),"")</f>
        <v>Inglaterra</v>
      </c>
      <c r="E475" s="87" t="str">
        <f>IF(C475&lt;&gt;"",VLOOKUP(C475,'Dummy Table'!$B$3:$D$30,3,FALSE),"")</f>
        <v>Ferrari</v>
      </c>
      <c r="F475" s="137">
        <v>2</v>
      </c>
      <c r="K475" s="74"/>
    </row>
    <row r="476" spans="1:26" x14ac:dyDescent="0.2">
      <c r="B476" s="138">
        <f>$J$9</f>
        <v>8</v>
      </c>
      <c r="C476" s="86" t="s">
        <v>306</v>
      </c>
      <c r="D476" s="87" t="str">
        <f>IF(C476&lt;&gt;"",VLOOKUP(C476,'Dummy Table'!$B$3:$C$30,2,FALSE),"")</f>
        <v>França</v>
      </c>
      <c r="E476" s="87" t="str">
        <f>IF(C476&lt;&gt;"",VLOOKUP(C476,'Dummy Table'!$B$3:$D$30,3,FALSE),"")</f>
        <v>Alpine</v>
      </c>
      <c r="F476" s="137">
        <v>1</v>
      </c>
      <c r="K476" s="74"/>
    </row>
    <row r="477" spans="1:26" s="80" customFormat="1" x14ac:dyDescent="0.2">
      <c r="A477" s="91"/>
      <c r="B477" s="138">
        <f>$J$10</f>
        <v>9</v>
      </c>
      <c r="C477" s="86" t="s">
        <v>329</v>
      </c>
      <c r="D477" s="87" t="str">
        <f>IF(C477&lt;&gt;"",VLOOKUP(C477,'Dummy Table'!$B$3:$C$30,2,FALSE),"")</f>
        <v>Brasil</v>
      </c>
      <c r="E477" s="87" t="str">
        <f>IF(C477&lt;&gt;"",VLOOKUP(C477,'Dummy Table'!$B$3:$D$30,3,FALSE),"")</f>
        <v>Audi</v>
      </c>
      <c r="F477" s="137"/>
      <c r="G477" s="69"/>
      <c r="H477" s="69"/>
      <c r="I477" s="69"/>
      <c r="J477" s="76"/>
      <c r="K477" s="74"/>
      <c r="L477" s="79"/>
      <c r="M477" s="72"/>
      <c r="N477" s="72"/>
      <c r="O477" s="72"/>
      <c r="P477" s="71"/>
      <c r="Q477" s="71"/>
      <c r="R477" s="71"/>
      <c r="S477" s="79"/>
      <c r="T477" s="79"/>
      <c r="U477" s="79"/>
      <c r="V477" s="79"/>
      <c r="W477" s="79"/>
      <c r="X477" s="79"/>
      <c r="Y477" s="79"/>
      <c r="Z477" s="79"/>
    </row>
    <row r="478" spans="1:26" x14ac:dyDescent="0.2">
      <c r="B478" s="138">
        <f>$J$11</f>
        <v>10</v>
      </c>
      <c r="C478" s="86" t="s">
        <v>407</v>
      </c>
      <c r="D478" s="87" t="str">
        <f>IF(C478&lt;&gt;"",VLOOKUP(C478,'Dummy Table'!$B$3:$C$30,2,FALSE),"")</f>
        <v>Inglaterra</v>
      </c>
      <c r="E478" s="87" t="str">
        <f>IF(C478&lt;&gt;"",VLOOKUP(C478,'Dummy Table'!$B$3:$D$30,3,FALSE),"")</f>
        <v>Racing Bulls</v>
      </c>
      <c r="F478" s="137"/>
      <c r="K478" s="74"/>
    </row>
    <row r="479" spans="1:26" x14ac:dyDescent="0.2">
      <c r="B479" s="138">
        <f>$J$12</f>
        <v>11</v>
      </c>
      <c r="C479" s="86" t="s">
        <v>408</v>
      </c>
      <c r="D479" s="87" t="str">
        <f>IF(C479&lt;&gt;"",VLOOKUP(C479,'Dummy Table'!$B$3:$C$30,2,FALSE),"")</f>
        <v>Austrália</v>
      </c>
      <c r="E479" s="87" t="str">
        <f>IF(C479&lt;&gt;"",VLOOKUP(C479,'Dummy Table'!$B$3:$D$30,3,FALSE),"")</f>
        <v>Racing Bulls</v>
      </c>
      <c r="F479" s="139"/>
      <c r="K479" s="74"/>
    </row>
    <row r="480" spans="1:26" x14ac:dyDescent="0.2">
      <c r="B480" s="138">
        <f>$J$13</f>
        <v>12</v>
      </c>
      <c r="C480" s="86" t="s">
        <v>412</v>
      </c>
      <c r="D480" s="87" t="str">
        <f>IF(C480&lt;&gt;"",VLOOKUP(C480,'Dummy Table'!$B$3:$C$30,2,FALSE),"")</f>
        <v>Argentina</v>
      </c>
      <c r="E480" s="87" t="str">
        <f>IF(C480&lt;&gt;"",VLOOKUP(C480,'Dummy Table'!$B$3:$D$30,3,FALSE),"")</f>
        <v>Alpine</v>
      </c>
      <c r="F480" s="139"/>
      <c r="K480" s="74"/>
    </row>
    <row r="481" spans="2:24" x14ac:dyDescent="0.2">
      <c r="B481" s="138">
        <f>$J$14</f>
        <v>13</v>
      </c>
      <c r="C481" s="86" t="s">
        <v>435</v>
      </c>
      <c r="D481" s="87" t="str">
        <f>IF(C481&lt;&gt;"",VLOOKUP(C481,'Dummy Table'!$B$3:$C$30,2,FALSE),"")</f>
        <v>Japão</v>
      </c>
      <c r="E481" s="87" t="str">
        <f>IF(C481&lt;&gt;"",VLOOKUP(C481,'Dummy Table'!$B$3:$D$30,3,FALSE),"")</f>
        <v>Racing Bulls</v>
      </c>
      <c r="F481" s="139"/>
      <c r="G481" s="75"/>
      <c r="H481" s="75"/>
      <c r="I481" s="75"/>
      <c r="K481" s="74"/>
    </row>
    <row r="482" spans="2:24" x14ac:dyDescent="0.2">
      <c r="B482" s="138">
        <f>$J$15</f>
        <v>14</v>
      </c>
      <c r="C482" s="86" t="s">
        <v>313</v>
      </c>
      <c r="D482" s="87" t="str">
        <f>IF(C482&lt;&gt;"",VLOOKUP(C482,'Dummy Table'!$B$3:$C$30,2,FALSE),"")</f>
        <v>França</v>
      </c>
      <c r="E482" s="87" t="str">
        <f>IF(C482&lt;&gt;"",VLOOKUP(C482,'Dummy Table'!$B$3:$D$30,3,FALSE),"")</f>
        <v>Haas</v>
      </c>
      <c r="F482" s="139"/>
      <c r="G482" s="75"/>
      <c r="H482" s="75"/>
      <c r="I482" s="75"/>
      <c r="K482" s="74"/>
      <c r="M482" s="82"/>
      <c r="N482" s="82"/>
      <c r="O482" s="82"/>
      <c r="P482" s="79"/>
      <c r="Q482" s="79"/>
      <c r="R482" s="79"/>
    </row>
    <row r="483" spans="2:24" x14ac:dyDescent="0.2">
      <c r="B483" s="138">
        <f>$J$16</f>
        <v>15</v>
      </c>
      <c r="C483" s="86" t="s">
        <v>325</v>
      </c>
      <c r="D483" s="87" t="str">
        <f>IF(C483&lt;&gt;"",VLOOKUP(C483,'Dummy Table'!$B$3:$C$30,2,FALSE),"")</f>
        <v>Inglaterra</v>
      </c>
      <c r="E483" s="87" t="str">
        <f>IF(C483&lt;&gt;"",VLOOKUP(C483,'Dummy Table'!$B$3:$D$30,3,FALSE),"")</f>
        <v>Haas</v>
      </c>
      <c r="F483" s="139"/>
      <c r="G483" s="75"/>
      <c r="H483" s="75"/>
      <c r="I483" s="75"/>
      <c r="K483" s="74"/>
    </row>
    <row r="484" spans="2:24" x14ac:dyDescent="0.2">
      <c r="B484" s="138">
        <f>$J$17</f>
        <v>16</v>
      </c>
      <c r="C484" s="86" t="s">
        <v>309</v>
      </c>
      <c r="D484" s="87" t="str">
        <f>IF(C484&lt;&gt;"",VLOOKUP(C484,'Dummy Table'!$B$3:$C$30,2,FALSE),"")</f>
        <v>Tailandia</v>
      </c>
      <c r="E484" s="87" t="str">
        <f>IF(C484&lt;&gt;"",VLOOKUP(C484,'Dummy Table'!$B$3:$D$30,3,FALSE),"")</f>
        <v>Williams</v>
      </c>
      <c r="F484" s="139"/>
      <c r="G484" s="75"/>
      <c r="H484" s="75"/>
      <c r="I484" s="75"/>
      <c r="K484" s="74"/>
    </row>
    <row r="485" spans="2:24" x14ac:dyDescent="0.2">
      <c r="B485" s="138">
        <f>$J$18</f>
        <v>17</v>
      </c>
      <c r="C485" s="86" t="s">
        <v>305</v>
      </c>
      <c r="D485" s="87" t="str">
        <f>IF(C485&lt;&gt;"",VLOOKUP(C485,'Dummy Table'!$B$3:$C$30,2,FALSE),"")</f>
        <v>Canadá</v>
      </c>
      <c r="E485" s="87" t="str">
        <f>IF(C485&lt;&gt;"",VLOOKUP(C485,'Dummy Table'!$B$3:$D$30,3,FALSE),"")</f>
        <v>Aston Martin</v>
      </c>
      <c r="F485" s="139"/>
      <c r="G485" s="75"/>
      <c r="H485" s="75"/>
      <c r="I485" s="75"/>
    </row>
    <row r="486" spans="2:24" x14ac:dyDescent="0.2">
      <c r="B486" s="138">
        <f>$J$19</f>
        <v>18</v>
      </c>
      <c r="C486" s="86" t="s">
        <v>30</v>
      </c>
      <c r="D486" s="87" t="str">
        <f>IF(C486&lt;&gt;"",VLOOKUP(C486,'Dummy Table'!$B$3:$C$30,2,FALSE),"")</f>
        <v>Espanha</v>
      </c>
      <c r="E486" s="87" t="str">
        <f>IF(C486&lt;&gt;"",VLOOKUP(C486,'Dummy Table'!$B$3:$D$30,3,FALSE),"")</f>
        <v>Aston Martin</v>
      </c>
      <c r="F486" s="139"/>
      <c r="G486" s="75"/>
      <c r="H486" s="75"/>
      <c r="I486" s="75"/>
      <c r="K486" s="79"/>
    </row>
    <row r="487" spans="2:24" x14ac:dyDescent="0.2">
      <c r="B487" s="138">
        <f>$J$20</f>
        <v>19</v>
      </c>
      <c r="C487" s="86" t="s">
        <v>397</v>
      </c>
      <c r="D487" s="87" t="str">
        <f>IF(C487&lt;&gt;"",VLOOKUP(C487,'Dummy Table'!$B$3:$C$30,2,FALSE),"")</f>
        <v>Finlândia</v>
      </c>
      <c r="E487" s="87" t="str">
        <f>IF(C487&lt;&gt;"",VLOOKUP(C487,'Dummy Table'!$B$3:$D$30,3,FALSE),"")</f>
        <v>Cadillac</v>
      </c>
      <c r="F487" s="139"/>
      <c r="G487" s="75"/>
      <c r="H487" s="75"/>
      <c r="I487" s="75"/>
    </row>
    <row r="488" spans="2:24" x14ac:dyDescent="0.2">
      <c r="B488" s="138">
        <f>$J$21</f>
        <v>20</v>
      </c>
      <c r="C488" s="86" t="s">
        <v>328</v>
      </c>
      <c r="D488" s="87" t="str">
        <f>IF(C488&lt;&gt;"",VLOOKUP(C488,'Dummy Table'!$B$3:$C$30,2,FALSE),"")</f>
        <v>Espanha</v>
      </c>
      <c r="E488" s="87" t="str">
        <f>IF(C488&lt;&gt;"",VLOOKUP(C488,'Dummy Table'!$B$3:$D$30,3,FALSE),"")</f>
        <v>Williams</v>
      </c>
      <c r="F488" s="139"/>
      <c r="G488" s="75"/>
      <c r="H488" s="75"/>
      <c r="I488" s="75"/>
      <c r="K488" s="74"/>
    </row>
    <row r="489" spans="2:24" x14ac:dyDescent="0.2">
      <c r="B489" s="138">
        <f>$J$22</f>
        <v>21</v>
      </c>
      <c r="C489" s="86" t="s">
        <v>396</v>
      </c>
      <c r="D489" s="87" t="str">
        <f>IF(C489&lt;&gt;"",VLOOKUP(C489,'Dummy Table'!$B$3:$C$30,2,FALSE),"")</f>
        <v>México</v>
      </c>
      <c r="E489" s="87" t="str">
        <f>IF(C489&lt;&gt;"",VLOOKUP(C489,'Dummy Table'!$B$3:$D$30,3,FALSE),"")</f>
        <v>Cadillac</v>
      </c>
      <c r="F489" s="139"/>
      <c r="G489" s="75"/>
      <c r="H489" s="75"/>
      <c r="I489" s="75"/>
      <c r="K489" s="74"/>
    </row>
    <row r="490" spans="2:24" x14ac:dyDescent="0.2">
      <c r="B490" s="138">
        <f>$J$23</f>
        <v>22</v>
      </c>
      <c r="C490" s="86" t="s">
        <v>252</v>
      </c>
      <c r="D490" s="87" t="str">
        <f>IF(C490&lt;&gt;"",VLOOKUP(C490,'Dummy Table'!$B$3:$C$30,2,FALSE),"")</f>
        <v>Alemanha</v>
      </c>
      <c r="E490" s="87" t="str">
        <f>IF(C490&lt;&gt;"",VLOOKUP(C490,'Dummy Table'!$B$3:$D$30,3,FALSE),"")</f>
        <v>Audi</v>
      </c>
      <c r="F490" s="139"/>
      <c r="G490" s="75"/>
      <c r="H490" s="75"/>
      <c r="I490" s="75"/>
      <c r="K490" s="74"/>
    </row>
    <row r="491" spans="2:24" x14ac:dyDescent="0.2">
      <c r="B491" s="147"/>
      <c r="C491" s="93" t="s">
        <v>355</v>
      </c>
      <c r="D491" s="94"/>
      <c r="E491" s="94"/>
      <c r="F491" s="148"/>
      <c r="G491" s="75"/>
      <c r="H491" s="75"/>
      <c r="I491" s="75"/>
      <c r="K491" s="81"/>
      <c r="M491" s="77"/>
      <c r="N491" s="77"/>
      <c r="O491" s="77"/>
      <c r="P491" s="77"/>
      <c r="Q491" s="77"/>
      <c r="R491" s="77"/>
      <c r="S491" s="77"/>
      <c r="T491" s="77"/>
      <c r="V491" s="71"/>
      <c r="W491" s="71"/>
      <c r="X491" s="71"/>
    </row>
    <row r="492" spans="2:24" x14ac:dyDescent="0.2">
      <c r="B492" s="134" t="s">
        <v>14</v>
      </c>
      <c r="C492" s="90" t="s">
        <v>29</v>
      </c>
      <c r="D492" s="90" t="s">
        <v>16</v>
      </c>
      <c r="E492" s="90" t="s">
        <v>17</v>
      </c>
      <c r="F492" s="135" t="s">
        <v>18</v>
      </c>
      <c r="K492" s="74"/>
      <c r="M492" s="83"/>
      <c r="N492" s="83"/>
      <c r="O492" s="83"/>
      <c r="P492" s="69"/>
      <c r="Q492" s="69"/>
      <c r="R492" s="69"/>
    </row>
    <row r="493" spans="2:24" x14ac:dyDescent="0.2">
      <c r="B493" s="136">
        <f>$J$2</f>
        <v>1</v>
      </c>
      <c r="C493" s="86" t="s">
        <v>310</v>
      </c>
      <c r="D493" s="87" t="str">
        <f>IF(C493&lt;&gt;"",VLOOKUP(C493,'Dummy Table'!$B$3:$C$30,2,FALSE),"")</f>
        <v>Inglaterra</v>
      </c>
      <c r="E493" s="87" t="str">
        <f>IF(C493&lt;&gt;"",VLOOKUP(C493,'Dummy Table'!$B$3:$D$30,3,FALSE),"")</f>
        <v>McLaren</v>
      </c>
      <c r="F493" s="137">
        <v>25</v>
      </c>
      <c r="G493" s="69">
        <f>IF(C493="",F493,0)</f>
        <v>0</v>
      </c>
      <c r="H493" s="69">
        <f>IF(C493="",F493,0)</f>
        <v>0</v>
      </c>
      <c r="I493" s="69">
        <f>IF(C493="",1,0)</f>
        <v>0</v>
      </c>
      <c r="K493" s="74"/>
    </row>
    <row r="494" spans="2:24" x14ac:dyDescent="0.2">
      <c r="B494" s="138">
        <f>$J$3</f>
        <v>2</v>
      </c>
      <c r="C494" s="86" t="s">
        <v>324</v>
      </c>
      <c r="D494" s="87" t="str">
        <f>IF(C494&lt;&gt;"",VLOOKUP(C494,'Dummy Table'!$B$3:$C$30,2,FALSE),"")</f>
        <v>Itália</v>
      </c>
      <c r="E494" s="87" t="str">
        <f>IF(C494&lt;&gt;"",VLOOKUP(C494,'Dummy Table'!$B$3:$D$30,3,FALSE),"")</f>
        <v>Mercedes</v>
      </c>
      <c r="F494" s="137">
        <v>18</v>
      </c>
      <c r="H494" s="69">
        <f>IF(C494="",F494,0)</f>
        <v>0</v>
      </c>
      <c r="K494" s="74"/>
    </row>
    <row r="495" spans="2:24" x14ac:dyDescent="0.2">
      <c r="B495" s="138">
        <f>$J$4</f>
        <v>3</v>
      </c>
      <c r="C495" s="86" t="s">
        <v>353</v>
      </c>
      <c r="D495" s="87" t="str">
        <f>IF(C495&lt;&gt;"",VLOOKUP(C495,'Dummy Table'!$B$3:$C$30,2,FALSE),"")</f>
        <v>Inglaterra</v>
      </c>
      <c r="E495" s="87" t="str">
        <f>IF(C495&lt;&gt;"",VLOOKUP(C495,'Dummy Table'!$B$3:$D$30,3,FALSE),"")</f>
        <v>Mercedes</v>
      </c>
      <c r="F495" s="137">
        <v>15</v>
      </c>
    </row>
    <row r="496" spans="2:24" x14ac:dyDescent="0.2">
      <c r="B496" s="138">
        <f>$J$5</f>
        <v>4</v>
      </c>
      <c r="C496" s="86" t="s">
        <v>1</v>
      </c>
      <c r="D496" s="87" t="str">
        <f>IF(C496&lt;&gt;"",VLOOKUP(C496,'Dummy Table'!$B$3:$C$30,2,FALSE),"")</f>
        <v>Inglaterra</v>
      </c>
      <c r="E496" s="87" t="str">
        <f>IF(C496&lt;&gt;"",VLOOKUP(C496,'Dummy Table'!$B$3:$D$30,3,FALSE),"")</f>
        <v>Ferrari</v>
      </c>
      <c r="F496" s="137">
        <v>12</v>
      </c>
      <c r="K496" s="79"/>
    </row>
    <row r="497" spans="1:26" x14ac:dyDescent="0.2">
      <c r="B497" s="138">
        <f>$J$6</f>
        <v>5</v>
      </c>
      <c r="C497" s="86" t="s">
        <v>307</v>
      </c>
      <c r="D497" s="87" t="str">
        <f>IF(C497&lt;&gt;"",VLOOKUP(C497,'Dummy Table'!$B$3:$C$30,2,FALSE),"")</f>
        <v>Mônaco</v>
      </c>
      <c r="E497" s="87" t="str">
        <f>IF(C497&lt;&gt;"",VLOOKUP(C497,'Dummy Table'!$B$3:$D$30,3,FALSE),"")</f>
        <v>Ferrari</v>
      </c>
      <c r="F497" s="137">
        <v>10</v>
      </c>
    </row>
    <row r="498" spans="1:26" x14ac:dyDescent="0.2">
      <c r="B498" s="138">
        <f>$J$7</f>
        <v>6</v>
      </c>
      <c r="C498" s="86" t="s">
        <v>323</v>
      </c>
      <c r="D498" s="87" t="str">
        <f>IF(C498&lt;&gt;"",VLOOKUP(C498,'Dummy Table'!$B$3:$C$30,2,FALSE),"")</f>
        <v>Austrália</v>
      </c>
      <c r="E498" s="87" t="str">
        <f>IF(C498&lt;&gt;"",VLOOKUP(C498,'Dummy Table'!$B$3:$D$30,3,FALSE),"")</f>
        <v>McLaren</v>
      </c>
      <c r="F498" s="137">
        <v>8</v>
      </c>
      <c r="K498" s="74"/>
    </row>
    <row r="499" spans="1:26" x14ac:dyDescent="0.2">
      <c r="B499" s="138">
        <f>$J$8</f>
        <v>7</v>
      </c>
      <c r="C499" s="86" t="s">
        <v>408</v>
      </c>
      <c r="D499" s="87" t="str">
        <f>IF(C499&lt;&gt;"",VLOOKUP(C499,'Dummy Table'!$B$3:$C$30,2,FALSE),"")</f>
        <v>Austrália</v>
      </c>
      <c r="E499" s="87" t="str">
        <f>IF(C499&lt;&gt;"",VLOOKUP(C499,'Dummy Table'!$B$3:$D$30,3,FALSE),"")</f>
        <v>Racing Bulls</v>
      </c>
      <c r="F499" s="137">
        <v>6</v>
      </c>
      <c r="K499" s="74"/>
    </row>
    <row r="500" spans="1:26" x14ac:dyDescent="0.2">
      <c r="B500" s="138">
        <f>$J$9</f>
        <v>8</v>
      </c>
      <c r="C500" s="86" t="s">
        <v>252</v>
      </c>
      <c r="D500" s="87" t="str">
        <f>IF(C500&lt;&gt;"",VLOOKUP(C500,'Dummy Table'!$B$3:$C$30,2,FALSE),"")</f>
        <v>Alemanha</v>
      </c>
      <c r="E500" s="87" t="str">
        <f>IF(C500&lt;&gt;"",VLOOKUP(C500,'Dummy Table'!$B$3:$D$30,3,FALSE),"")</f>
        <v>Audi</v>
      </c>
      <c r="F500" s="137">
        <v>4</v>
      </c>
      <c r="K500" s="74"/>
    </row>
    <row r="501" spans="1:26" s="80" customFormat="1" x14ac:dyDescent="0.2">
      <c r="A501" s="91"/>
      <c r="B501" s="138">
        <f>$J$10</f>
        <v>9</v>
      </c>
      <c r="C501" s="86" t="s">
        <v>30</v>
      </c>
      <c r="D501" s="87" t="str">
        <f>IF(C501&lt;&gt;"",VLOOKUP(C501,'Dummy Table'!$B$3:$C$30,2,FALSE),"")</f>
        <v>Espanha</v>
      </c>
      <c r="E501" s="87" t="str">
        <f>IF(C501&lt;&gt;"",VLOOKUP(C501,'Dummy Table'!$B$3:$D$30,3,FALSE),"")</f>
        <v>Aston Martin</v>
      </c>
      <c r="F501" s="137">
        <v>2</v>
      </c>
      <c r="G501" s="69"/>
      <c r="H501" s="69"/>
      <c r="I501" s="69"/>
      <c r="J501" s="76"/>
      <c r="K501" s="74"/>
      <c r="L501" s="79"/>
      <c r="M501" s="72"/>
      <c r="N501" s="72"/>
      <c r="O501" s="72"/>
      <c r="P501" s="71"/>
      <c r="Q501" s="71"/>
      <c r="R501" s="71"/>
      <c r="S501" s="79"/>
      <c r="T501" s="79"/>
      <c r="U501" s="79"/>
      <c r="V501" s="79"/>
      <c r="W501" s="79"/>
      <c r="X501" s="79"/>
      <c r="Y501" s="79"/>
      <c r="Z501" s="79"/>
    </row>
    <row r="502" spans="1:26" x14ac:dyDescent="0.2">
      <c r="B502" s="138">
        <f>$J$11</f>
        <v>10</v>
      </c>
      <c r="C502" s="86" t="s">
        <v>306</v>
      </c>
      <c r="D502" s="87" t="str">
        <f>IF(C502&lt;&gt;"",VLOOKUP(C502,'Dummy Table'!$B$3:$C$30,2,FALSE),"")</f>
        <v>França</v>
      </c>
      <c r="E502" s="87" t="str">
        <f>IF(C502&lt;&gt;"",VLOOKUP(C502,'Dummy Table'!$B$3:$D$30,3,FALSE),"")</f>
        <v>Alpine</v>
      </c>
      <c r="F502" s="137">
        <v>1</v>
      </c>
      <c r="K502" s="74"/>
    </row>
    <row r="503" spans="1:26" x14ac:dyDescent="0.2">
      <c r="B503" s="138">
        <f>$J$12</f>
        <v>11</v>
      </c>
      <c r="C503" s="86" t="s">
        <v>435</v>
      </c>
      <c r="D503" s="87" t="str">
        <f>IF(C503&lt;&gt;"",VLOOKUP(C503,'Dummy Table'!$B$3:$C$30,2,FALSE),"")</f>
        <v>Japão</v>
      </c>
      <c r="E503" s="87" t="str">
        <f>IF(C503&lt;&gt;"",VLOOKUP(C503,'Dummy Table'!$B$3:$D$30,3,FALSE),"")</f>
        <v>Racing Bulls</v>
      </c>
      <c r="F503" s="139"/>
      <c r="K503" s="74"/>
    </row>
    <row r="504" spans="1:26" x14ac:dyDescent="0.2">
      <c r="B504" s="138">
        <f>$J$13</f>
        <v>12</v>
      </c>
      <c r="C504" s="86" t="s">
        <v>407</v>
      </c>
      <c r="D504" s="87" t="str">
        <f>IF(C504&lt;&gt;"",VLOOKUP(C504,'Dummy Table'!$B$3:$C$30,2,FALSE),"")</f>
        <v>Inglaterra</v>
      </c>
      <c r="E504" s="87" t="str">
        <f>IF(C504&lt;&gt;"",VLOOKUP(C504,'Dummy Table'!$B$3:$D$30,3,FALSE),"")</f>
        <v>Racing Bulls</v>
      </c>
      <c r="F504" s="139"/>
      <c r="K504" s="74"/>
    </row>
    <row r="505" spans="1:26" x14ac:dyDescent="0.2">
      <c r="B505" s="138">
        <f>$J$14</f>
        <v>13</v>
      </c>
      <c r="C505" s="86" t="s">
        <v>353</v>
      </c>
      <c r="D505" s="87" t="str">
        <f>IF(C505&lt;&gt;"",VLOOKUP(C505,'Dummy Table'!$B$3:$C$30,2,FALSE),"")</f>
        <v>Inglaterra</v>
      </c>
      <c r="E505" s="87" t="str">
        <f>IF(C505&lt;&gt;"",VLOOKUP(C505,'Dummy Table'!$B$3:$D$30,3,FALSE),"")</f>
        <v>Mercedes</v>
      </c>
      <c r="F505" s="139"/>
      <c r="G505" s="75"/>
      <c r="H505" s="75"/>
      <c r="I505" s="75"/>
      <c r="K505" s="74"/>
    </row>
    <row r="506" spans="1:26" x14ac:dyDescent="0.2">
      <c r="B506" s="138">
        <f>$J$15</f>
        <v>14</v>
      </c>
      <c r="C506" s="86" t="s">
        <v>412</v>
      </c>
      <c r="D506" s="87" t="str">
        <f>IF(C506&lt;&gt;"",VLOOKUP(C506,'Dummy Table'!$B$3:$C$30,2,FALSE),"")</f>
        <v>Argentina</v>
      </c>
      <c r="E506" s="87" t="str">
        <f>IF(C506&lt;&gt;"",VLOOKUP(C506,'Dummy Table'!$B$3:$D$30,3,FALSE),"")</f>
        <v>Alpine</v>
      </c>
      <c r="F506" s="139"/>
      <c r="G506" s="75"/>
      <c r="H506" s="75"/>
      <c r="I506" s="75"/>
      <c r="K506" s="74"/>
      <c r="M506" s="82"/>
      <c r="N506" s="82"/>
      <c r="O506" s="82"/>
      <c r="P506" s="79"/>
      <c r="Q506" s="79"/>
      <c r="R506" s="79"/>
    </row>
    <row r="507" spans="1:26" x14ac:dyDescent="0.2">
      <c r="B507" s="138">
        <f>$J$16</f>
        <v>15</v>
      </c>
      <c r="C507" s="86" t="s">
        <v>396</v>
      </c>
      <c r="D507" s="87" t="str">
        <f>IF(C507&lt;&gt;"",VLOOKUP(C507,'Dummy Table'!$B$3:$C$30,2,FALSE),"")</f>
        <v>México</v>
      </c>
      <c r="E507" s="87" t="str">
        <f>IF(C507&lt;&gt;"",VLOOKUP(C507,'Dummy Table'!$B$3:$D$30,3,FALSE),"")</f>
        <v>Cadillac</v>
      </c>
      <c r="F507" s="139"/>
      <c r="G507" s="75"/>
      <c r="H507" s="75"/>
      <c r="I507" s="75"/>
      <c r="K507" s="74"/>
    </row>
    <row r="508" spans="1:26" x14ac:dyDescent="0.2">
      <c r="B508" s="138">
        <f>$J$17</f>
        <v>16</v>
      </c>
      <c r="C508" s="86" t="s">
        <v>328</v>
      </c>
      <c r="D508" s="87" t="str">
        <f>IF(C508&lt;&gt;"",VLOOKUP(C508,'Dummy Table'!$B$3:$C$30,2,FALSE),"")</f>
        <v>Espanha</v>
      </c>
      <c r="E508" s="87" t="str">
        <f>IF(C508&lt;&gt;"",VLOOKUP(C508,'Dummy Table'!$B$3:$D$30,3,FALSE),"")</f>
        <v>Williams</v>
      </c>
      <c r="F508" s="139"/>
      <c r="G508" s="75"/>
      <c r="H508" s="75"/>
      <c r="I508" s="75"/>
      <c r="K508" s="74"/>
    </row>
    <row r="509" spans="1:26" x14ac:dyDescent="0.2">
      <c r="B509" s="138">
        <f>$J$18</f>
        <v>17</v>
      </c>
      <c r="C509" s="86" t="s">
        <v>309</v>
      </c>
      <c r="D509" s="87" t="str">
        <f>IF(C509&lt;&gt;"",VLOOKUP(C509,'Dummy Table'!$B$3:$C$30,2,FALSE),"")</f>
        <v>Tailandia</v>
      </c>
      <c r="E509" s="87" t="str">
        <f>IF(C509&lt;&gt;"",VLOOKUP(C509,'Dummy Table'!$B$3:$D$30,3,FALSE),"")</f>
        <v>Williams</v>
      </c>
      <c r="F509" s="139"/>
      <c r="G509" s="75"/>
      <c r="H509" s="75"/>
      <c r="I509" s="75"/>
    </row>
    <row r="510" spans="1:26" x14ac:dyDescent="0.2">
      <c r="B510" s="138">
        <f>$J$19</f>
        <v>18</v>
      </c>
      <c r="C510" s="86" t="s">
        <v>397</v>
      </c>
      <c r="D510" s="87" t="str">
        <f>IF(C510&lt;&gt;"",VLOOKUP(C510,'Dummy Table'!$B$3:$C$30,2,FALSE),"")</f>
        <v>Finlândia</v>
      </c>
      <c r="E510" s="87" t="str">
        <f>IF(C510&lt;&gt;"",VLOOKUP(C510,'Dummy Table'!$B$3:$D$30,3,FALSE),"")</f>
        <v>Cadillac</v>
      </c>
      <c r="F510" s="139"/>
      <c r="G510" s="75"/>
      <c r="H510" s="75"/>
      <c r="I510" s="75"/>
      <c r="K510" s="79"/>
    </row>
    <row r="511" spans="1:26" x14ac:dyDescent="0.2">
      <c r="B511" s="138">
        <f>$J$20</f>
        <v>19</v>
      </c>
      <c r="C511" s="86" t="s">
        <v>313</v>
      </c>
      <c r="D511" s="87" t="str">
        <f>IF(C511&lt;&gt;"",VLOOKUP(C511,'Dummy Table'!$B$3:$C$30,2,FALSE),"")</f>
        <v>França</v>
      </c>
      <c r="E511" s="87" t="str">
        <f>IF(C511&lt;&gt;"",VLOOKUP(C511,'Dummy Table'!$B$3:$D$30,3,FALSE),"")</f>
        <v>Haas</v>
      </c>
      <c r="F511" s="139"/>
      <c r="G511" s="75"/>
      <c r="H511" s="75"/>
      <c r="I511" s="75"/>
    </row>
    <row r="512" spans="1:26" x14ac:dyDescent="0.2">
      <c r="B512" s="138">
        <f>$J$21</f>
        <v>20</v>
      </c>
      <c r="C512" s="86" t="s">
        <v>305</v>
      </c>
      <c r="D512" s="87" t="str">
        <f>IF(C512&lt;&gt;"",VLOOKUP(C512,'Dummy Table'!$B$3:$C$30,2,FALSE),"")</f>
        <v>Canadá</v>
      </c>
      <c r="E512" s="87" t="str">
        <f>IF(C512&lt;&gt;"",VLOOKUP(C512,'Dummy Table'!$B$3:$D$30,3,FALSE),"")</f>
        <v>Aston Martin</v>
      </c>
      <c r="F512" s="139"/>
      <c r="G512" s="75"/>
      <c r="H512" s="75"/>
      <c r="I512" s="75"/>
      <c r="K512" s="74"/>
    </row>
    <row r="513" spans="1:26" ht="12.75" customHeight="1" x14ac:dyDescent="0.2">
      <c r="B513" s="138">
        <f>$J$22</f>
        <v>21</v>
      </c>
      <c r="C513" s="86" t="s">
        <v>325</v>
      </c>
      <c r="D513" s="87" t="str">
        <f>IF(C513&lt;&gt;"",VLOOKUP(C513,'Dummy Table'!$B$3:$C$30,2,FALSE),"")</f>
        <v>Inglaterra</v>
      </c>
      <c r="E513" s="87" t="str">
        <f>IF(C513&lt;&gt;"",VLOOKUP(C513,'Dummy Table'!$B$3:$D$30,3,FALSE),"")</f>
        <v>Haas</v>
      </c>
      <c r="F513" s="139"/>
      <c r="G513" s="75"/>
      <c r="H513" s="75"/>
      <c r="I513" s="75"/>
      <c r="K513" s="74"/>
    </row>
    <row r="514" spans="1:26" ht="12.75" customHeight="1" x14ac:dyDescent="0.2">
      <c r="B514" s="138">
        <f>$J$23</f>
        <v>22</v>
      </c>
      <c r="C514" s="86" t="s">
        <v>299</v>
      </c>
      <c r="D514" s="87" t="str">
        <f>IF(C514&lt;&gt;"",VLOOKUP(C514,'Dummy Table'!$B$3:$C$30,2,FALSE),"")</f>
        <v>Holanda</v>
      </c>
      <c r="E514" s="87" t="str">
        <f>IF(C514&lt;&gt;"",VLOOKUP(C514,'Dummy Table'!$B$3:$D$30,3,FALSE),"")</f>
        <v>Red Bull</v>
      </c>
      <c r="F514" s="139"/>
      <c r="G514" s="75"/>
      <c r="H514" s="75"/>
      <c r="I514" s="75"/>
      <c r="K514" s="74"/>
    </row>
    <row r="515" spans="1:26" s="80" customFormat="1" ht="12.75" hidden="1" customHeight="1" x14ac:dyDescent="0.2">
      <c r="A515" s="91"/>
      <c r="B515" s="149">
        <f>IF(F515="",$J$24,"Ret")</f>
        <v>23</v>
      </c>
      <c r="C515" s="78"/>
      <c r="D515" s="68" t="str">
        <f>IF(C515&lt;&gt;"",VLOOKUP(C515,'Dummy Table'!$B$3:$C$30,2,FALSE),"")</f>
        <v/>
      </c>
      <c r="E515" s="68" t="str">
        <f>IF(C515&lt;&gt;"",VLOOKUP(C515,'Dummy Table'!$B$3:$D$30,3,FALSE),"")</f>
        <v/>
      </c>
      <c r="F515" s="140"/>
      <c r="G515" s="75"/>
      <c r="H515" s="75"/>
      <c r="I515" s="75"/>
      <c r="J515" s="76"/>
      <c r="K515" s="74"/>
      <c r="L515" s="79"/>
      <c r="M515" s="72"/>
      <c r="N515" s="72"/>
      <c r="O515" s="72"/>
      <c r="P515" s="71"/>
      <c r="Q515" s="71"/>
      <c r="R515" s="71"/>
      <c r="S515" s="79"/>
      <c r="T515" s="79"/>
      <c r="U515" s="79"/>
      <c r="V515" s="79"/>
      <c r="W515" s="79"/>
      <c r="X515" s="79"/>
      <c r="Y515" s="79"/>
      <c r="Z515" s="79"/>
    </row>
    <row r="516" spans="1:26" ht="12.75" hidden="1" customHeight="1" x14ac:dyDescent="0.2">
      <c r="B516" s="149" t="str">
        <f>IF(F516="",$J$25,"Ret")</f>
        <v/>
      </c>
      <c r="C516" s="78"/>
      <c r="D516" s="68" t="str">
        <f>IF(C516&lt;&gt;"",VLOOKUP(C516,'Dummy Table'!$B$3:$C$30,2,FALSE),"")</f>
        <v/>
      </c>
      <c r="E516" s="68" t="str">
        <f>IF(C516&lt;&gt;"",VLOOKUP(C516,'Dummy Table'!$B$3:$D$30,3,FALSE),"")</f>
        <v/>
      </c>
      <c r="F516" s="140"/>
      <c r="G516" s="75"/>
      <c r="H516" s="75"/>
      <c r="I516" s="75"/>
      <c r="K516" s="74"/>
    </row>
    <row r="517" spans="1:26" x14ac:dyDescent="0.2">
      <c r="B517" s="141" t="s">
        <v>243</v>
      </c>
      <c r="C517" s="88" t="s">
        <v>310</v>
      </c>
      <c r="D517" s="89" t="str">
        <f>IF(C517&lt;&gt;"",VLOOKUP(C517,'Dummy Table'!$B$3:$C$30,2,FALSE),"")</f>
        <v>Inglaterra</v>
      </c>
      <c r="E517" s="89" t="str">
        <f>IF(C517&lt;&gt;"",VLOOKUP(C517,'Dummy Table'!$B$3:$D$30,3,FALSE),"")</f>
        <v>McLaren</v>
      </c>
      <c r="F517" s="142"/>
      <c r="H517" s="75"/>
      <c r="K517" s="74"/>
      <c r="M517" s="83"/>
      <c r="N517" s="83"/>
      <c r="O517" s="83"/>
      <c r="P517" s="69"/>
      <c r="Q517" s="69"/>
      <c r="R517" s="69"/>
    </row>
    <row r="518" spans="1:26" ht="13.5" thickBot="1" x14ac:dyDescent="0.25">
      <c r="B518" s="143" t="s">
        <v>234</v>
      </c>
      <c r="C518" s="144" t="s">
        <v>307</v>
      </c>
      <c r="D518" s="145" t="str">
        <f>IF(C518&lt;&gt;"",VLOOKUP(C518,'Dummy Table'!$B$3:$C$30,2,FALSE),"")</f>
        <v>Mônaco</v>
      </c>
      <c r="E518" s="145" t="str">
        <f>IF(C518&lt;&gt;"",VLOOKUP(C518,'Dummy Table'!$B$3:$D$30,3,FALSE),"")</f>
        <v>Ferrari</v>
      </c>
      <c r="F518" s="146"/>
      <c r="H518" s="69">
        <f>IF(C518="",F518,0)</f>
        <v>0</v>
      </c>
      <c r="K518" s="74"/>
      <c r="M518" s="83"/>
      <c r="N518" s="83"/>
      <c r="O518" s="83"/>
      <c r="P518" s="69"/>
      <c r="Q518" s="69"/>
      <c r="R518" s="69"/>
    </row>
    <row r="519" spans="1:26" x14ac:dyDescent="0.2">
      <c r="A519" s="91">
        <v>15</v>
      </c>
      <c r="B519" s="132">
        <f>VLOOKUP($A519,'Calendário atual'!$A$2:$E$30,2,FALSE)</f>
        <v>46271</v>
      </c>
      <c r="C519" s="175" t="str">
        <f>VLOOKUP($A519,'Calendário atual'!$A$2:$E$30,4,FALSE)</f>
        <v>FORMULA 1 PIRELLI GRAN PREMIO D’ITALIA 2026</v>
      </c>
      <c r="D519" s="175"/>
      <c r="E519" s="175"/>
      <c r="F519" s="133" t="str">
        <f>VLOOKUP($A519,'Calendário atual'!$A$2:$E$30,3,FALSE)</f>
        <v>Itália</v>
      </c>
      <c r="G519" s="75"/>
      <c r="H519" s="75"/>
      <c r="I519" s="75"/>
      <c r="K519" s="74"/>
      <c r="M519" s="83"/>
      <c r="N519" s="83"/>
      <c r="O519" s="83"/>
      <c r="P519" s="69"/>
      <c r="Q519" s="69"/>
      <c r="R519" s="69"/>
    </row>
    <row r="520" spans="1:26" x14ac:dyDescent="0.2">
      <c r="B520" s="134" t="s">
        <v>14</v>
      </c>
      <c r="C520" s="90" t="s">
        <v>29</v>
      </c>
      <c r="D520" s="90" t="s">
        <v>16</v>
      </c>
      <c r="E520" s="90" t="s">
        <v>17</v>
      </c>
      <c r="F520" s="135" t="s">
        <v>18</v>
      </c>
      <c r="K520" s="74"/>
      <c r="M520" s="83"/>
      <c r="N520" s="83"/>
      <c r="O520" s="83"/>
      <c r="P520" s="69"/>
      <c r="Q520" s="69"/>
      <c r="R520" s="69"/>
    </row>
    <row r="521" spans="1:26" x14ac:dyDescent="0.2">
      <c r="B521" s="136">
        <f>$J$2</f>
        <v>1</v>
      </c>
      <c r="C521" s="86" t="s">
        <v>324</v>
      </c>
      <c r="D521" s="87" t="str">
        <f>IF(C521&lt;&gt;"",VLOOKUP(C521,'Dummy Table'!$B$3:$C$30,2,FALSE),"")</f>
        <v>Itália</v>
      </c>
      <c r="E521" s="87" t="str">
        <f>IF(C521&lt;&gt;"",VLOOKUP(C521,'Dummy Table'!$B$3:$D$30,3,FALSE),"")</f>
        <v>Mercedes</v>
      </c>
      <c r="F521" s="137">
        <v>25</v>
      </c>
      <c r="G521" s="69">
        <f>IF(C521="",F521,0)</f>
        <v>0</v>
      </c>
      <c r="H521" s="69">
        <f>IF(C521="",F521,0)</f>
        <v>0</v>
      </c>
      <c r="I521" s="69">
        <f>IF(C521="",1,0)</f>
        <v>0</v>
      </c>
      <c r="K521" s="74"/>
    </row>
    <row r="522" spans="1:26" x14ac:dyDescent="0.2">
      <c r="B522" s="138">
        <f>$J$3</f>
        <v>2</v>
      </c>
      <c r="C522" s="86" t="s">
        <v>353</v>
      </c>
      <c r="D522" s="87" t="str">
        <f>IF(C522&lt;&gt;"",VLOOKUP(C522,'Dummy Table'!$B$3:$C$30,2,FALSE),"")</f>
        <v>Inglaterra</v>
      </c>
      <c r="E522" s="87" t="str">
        <f>IF(C522&lt;&gt;"",VLOOKUP(C522,'Dummy Table'!$B$3:$D$30,3,FALSE),"")</f>
        <v>Mercedes</v>
      </c>
      <c r="F522" s="137">
        <v>18</v>
      </c>
      <c r="H522" s="69">
        <f>IF(C522="",F522,0)</f>
        <v>0</v>
      </c>
      <c r="K522" s="74"/>
    </row>
    <row r="523" spans="1:26" x14ac:dyDescent="0.2">
      <c r="B523" s="138">
        <f>$J$4</f>
        <v>3</v>
      </c>
      <c r="C523" s="86" t="s">
        <v>299</v>
      </c>
      <c r="D523" s="87" t="str">
        <f>IF(C523&lt;&gt;"",VLOOKUP(C523,'Dummy Table'!$B$3:$C$30,2,FALSE),"")</f>
        <v>Holanda</v>
      </c>
      <c r="E523" s="87" t="str">
        <f>IF(C523&lt;&gt;"",VLOOKUP(C523,'Dummy Table'!$B$3:$D$30,3,FALSE),"")</f>
        <v>Red Bull</v>
      </c>
      <c r="F523" s="137">
        <v>15</v>
      </c>
    </row>
    <row r="524" spans="1:26" x14ac:dyDescent="0.2">
      <c r="B524" s="138">
        <f>$J$5</f>
        <v>4</v>
      </c>
      <c r="C524" s="86" t="s">
        <v>310</v>
      </c>
      <c r="D524" s="87" t="str">
        <f>IF(C524&lt;&gt;"",VLOOKUP(C524,'Dummy Table'!$B$3:$C$30,2,FALSE),"")</f>
        <v>Inglaterra</v>
      </c>
      <c r="E524" s="87" t="str">
        <f>IF(C524&lt;&gt;"",VLOOKUP(C524,'Dummy Table'!$B$3:$D$30,3,FALSE),"")</f>
        <v>McLaren</v>
      </c>
      <c r="F524" s="137">
        <v>12</v>
      </c>
      <c r="K524" s="79"/>
    </row>
    <row r="525" spans="1:26" x14ac:dyDescent="0.2">
      <c r="B525" s="138">
        <f>$J$6</f>
        <v>5</v>
      </c>
      <c r="C525" s="86" t="s">
        <v>323</v>
      </c>
      <c r="D525" s="87" t="str">
        <f>IF(C525&lt;&gt;"",VLOOKUP(C525,'Dummy Table'!$B$3:$C$30,2,FALSE),"")</f>
        <v>Austrália</v>
      </c>
      <c r="E525" s="87" t="str">
        <f>IF(C525&lt;&gt;"",VLOOKUP(C525,'Dummy Table'!$B$3:$D$30,3,FALSE),"")</f>
        <v>McLaren</v>
      </c>
      <c r="F525" s="137">
        <v>10</v>
      </c>
    </row>
    <row r="526" spans="1:26" x14ac:dyDescent="0.2">
      <c r="B526" s="138">
        <f>$J$7</f>
        <v>6</v>
      </c>
      <c r="C526" s="86" t="s">
        <v>1</v>
      </c>
      <c r="D526" s="87" t="str">
        <f>IF(C526&lt;&gt;"",VLOOKUP(C526,'Dummy Table'!$B$3:$C$30,2,FALSE),"")</f>
        <v>Inglaterra</v>
      </c>
      <c r="E526" s="87" t="str">
        <f>IF(C526&lt;&gt;"",VLOOKUP(C526,'Dummy Table'!$B$3:$D$30,3,FALSE),"")</f>
        <v>Ferrari</v>
      </c>
      <c r="F526" s="137">
        <v>8</v>
      </c>
      <c r="K526" s="74"/>
    </row>
    <row r="527" spans="1:26" x14ac:dyDescent="0.2">
      <c r="B527" s="138">
        <f>$J$8</f>
        <v>7</v>
      </c>
      <c r="C527" s="86" t="s">
        <v>306</v>
      </c>
      <c r="D527" s="87" t="str">
        <f>IF(C527&lt;&gt;"",VLOOKUP(C527,'Dummy Table'!$B$3:$C$30,2,FALSE),"")</f>
        <v>França</v>
      </c>
      <c r="E527" s="87" t="str">
        <f>IF(C527&lt;&gt;"",VLOOKUP(C527,'Dummy Table'!$B$3:$D$30,3,FALSE),"")</f>
        <v>Alpine</v>
      </c>
      <c r="F527" s="137">
        <v>6</v>
      </c>
      <c r="K527" s="74"/>
    </row>
    <row r="528" spans="1:26" x14ac:dyDescent="0.2">
      <c r="B528" s="138">
        <f>$J$9</f>
        <v>8</v>
      </c>
      <c r="C528" s="86" t="s">
        <v>407</v>
      </c>
      <c r="D528" s="87" t="str">
        <f>IF(C528&lt;&gt;"",VLOOKUP(C528,'Dummy Table'!$B$3:$C$30,2,FALSE),"")</f>
        <v>Inglaterra</v>
      </c>
      <c r="E528" s="87" t="str">
        <f>IF(C528&lt;&gt;"",VLOOKUP(C528,'Dummy Table'!$B$3:$D$30,3,FALSE),"")</f>
        <v>Racing Bulls</v>
      </c>
      <c r="F528" s="137">
        <v>4</v>
      </c>
      <c r="K528" s="74"/>
    </row>
    <row r="529" spans="1:26" s="80" customFormat="1" x14ac:dyDescent="0.2">
      <c r="A529" s="91"/>
      <c r="B529" s="138">
        <f>$J$10</f>
        <v>9</v>
      </c>
      <c r="C529" s="86" t="s">
        <v>412</v>
      </c>
      <c r="D529" s="87" t="str">
        <f>IF(C529&lt;&gt;"",VLOOKUP(C529,'Dummy Table'!$B$3:$C$30,2,FALSE),"")</f>
        <v>Argentina</v>
      </c>
      <c r="E529" s="87" t="str">
        <f>IF(C529&lt;&gt;"",VLOOKUP(C529,'Dummy Table'!$B$3:$D$30,3,FALSE),"")</f>
        <v>Alpine</v>
      </c>
      <c r="F529" s="137">
        <v>2</v>
      </c>
      <c r="G529" s="69"/>
      <c r="H529" s="69"/>
      <c r="I529" s="69"/>
      <c r="J529" s="76"/>
      <c r="K529" s="74"/>
      <c r="L529" s="79"/>
      <c r="M529" s="72"/>
      <c r="N529" s="72"/>
      <c r="O529" s="72"/>
      <c r="P529" s="71"/>
      <c r="Q529" s="71"/>
      <c r="R529" s="71"/>
      <c r="S529" s="79"/>
      <c r="T529" s="79"/>
      <c r="U529" s="79"/>
      <c r="V529" s="79"/>
      <c r="W529" s="79"/>
      <c r="X529" s="79"/>
      <c r="Y529" s="79"/>
      <c r="Z529" s="79"/>
    </row>
    <row r="530" spans="1:26" x14ac:dyDescent="0.2">
      <c r="B530" s="138">
        <f>$J$11</f>
        <v>10</v>
      </c>
      <c r="C530" s="86" t="s">
        <v>435</v>
      </c>
      <c r="D530" s="87" t="str">
        <f>IF(C530&lt;&gt;"",VLOOKUP(C530,'Dummy Table'!$B$3:$C$30,2,FALSE),"")</f>
        <v>Japão</v>
      </c>
      <c r="E530" s="87" t="str">
        <f>IF(C530&lt;&gt;"",VLOOKUP(C530,'Dummy Table'!$B$3:$D$30,3,FALSE),"")</f>
        <v>Racing Bulls</v>
      </c>
      <c r="F530" s="137">
        <v>1</v>
      </c>
      <c r="K530" s="74"/>
    </row>
    <row r="531" spans="1:26" x14ac:dyDescent="0.2">
      <c r="B531" s="138">
        <f>$J$12</f>
        <v>11</v>
      </c>
      <c r="C531" s="86" t="s">
        <v>329</v>
      </c>
      <c r="D531" s="87" t="str">
        <f>IF(C531&lt;&gt;"",VLOOKUP(C531,'Dummy Table'!$B$3:$C$30,2,FALSE),"")</f>
        <v>Brasil</v>
      </c>
      <c r="E531" s="87" t="str">
        <f>IF(C531&lt;&gt;"",VLOOKUP(C531,'Dummy Table'!$B$3:$D$30,3,FALSE),"")</f>
        <v>Audi</v>
      </c>
      <c r="F531" s="139"/>
      <c r="K531" s="74"/>
    </row>
    <row r="532" spans="1:26" x14ac:dyDescent="0.2">
      <c r="B532" s="138">
        <f>$J$13</f>
        <v>12</v>
      </c>
      <c r="C532" s="86" t="s">
        <v>252</v>
      </c>
      <c r="D532" s="87" t="str">
        <f>IF(C532&lt;&gt;"",VLOOKUP(C532,'Dummy Table'!$B$3:$C$30,2,FALSE),"")</f>
        <v>Alemanha</v>
      </c>
      <c r="E532" s="87" t="str">
        <f>IF(C532&lt;&gt;"",VLOOKUP(C532,'Dummy Table'!$B$3:$D$30,3,FALSE),"")</f>
        <v>Audi</v>
      </c>
      <c r="F532" s="139"/>
      <c r="K532" s="74"/>
    </row>
    <row r="533" spans="1:26" x14ac:dyDescent="0.2">
      <c r="B533" s="138">
        <f>$J$14</f>
        <v>13</v>
      </c>
      <c r="C533" s="86" t="s">
        <v>328</v>
      </c>
      <c r="D533" s="87" t="str">
        <f>IF(C533&lt;&gt;"",VLOOKUP(C533,'Dummy Table'!$B$3:$C$30,2,FALSE),"")</f>
        <v>Espanha</v>
      </c>
      <c r="E533" s="87" t="str">
        <f>IF(C533&lt;&gt;"",VLOOKUP(C533,'Dummy Table'!$B$3:$D$30,3,FALSE),"")</f>
        <v>Williams</v>
      </c>
      <c r="F533" s="139"/>
      <c r="G533" s="75"/>
      <c r="H533" s="75"/>
      <c r="I533" s="75"/>
      <c r="K533" s="74"/>
    </row>
    <row r="534" spans="1:26" x14ac:dyDescent="0.2">
      <c r="B534" s="138">
        <f>$J$15</f>
        <v>14</v>
      </c>
      <c r="C534" s="86" t="s">
        <v>408</v>
      </c>
      <c r="D534" s="87" t="str">
        <f>IF(C534&lt;&gt;"",VLOOKUP(C534,'Dummy Table'!$B$3:$C$30,2,FALSE),"")</f>
        <v>Austrália</v>
      </c>
      <c r="E534" s="87" t="str">
        <f>IF(C534&lt;&gt;"",VLOOKUP(C534,'Dummy Table'!$B$3:$D$30,3,FALSE),"")</f>
        <v>Racing Bulls</v>
      </c>
      <c r="F534" s="139"/>
      <c r="G534" s="75"/>
      <c r="H534" s="75"/>
      <c r="I534" s="75"/>
      <c r="K534" s="74"/>
      <c r="M534" s="82"/>
      <c r="N534" s="82"/>
      <c r="O534" s="82"/>
      <c r="P534" s="79"/>
      <c r="Q534" s="79"/>
      <c r="R534" s="79"/>
    </row>
    <row r="535" spans="1:26" x14ac:dyDescent="0.2">
      <c r="B535" s="138">
        <f>$J$16</f>
        <v>15</v>
      </c>
      <c r="C535" s="86" t="s">
        <v>325</v>
      </c>
      <c r="D535" s="87" t="str">
        <f>IF(C535&lt;&gt;"",VLOOKUP(C535,'Dummy Table'!$B$3:$C$30,2,FALSE),"")</f>
        <v>Inglaterra</v>
      </c>
      <c r="E535" s="87" t="str">
        <f>IF(C535&lt;&gt;"",VLOOKUP(C535,'Dummy Table'!$B$3:$D$30,3,FALSE),"")</f>
        <v>Haas</v>
      </c>
      <c r="F535" s="139"/>
      <c r="G535" s="75"/>
      <c r="H535" s="75"/>
      <c r="I535" s="75"/>
      <c r="K535" s="74"/>
    </row>
    <row r="536" spans="1:26" x14ac:dyDescent="0.2">
      <c r="B536" s="138">
        <f>$J$17</f>
        <v>16</v>
      </c>
      <c r="C536" s="86" t="s">
        <v>313</v>
      </c>
      <c r="D536" s="87" t="str">
        <f>IF(C536&lt;&gt;"",VLOOKUP(C536,'Dummy Table'!$B$3:$C$30,2,FALSE),"")</f>
        <v>França</v>
      </c>
      <c r="E536" s="87" t="str">
        <f>IF(C536&lt;&gt;"",VLOOKUP(C536,'Dummy Table'!$B$3:$D$30,3,FALSE),"")</f>
        <v>Haas</v>
      </c>
      <c r="F536" s="139"/>
      <c r="G536" s="75"/>
      <c r="H536" s="75"/>
      <c r="I536" s="75"/>
      <c r="K536" s="74"/>
    </row>
    <row r="537" spans="1:26" x14ac:dyDescent="0.2">
      <c r="B537" s="138">
        <f>$J$18</f>
        <v>17</v>
      </c>
      <c r="C537" s="86" t="s">
        <v>309</v>
      </c>
      <c r="D537" s="87" t="str">
        <f>IF(C537&lt;&gt;"",VLOOKUP(C537,'Dummy Table'!$B$3:$C$30,2,FALSE),"")</f>
        <v>Tailandia</v>
      </c>
      <c r="E537" s="87" t="str">
        <f>IF(C537&lt;&gt;"",VLOOKUP(C537,'Dummy Table'!$B$3:$D$30,3,FALSE),"")</f>
        <v>Williams</v>
      </c>
      <c r="F537" s="139"/>
      <c r="G537" s="75"/>
      <c r="H537" s="75"/>
      <c r="I537" s="75"/>
    </row>
    <row r="538" spans="1:26" x14ac:dyDescent="0.2">
      <c r="B538" s="138">
        <f>$J$19</f>
        <v>18</v>
      </c>
      <c r="C538" s="86" t="s">
        <v>396</v>
      </c>
      <c r="D538" s="87" t="str">
        <f>IF(C538&lt;&gt;"",VLOOKUP(C538,'Dummy Table'!$B$3:$C$30,2,FALSE),"")</f>
        <v>México</v>
      </c>
      <c r="E538" s="87" t="str">
        <f>IF(C538&lt;&gt;"",VLOOKUP(C538,'Dummy Table'!$B$3:$D$30,3,FALSE),"")</f>
        <v>Cadillac</v>
      </c>
      <c r="F538" s="139"/>
      <c r="G538" s="75"/>
      <c r="H538" s="75"/>
      <c r="I538" s="75"/>
      <c r="K538" s="79"/>
    </row>
    <row r="539" spans="1:26" x14ac:dyDescent="0.2">
      <c r="B539" s="138">
        <f>$J$20</f>
        <v>19</v>
      </c>
      <c r="C539" s="86" t="s">
        <v>397</v>
      </c>
      <c r="D539" s="87" t="str">
        <f>IF(C539&lt;&gt;"",VLOOKUP(C539,'Dummy Table'!$B$3:$C$30,2,FALSE),"")</f>
        <v>Finlândia</v>
      </c>
      <c r="E539" s="87" t="str">
        <f>IF(C539&lt;&gt;"",VLOOKUP(C539,'Dummy Table'!$B$3:$D$30,3,FALSE),"")</f>
        <v>Cadillac</v>
      </c>
      <c r="F539" s="139"/>
      <c r="G539" s="75"/>
      <c r="H539" s="75"/>
      <c r="I539" s="75"/>
    </row>
    <row r="540" spans="1:26" x14ac:dyDescent="0.2">
      <c r="B540" s="138">
        <f>$J$21</f>
        <v>20</v>
      </c>
      <c r="C540" s="86" t="s">
        <v>305</v>
      </c>
      <c r="D540" s="87" t="str">
        <f>IF(C540&lt;&gt;"",VLOOKUP(C540,'Dummy Table'!$B$3:$C$30,2,FALSE),"")</f>
        <v>Canadá</v>
      </c>
      <c r="E540" s="87" t="str">
        <f>IF(C540&lt;&gt;"",VLOOKUP(C540,'Dummy Table'!$B$3:$D$30,3,FALSE),"")</f>
        <v>Aston Martin</v>
      </c>
      <c r="F540" s="139" t="s">
        <v>427</v>
      </c>
      <c r="G540" s="75"/>
      <c r="H540" s="75"/>
      <c r="I540" s="75"/>
      <c r="K540" s="74"/>
    </row>
    <row r="541" spans="1:26" ht="12.75" customHeight="1" x14ac:dyDescent="0.2">
      <c r="B541" s="138">
        <f>$J$22</f>
        <v>21</v>
      </c>
      <c r="C541" s="86" t="s">
        <v>30</v>
      </c>
      <c r="D541" s="87" t="str">
        <f>IF(C541&lt;&gt;"",VLOOKUP(C541,'Dummy Table'!$B$3:$C$30,2,FALSE),"")</f>
        <v>Espanha</v>
      </c>
      <c r="E541" s="87" t="str">
        <f>IF(C541&lt;&gt;"",VLOOKUP(C541,'Dummy Table'!$B$3:$D$30,3,FALSE),"")</f>
        <v>Aston Martin</v>
      </c>
      <c r="F541" s="139" t="s">
        <v>427</v>
      </c>
      <c r="G541" s="75"/>
      <c r="H541" s="75"/>
      <c r="I541" s="75"/>
      <c r="K541" s="74"/>
    </row>
    <row r="542" spans="1:26" ht="12.75" customHeight="1" x14ac:dyDescent="0.2">
      <c r="B542" s="138">
        <f>$J$23</f>
        <v>22</v>
      </c>
      <c r="C542" s="86" t="s">
        <v>307</v>
      </c>
      <c r="D542" s="87" t="str">
        <f>IF(C542&lt;&gt;"",VLOOKUP(C542,'Dummy Table'!$B$3:$C$30,2,FALSE),"")</f>
        <v>Mônaco</v>
      </c>
      <c r="E542" s="87" t="str">
        <f>IF(C542&lt;&gt;"",VLOOKUP(C542,'Dummy Table'!$B$3:$D$30,3,FALSE),"")</f>
        <v>Ferrari</v>
      </c>
      <c r="F542" s="139" t="s">
        <v>427</v>
      </c>
      <c r="G542" s="75"/>
      <c r="H542" s="75"/>
      <c r="I542" s="75"/>
      <c r="K542" s="74"/>
    </row>
    <row r="543" spans="1:26" s="80" customFormat="1" ht="12.75" hidden="1" customHeight="1" x14ac:dyDescent="0.2">
      <c r="A543" s="91"/>
      <c r="B543" s="138">
        <f>IF(F543="",$J$24,"Ret")</f>
        <v>23</v>
      </c>
      <c r="C543" s="78"/>
      <c r="D543" s="68" t="str">
        <f>IF(C543&lt;&gt;"",VLOOKUP(C543,'Dummy Table'!$B$3:$C$30,2,FALSE),"")</f>
        <v/>
      </c>
      <c r="E543" s="68" t="str">
        <f>IF(C543&lt;&gt;"",VLOOKUP(C543,'Dummy Table'!$B$3:$D$30,3,FALSE),"")</f>
        <v/>
      </c>
      <c r="F543" s="140"/>
      <c r="G543" s="75"/>
      <c r="H543" s="75"/>
      <c r="I543" s="75"/>
      <c r="J543" s="76"/>
      <c r="K543" s="74"/>
      <c r="L543" s="79"/>
      <c r="M543" s="72"/>
      <c r="N543" s="72"/>
      <c r="O543" s="72"/>
      <c r="P543" s="71"/>
      <c r="Q543" s="71"/>
      <c r="R543" s="71"/>
      <c r="S543" s="79"/>
      <c r="T543" s="79"/>
      <c r="U543" s="79"/>
      <c r="V543" s="79"/>
      <c r="W543" s="79"/>
      <c r="X543" s="79"/>
      <c r="Y543" s="79"/>
      <c r="Z543" s="79"/>
    </row>
    <row r="544" spans="1:26" ht="12.75" hidden="1" customHeight="1" x14ac:dyDescent="0.2">
      <c r="B544" s="138" t="str">
        <f>IF(F544="",$J$25,"Ret")</f>
        <v/>
      </c>
      <c r="C544" s="78"/>
      <c r="D544" s="68" t="str">
        <f>IF(C544&lt;&gt;"",VLOOKUP(C544,'Dummy Table'!$B$3:$C$30,2,FALSE),"")</f>
        <v/>
      </c>
      <c r="E544" s="68" t="str">
        <f>IF(C544&lt;&gt;"",VLOOKUP(C544,'Dummy Table'!$B$3:$D$30,3,FALSE),"")</f>
        <v/>
      </c>
      <c r="F544" s="140"/>
      <c r="G544" s="75"/>
      <c r="H544" s="75"/>
      <c r="I544" s="75"/>
      <c r="K544" s="74"/>
    </row>
    <row r="545" spans="1:26" x14ac:dyDescent="0.2">
      <c r="B545" s="141" t="s">
        <v>243</v>
      </c>
      <c r="C545" s="88" t="s">
        <v>306</v>
      </c>
      <c r="D545" s="89" t="str">
        <f>IF(C545&lt;&gt;"",VLOOKUP(C545,'Dummy Table'!$B$3:$C$30,2,FALSE),"")</f>
        <v>França</v>
      </c>
      <c r="E545" s="89" t="str">
        <f>IF(C545&lt;&gt;"",VLOOKUP(C545,'Dummy Table'!$B$3:$D$30,3,FALSE),"")</f>
        <v>Alpine</v>
      </c>
      <c r="F545" s="142"/>
      <c r="H545" s="75"/>
      <c r="K545" s="74"/>
      <c r="M545" s="83"/>
      <c r="N545" s="83"/>
      <c r="O545" s="83"/>
      <c r="P545" s="69"/>
      <c r="Q545" s="69"/>
      <c r="R545" s="69"/>
    </row>
    <row r="546" spans="1:26" ht="13.5" thickBot="1" x14ac:dyDescent="0.25">
      <c r="B546" s="143" t="s">
        <v>234</v>
      </c>
      <c r="C546" s="144" t="s">
        <v>324</v>
      </c>
      <c r="D546" s="145" t="str">
        <f>IF(C546&lt;&gt;"",VLOOKUP(C546,'Dummy Table'!$B$3:$C$30,2,FALSE),"")</f>
        <v>Itália</v>
      </c>
      <c r="E546" s="145" t="str">
        <f>IF(C546&lt;&gt;"",VLOOKUP(C546,'Dummy Table'!$B$3:$D$30,3,FALSE),"")</f>
        <v>Mercedes</v>
      </c>
      <c r="F546" s="146"/>
      <c r="H546" s="69">
        <f>IF(C546="",F546,0)</f>
        <v>0</v>
      </c>
      <c r="K546" s="74"/>
      <c r="M546" s="83"/>
      <c r="N546" s="83"/>
      <c r="O546" s="83"/>
      <c r="P546" s="69"/>
      <c r="Q546" s="69"/>
      <c r="R546" s="69"/>
    </row>
    <row r="547" spans="1:26" x14ac:dyDescent="0.2">
      <c r="A547" s="91">
        <v>16</v>
      </c>
      <c r="B547" s="132">
        <f>VLOOKUP($A547,'Calendário atual'!$A$2:$E$30,2,FALSE)</f>
        <v>46278</v>
      </c>
      <c r="C547" s="175" t="str">
        <f>VLOOKUP($A547,'Calendário atual'!$A$2:$E$30,4,FALSE)</f>
        <v>FORMULA 1 TAG HEUER GRAN PREMIO DE ESPAÑA 2026</v>
      </c>
      <c r="D547" s="175"/>
      <c r="E547" s="175"/>
      <c r="F547" s="133" t="str">
        <f>VLOOKUP($A547,'Calendário atual'!$A$2:$E$30,3,FALSE)</f>
        <v>Espanha</v>
      </c>
      <c r="G547" s="75"/>
      <c r="H547" s="75"/>
      <c r="I547" s="75"/>
      <c r="K547" s="74"/>
      <c r="M547" s="83"/>
      <c r="N547" s="83"/>
      <c r="O547" s="83"/>
      <c r="P547" s="69"/>
      <c r="Q547" s="69"/>
      <c r="R547" s="69"/>
    </row>
    <row r="548" spans="1:26" x14ac:dyDescent="0.2">
      <c r="B548" s="134" t="s">
        <v>14</v>
      </c>
      <c r="C548" s="90" t="s">
        <v>29</v>
      </c>
      <c r="D548" s="90" t="s">
        <v>16</v>
      </c>
      <c r="E548" s="90" t="s">
        <v>17</v>
      </c>
      <c r="F548" s="135" t="s">
        <v>18</v>
      </c>
      <c r="K548" s="74"/>
      <c r="M548" s="83"/>
      <c r="N548" s="83"/>
      <c r="O548" s="83"/>
      <c r="P548" s="69"/>
      <c r="Q548" s="69"/>
      <c r="R548" s="69"/>
    </row>
    <row r="549" spans="1:26" x14ac:dyDescent="0.2">
      <c r="B549" s="136">
        <f>$J$2</f>
        <v>1</v>
      </c>
      <c r="C549" s="86" t="s">
        <v>324</v>
      </c>
      <c r="D549" s="87" t="str">
        <f>IF(C549&lt;&gt;"",VLOOKUP(C549,'Dummy Table'!$B$3:$C$30,2,FALSE),"")</f>
        <v>Itália</v>
      </c>
      <c r="E549" s="87" t="str">
        <f>IF(C549&lt;&gt;"",VLOOKUP(C549,'Dummy Table'!$B$3:$D$30,3,FALSE),"")</f>
        <v>Mercedes</v>
      </c>
      <c r="F549" s="137">
        <v>25</v>
      </c>
      <c r="G549" s="69">
        <f>IF(C549="",F549,0)</f>
        <v>0</v>
      </c>
      <c r="H549" s="69">
        <f>IF(C549="",F549,0)</f>
        <v>0</v>
      </c>
      <c r="I549" s="69">
        <f>IF(C549="",1,0)</f>
        <v>0</v>
      </c>
      <c r="K549" s="74"/>
    </row>
    <row r="550" spans="1:26" x14ac:dyDescent="0.2">
      <c r="B550" s="138">
        <f>$J$3</f>
        <v>2</v>
      </c>
      <c r="C550" s="86" t="s">
        <v>299</v>
      </c>
      <c r="D550" s="87" t="str">
        <f>IF(C550&lt;&gt;"",VLOOKUP(C550,'Dummy Table'!$B$3:$C$30,2,FALSE),"")</f>
        <v>Holanda</v>
      </c>
      <c r="E550" s="87" t="str">
        <f>IF(C550&lt;&gt;"",VLOOKUP(C550,'Dummy Table'!$B$3:$D$30,3,FALSE),"")</f>
        <v>Red Bull</v>
      </c>
      <c r="F550" s="137">
        <v>18</v>
      </c>
      <c r="H550" s="69">
        <f>IF(C550="",F550,0)</f>
        <v>0</v>
      </c>
      <c r="K550" s="74"/>
    </row>
    <row r="551" spans="1:26" x14ac:dyDescent="0.2">
      <c r="B551" s="138">
        <f>$J$4</f>
        <v>3</v>
      </c>
      <c r="C551" s="86" t="s">
        <v>310</v>
      </c>
      <c r="D551" s="87" t="str">
        <f>IF(C551&lt;&gt;"",VLOOKUP(C551,'Dummy Table'!$B$3:$C$30,2,FALSE),"")</f>
        <v>Inglaterra</v>
      </c>
      <c r="E551" s="87" t="str">
        <f>IF(C551&lt;&gt;"",VLOOKUP(C551,'Dummy Table'!$B$3:$D$30,3,FALSE),"")</f>
        <v>McLaren</v>
      </c>
      <c r="F551" s="137">
        <v>15</v>
      </c>
    </row>
    <row r="552" spans="1:26" x14ac:dyDescent="0.2">
      <c r="B552" s="138">
        <f>$J$5</f>
        <v>4</v>
      </c>
      <c r="C552" s="86" t="s">
        <v>307</v>
      </c>
      <c r="D552" s="87" t="str">
        <f>IF(C552&lt;&gt;"",VLOOKUP(C552,'Dummy Table'!$B$3:$C$30,2,FALSE),"")</f>
        <v>Mônaco</v>
      </c>
      <c r="E552" s="87" t="str">
        <f>IF(C552&lt;&gt;"",VLOOKUP(C552,'Dummy Table'!$B$3:$D$30,3,FALSE),"")</f>
        <v>Ferrari</v>
      </c>
      <c r="F552" s="137">
        <v>12</v>
      </c>
      <c r="K552" s="79"/>
    </row>
    <row r="553" spans="1:26" x14ac:dyDescent="0.2">
      <c r="B553" s="138">
        <f>$J$6</f>
        <v>5</v>
      </c>
      <c r="C553" s="86" t="s">
        <v>353</v>
      </c>
      <c r="D553" s="87" t="str">
        <f>IF(C553&lt;&gt;"",VLOOKUP(C553,'Dummy Table'!$B$3:$C$30,2,FALSE),"")</f>
        <v>Inglaterra</v>
      </c>
      <c r="E553" s="87" t="str">
        <f>IF(C553&lt;&gt;"",VLOOKUP(C553,'Dummy Table'!$B$3:$D$30,3,FALSE),"")</f>
        <v>Mercedes</v>
      </c>
      <c r="F553" s="137">
        <v>10</v>
      </c>
    </row>
    <row r="554" spans="1:26" x14ac:dyDescent="0.2">
      <c r="B554" s="138">
        <f>$J$7</f>
        <v>6</v>
      </c>
      <c r="C554" s="86" t="s">
        <v>408</v>
      </c>
      <c r="D554" s="87" t="str">
        <f>IF(C554&lt;&gt;"",VLOOKUP(C554,'Dummy Table'!$B$3:$C$30,2,FALSE),"")</f>
        <v>Austrália</v>
      </c>
      <c r="E554" s="87" t="str">
        <f>IF(C554&lt;&gt;"",VLOOKUP(C554,'Dummy Table'!$B$3:$D$30,3,FALSE),"")</f>
        <v>Racing Bulls</v>
      </c>
      <c r="F554" s="137">
        <v>8</v>
      </c>
      <c r="K554" s="74"/>
    </row>
    <row r="555" spans="1:26" x14ac:dyDescent="0.2">
      <c r="B555" s="138">
        <f>$J$8</f>
        <v>7</v>
      </c>
      <c r="C555" s="86" t="s">
        <v>412</v>
      </c>
      <c r="D555" s="87" t="str">
        <f>IF(C555&lt;&gt;"",VLOOKUP(C555,'Dummy Table'!$B$3:$C$30,2,FALSE),"")</f>
        <v>Argentina</v>
      </c>
      <c r="E555" s="87" t="str">
        <f>IF(C555&lt;&gt;"",VLOOKUP(C555,'Dummy Table'!$B$3:$D$30,3,FALSE),"")</f>
        <v>Alpine</v>
      </c>
      <c r="F555" s="137">
        <v>6</v>
      </c>
      <c r="K555" s="74"/>
    </row>
    <row r="556" spans="1:26" x14ac:dyDescent="0.2">
      <c r="B556" s="138">
        <f>$J$9</f>
        <v>8</v>
      </c>
      <c r="C556" s="86" t="s">
        <v>323</v>
      </c>
      <c r="D556" s="87" t="str">
        <f>IF(C556&lt;&gt;"",VLOOKUP(C556,'Dummy Table'!$B$3:$C$30,2,FALSE),"")</f>
        <v>Austrália</v>
      </c>
      <c r="E556" s="87" t="str">
        <f>IF(C556&lt;&gt;"",VLOOKUP(C556,'Dummy Table'!$B$3:$D$30,3,FALSE),"")</f>
        <v>McLaren</v>
      </c>
      <c r="F556" s="137">
        <v>4</v>
      </c>
      <c r="K556" s="74"/>
    </row>
    <row r="557" spans="1:26" s="80" customFormat="1" x14ac:dyDescent="0.2">
      <c r="A557" s="91"/>
      <c r="B557" s="138">
        <f>$J$10</f>
        <v>9</v>
      </c>
      <c r="C557" s="86" t="s">
        <v>407</v>
      </c>
      <c r="D557" s="87" t="str">
        <f>IF(C557&lt;&gt;"",VLOOKUP(C557,'Dummy Table'!$B$3:$C$30,2,FALSE),"")</f>
        <v>Inglaterra</v>
      </c>
      <c r="E557" s="87" t="str">
        <f>IF(C557&lt;&gt;"",VLOOKUP(C557,'Dummy Table'!$B$3:$D$30,3,FALSE),"")</f>
        <v>Racing Bulls</v>
      </c>
      <c r="F557" s="137">
        <v>2</v>
      </c>
      <c r="G557" s="69"/>
      <c r="H557" s="69"/>
      <c r="I557" s="69"/>
      <c r="J557" s="76"/>
      <c r="K557" s="74"/>
      <c r="L557" s="79"/>
      <c r="M557" s="72"/>
      <c r="N557" s="72"/>
      <c r="O557" s="72"/>
      <c r="P557" s="71"/>
      <c r="Q557" s="71"/>
      <c r="R557" s="71"/>
      <c r="S557" s="79"/>
      <c r="T557" s="79"/>
      <c r="U557" s="79"/>
      <c r="V557" s="79"/>
      <c r="W557" s="79"/>
      <c r="X557" s="79"/>
      <c r="Y557" s="79"/>
      <c r="Z557" s="79"/>
    </row>
    <row r="558" spans="1:26" x14ac:dyDescent="0.2">
      <c r="B558" s="138">
        <f>$J$11</f>
        <v>10</v>
      </c>
      <c r="C558" s="86" t="s">
        <v>252</v>
      </c>
      <c r="D558" s="87" t="str">
        <f>IF(C558&lt;&gt;"",VLOOKUP(C558,'Dummy Table'!$B$3:$C$30,2,FALSE),"")</f>
        <v>Alemanha</v>
      </c>
      <c r="E558" s="87" t="str">
        <f>IF(C558&lt;&gt;"",VLOOKUP(C558,'Dummy Table'!$B$3:$D$30,3,FALSE),"")</f>
        <v>Audi</v>
      </c>
      <c r="F558" s="137">
        <v>1</v>
      </c>
      <c r="K558" s="74"/>
    </row>
    <row r="559" spans="1:26" x14ac:dyDescent="0.2">
      <c r="B559" s="138">
        <f>$J$12</f>
        <v>11</v>
      </c>
      <c r="C559" s="86" t="s">
        <v>313</v>
      </c>
      <c r="D559" s="87" t="str">
        <f>IF(C559&lt;&gt;"",VLOOKUP(C559,'Dummy Table'!$B$3:$C$30,2,FALSE),"")</f>
        <v>França</v>
      </c>
      <c r="E559" s="87" t="str">
        <f>IF(C559&lt;&gt;"",VLOOKUP(C559,'Dummy Table'!$B$3:$D$30,3,FALSE),"")</f>
        <v>Haas</v>
      </c>
      <c r="F559" s="139"/>
      <c r="K559" s="74"/>
    </row>
    <row r="560" spans="1:26" x14ac:dyDescent="0.2">
      <c r="B560" s="138">
        <f>$J$13</f>
        <v>12</v>
      </c>
      <c r="C560" s="86" t="s">
        <v>306</v>
      </c>
      <c r="D560" s="87" t="str">
        <f>IF(C560&lt;&gt;"",VLOOKUP(C560,'Dummy Table'!$B$3:$C$30,2,FALSE),"")</f>
        <v>França</v>
      </c>
      <c r="E560" s="87" t="str">
        <f>IF(C560&lt;&gt;"",VLOOKUP(C560,'Dummy Table'!$B$3:$D$30,3,FALSE),"")</f>
        <v>Alpine</v>
      </c>
      <c r="F560" s="139"/>
      <c r="K560" s="74"/>
    </row>
    <row r="561" spans="1:26" x14ac:dyDescent="0.2">
      <c r="B561" s="138">
        <f>$J$14</f>
        <v>13</v>
      </c>
      <c r="C561" s="86" t="s">
        <v>329</v>
      </c>
      <c r="D561" s="87" t="str">
        <f>IF(C561&lt;&gt;"",VLOOKUP(C561,'Dummy Table'!$B$3:$C$30,2,FALSE),"")</f>
        <v>Brasil</v>
      </c>
      <c r="E561" s="87" t="str">
        <f>IF(C561&lt;&gt;"",VLOOKUP(C561,'Dummy Table'!$B$3:$D$30,3,FALSE),"")</f>
        <v>Audi</v>
      </c>
      <c r="F561" s="139"/>
      <c r="G561" s="75"/>
      <c r="H561" s="75"/>
      <c r="I561" s="75"/>
      <c r="K561" s="74"/>
    </row>
    <row r="562" spans="1:26" x14ac:dyDescent="0.2">
      <c r="B562" s="138">
        <f>$J$15</f>
        <v>14</v>
      </c>
      <c r="C562" s="86" t="s">
        <v>435</v>
      </c>
      <c r="D562" s="87" t="str">
        <f>IF(C562&lt;&gt;"",VLOOKUP(C562,'Dummy Table'!$B$3:$C$30,2,FALSE),"")</f>
        <v>Japão</v>
      </c>
      <c r="E562" s="87" t="str">
        <f>IF(C562&lt;&gt;"",VLOOKUP(C562,'Dummy Table'!$B$3:$D$30,3,FALSE),"")</f>
        <v>Racing Bulls</v>
      </c>
      <c r="F562" s="139"/>
      <c r="G562" s="75"/>
      <c r="H562" s="75"/>
      <c r="I562" s="75"/>
      <c r="K562" s="74"/>
      <c r="M562" s="82"/>
      <c r="N562" s="82"/>
      <c r="O562" s="82"/>
      <c r="P562" s="79"/>
      <c r="Q562" s="79"/>
      <c r="R562" s="79"/>
    </row>
    <row r="563" spans="1:26" x14ac:dyDescent="0.2">
      <c r="B563" s="138">
        <f>$J$16</f>
        <v>15</v>
      </c>
      <c r="C563" s="86" t="s">
        <v>309</v>
      </c>
      <c r="D563" s="87" t="str">
        <f>IF(C563&lt;&gt;"",VLOOKUP(C563,'Dummy Table'!$B$3:$C$30,2,FALSE),"")</f>
        <v>Tailandia</v>
      </c>
      <c r="E563" s="87" t="str">
        <f>IF(C563&lt;&gt;"",VLOOKUP(C563,'Dummy Table'!$B$3:$D$30,3,FALSE),"")</f>
        <v>Williams</v>
      </c>
      <c r="F563" s="139"/>
      <c r="G563" s="75"/>
      <c r="H563" s="75"/>
      <c r="I563" s="75"/>
      <c r="K563" s="74"/>
    </row>
    <row r="564" spans="1:26" x14ac:dyDescent="0.2">
      <c r="B564" s="138">
        <f>$J$17</f>
        <v>16</v>
      </c>
      <c r="C564" s="86" t="s">
        <v>325</v>
      </c>
      <c r="D564" s="87" t="str">
        <f>IF(C564&lt;&gt;"",VLOOKUP(C564,'Dummy Table'!$B$3:$C$30,2,FALSE),"")</f>
        <v>Inglaterra</v>
      </c>
      <c r="E564" s="87" t="str">
        <f>IF(C564&lt;&gt;"",VLOOKUP(C564,'Dummy Table'!$B$3:$D$30,3,FALSE),"")</f>
        <v>Haas</v>
      </c>
      <c r="F564" s="139"/>
      <c r="G564" s="75"/>
      <c r="H564" s="75"/>
      <c r="I564" s="75"/>
      <c r="K564" s="74"/>
    </row>
    <row r="565" spans="1:26" x14ac:dyDescent="0.2">
      <c r="B565" s="138">
        <f>$J$18</f>
        <v>17</v>
      </c>
      <c r="C565" s="86" t="s">
        <v>30</v>
      </c>
      <c r="D565" s="87" t="str">
        <f>IF(C565&lt;&gt;"",VLOOKUP(C565,'Dummy Table'!$B$3:$C$30,2,FALSE),"")</f>
        <v>Espanha</v>
      </c>
      <c r="E565" s="87" t="str">
        <f>IF(C565&lt;&gt;"",VLOOKUP(C565,'Dummy Table'!$B$3:$D$30,3,FALSE),"")</f>
        <v>Aston Martin</v>
      </c>
      <c r="F565" s="139"/>
      <c r="G565" s="75"/>
      <c r="H565" s="75"/>
      <c r="I565" s="75"/>
    </row>
    <row r="566" spans="1:26" x14ac:dyDescent="0.2">
      <c r="B566" s="138">
        <f>$J$19</f>
        <v>18</v>
      </c>
      <c r="C566" s="86" t="s">
        <v>397</v>
      </c>
      <c r="D566" s="87" t="str">
        <f>IF(C566&lt;&gt;"",VLOOKUP(C566,'Dummy Table'!$B$3:$C$30,2,FALSE),"")</f>
        <v>Finlândia</v>
      </c>
      <c r="E566" s="87" t="str">
        <f>IF(C566&lt;&gt;"",VLOOKUP(C566,'Dummy Table'!$B$3:$D$30,3,FALSE),"")</f>
        <v>Cadillac</v>
      </c>
      <c r="F566" s="139"/>
      <c r="G566" s="75"/>
      <c r="H566" s="75"/>
      <c r="I566" s="75"/>
      <c r="K566" s="79"/>
    </row>
    <row r="567" spans="1:26" x14ac:dyDescent="0.2">
      <c r="B567" s="138">
        <f>$J$20</f>
        <v>19</v>
      </c>
      <c r="C567" s="86" t="s">
        <v>328</v>
      </c>
      <c r="D567" s="87" t="str">
        <f>IF(C567&lt;&gt;"",VLOOKUP(C567,'Dummy Table'!$B$3:$C$30,2,FALSE),"")</f>
        <v>Espanha</v>
      </c>
      <c r="E567" s="87" t="str">
        <f>IF(C567&lt;&gt;"",VLOOKUP(C567,'Dummy Table'!$B$3:$D$30,3,FALSE),"")</f>
        <v>Williams</v>
      </c>
      <c r="F567" s="139" t="s">
        <v>427</v>
      </c>
      <c r="G567" s="75"/>
      <c r="H567" s="75"/>
      <c r="I567" s="75"/>
    </row>
    <row r="568" spans="1:26" x14ac:dyDescent="0.2">
      <c r="B568" s="138">
        <f>$J$21</f>
        <v>20</v>
      </c>
      <c r="C568" s="86" t="s">
        <v>397</v>
      </c>
      <c r="D568" s="87" t="str">
        <f>IF(C568&lt;&gt;"",VLOOKUP(C568,'Dummy Table'!$B$3:$C$30,2,FALSE),"")</f>
        <v>Finlândia</v>
      </c>
      <c r="E568" s="87" t="str">
        <f>IF(C568&lt;&gt;"",VLOOKUP(C568,'Dummy Table'!$B$3:$D$30,3,FALSE),"")</f>
        <v>Cadillac</v>
      </c>
      <c r="F568" s="139" t="s">
        <v>427</v>
      </c>
      <c r="G568" s="75"/>
      <c r="H568" s="75"/>
      <c r="I568" s="75"/>
      <c r="K568" s="74"/>
    </row>
    <row r="569" spans="1:26" ht="12.75" customHeight="1" x14ac:dyDescent="0.2">
      <c r="B569" s="138">
        <f>$J$22</f>
        <v>21</v>
      </c>
      <c r="C569" s="86" t="s">
        <v>305</v>
      </c>
      <c r="D569" s="87" t="str">
        <f>IF(C569&lt;&gt;"",VLOOKUP(C569,'Dummy Table'!$B$3:$C$30,2,FALSE),"")</f>
        <v>Canadá</v>
      </c>
      <c r="E569" s="87" t="str">
        <f>IF(C569&lt;&gt;"",VLOOKUP(C569,'Dummy Table'!$B$3:$D$30,3,FALSE),"")</f>
        <v>Aston Martin</v>
      </c>
      <c r="F569" s="139" t="s">
        <v>427</v>
      </c>
      <c r="G569" s="75"/>
      <c r="H569" s="75"/>
      <c r="I569" s="75"/>
      <c r="K569" s="74"/>
    </row>
    <row r="570" spans="1:26" ht="12.75" customHeight="1" x14ac:dyDescent="0.2">
      <c r="B570" s="138">
        <f>$J$23</f>
        <v>22</v>
      </c>
      <c r="C570" s="86" t="s">
        <v>1</v>
      </c>
      <c r="D570" s="87" t="str">
        <f>IF(C570&lt;&gt;"",VLOOKUP(C570,'Dummy Table'!$B$3:$C$30,2,FALSE),"")</f>
        <v>Inglaterra</v>
      </c>
      <c r="E570" s="87" t="str">
        <f>IF(C570&lt;&gt;"",VLOOKUP(C570,'Dummy Table'!$B$3:$D$30,3,FALSE),"")</f>
        <v>Ferrari</v>
      </c>
      <c r="F570" s="139" t="s">
        <v>427</v>
      </c>
      <c r="G570" s="75"/>
      <c r="H570" s="75"/>
      <c r="I570" s="75"/>
      <c r="K570" s="74"/>
    </row>
    <row r="571" spans="1:26" s="80" customFormat="1" ht="12.75" hidden="1" customHeight="1" x14ac:dyDescent="0.2">
      <c r="A571" s="91"/>
      <c r="B571" s="138">
        <f>IF(F571="",$J$24,"Ret")</f>
        <v>23</v>
      </c>
      <c r="C571" s="78"/>
      <c r="D571" s="68" t="str">
        <f>IF(C571&lt;&gt;"",VLOOKUP(C571,'Dummy Table'!$B$3:$C$30,2,FALSE),"")</f>
        <v/>
      </c>
      <c r="E571" s="68" t="str">
        <f>IF(C571&lt;&gt;"",VLOOKUP(C571,'Dummy Table'!$B$3:$D$30,3,FALSE),"")</f>
        <v/>
      </c>
      <c r="F571" s="140"/>
      <c r="G571" s="75"/>
      <c r="H571" s="75"/>
      <c r="I571" s="75"/>
      <c r="J571" s="76"/>
      <c r="K571" s="74"/>
      <c r="L571" s="79"/>
      <c r="M571" s="72"/>
      <c r="N571" s="72"/>
      <c r="O571" s="72"/>
      <c r="P571" s="71"/>
      <c r="Q571" s="71"/>
      <c r="R571" s="71"/>
      <c r="S571" s="79"/>
      <c r="T571" s="79"/>
      <c r="U571" s="79"/>
      <c r="V571" s="79"/>
      <c r="W571" s="79"/>
      <c r="X571" s="79"/>
      <c r="Y571" s="79"/>
      <c r="Z571" s="79"/>
    </row>
    <row r="572" spans="1:26" ht="12.75" hidden="1" customHeight="1" x14ac:dyDescent="0.2">
      <c r="B572" s="138" t="str">
        <f>IF(F572="",$J$25,"Ret")</f>
        <v/>
      </c>
      <c r="C572" s="78"/>
      <c r="D572" s="68" t="str">
        <f>IF(C572&lt;&gt;"",VLOOKUP(C572,'Dummy Table'!$B$3:$C$30,2,FALSE),"")</f>
        <v/>
      </c>
      <c r="E572" s="68" t="str">
        <f>IF(C572&lt;&gt;"",VLOOKUP(C572,'Dummy Table'!$B$3:$D$30,3,FALSE),"")</f>
        <v/>
      </c>
      <c r="F572" s="140"/>
      <c r="G572" s="75"/>
      <c r="H572" s="75"/>
      <c r="I572" s="75"/>
      <c r="K572" s="74"/>
    </row>
    <row r="573" spans="1:26" x14ac:dyDescent="0.2">
      <c r="B573" s="141" t="s">
        <v>243</v>
      </c>
      <c r="C573" s="88" t="s">
        <v>310</v>
      </c>
      <c r="D573" s="89" t="str">
        <f>IF(C573&lt;&gt;"",VLOOKUP(C573,'Dummy Table'!$B$3:$C$30,2,FALSE),"")</f>
        <v>Inglaterra</v>
      </c>
      <c r="E573" s="89" t="str">
        <f>IF(C573&lt;&gt;"",VLOOKUP(C573,'Dummy Table'!$B$3:$D$30,3,FALSE),"")</f>
        <v>McLaren</v>
      </c>
      <c r="F573" s="142"/>
      <c r="H573" s="75"/>
      <c r="M573" s="83"/>
      <c r="N573" s="83"/>
      <c r="O573" s="83"/>
      <c r="P573" s="69"/>
      <c r="Q573" s="69"/>
      <c r="R573" s="69"/>
    </row>
    <row r="574" spans="1:26" ht="13.5" thickBot="1" x14ac:dyDescent="0.25">
      <c r="B574" s="143" t="s">
        <v>234</v>
      </c>
      <c r="C574" s="144" t="s">
        <v>353</v>
      </c>
      <c r="D574" s="145" t="str">
        <f>IF(C574&lt;&gt;"",VLOOKUP(C574,'Dummy Table'!$B$3:$C$30,2,FALSE),"")</f>
        <v>Inglaterra</v>
      </c>
      <c r="E574" s="145" t="str">
        <f>IF(C574&lt;&gt;"",VLOOKUP(C574,'Dummy Table'!$B$3:$D$30,3,FALSE),"")</f>
        <v>Mercedes</v>
      </c>
      <c r="F574" s="146"/>
      <c r="H574" s="69">
        <f>IF(C574="",F574,0)</f>
        <v>0</v>
      </c>
      <c r="M574" s="83"/>
      <c r="N574" s="83"/>
      <c r="O574" s="83"/>
      <c r="P574" s="69"/>
      <c r="Q574" s="69"/>
      <c r="R574" s="69"/>
    </row>
    <row r="575" spans="1:26" x14ac:dyDescent="0.2">
      <c r="A575" s="91">
        <v>17</v>
      </c>
      <c r="B575" s="132">
        <f>VLOOKUP($A575,'Calendário atual'!$A$2:$E$30,2,FALSE)</f>
        <v>46292</v>
      </c>
      <c r="C575" s="175" t="str">
        <f>VLOOKUP($A575,'Calendário atual'!$A$2:$E$30,4,FALSE)</f>
        <v>FORMULA 1 QATAR AIRWAYS AZERBAIJAN GRAND PRIX 2026</v>
      </c>
      <c r="D575" s="175"/>
      <c r="E575" s="175"/>
      <c r="F575" s="133" t="str">
        <f>VLOOKUP($A575,'Calendário atual'!$A$2:$E$30,3,FALSE)</f>
        <v>Azerbaijão</v>
      </c>
      <c r="G575" s="75"/>
      <c r="H575" s="75"/>
      <c r="I575" s="75"/>
      <c r="M575" s="83"/>
      <c r="N575" s="83"/>
      <c r="O575" s="83"/>
      <c r="P575" s="69"/>
      <c r="Q575" s="69"/>
      <c r="R575" s="69"/>
    </row>
    <row r="576" spans="1:26" x14ac:dyDescent="0.2">
      <c r="B576" s="134" t="s">
        <v>14</v>
      </c>
      <c r="C576" s="90" t="s">
        <v>29</v>
      </c>
      <c r="D576" s="90" t="s">
        <v>16</v>
      </c>
      <c r="E576" s="90" t="s">
        <v>17</v>
      </c>
      <c r="F576" s="135" t="s">
        <v>18</v>
      </c>
      <c r="M576" s="83"/>
      <c r="N576" s="83"/>
      <c r="O576" s="83"/>
      <c r="P576" s="69"/>
      <c r="Q576" s="69"/>
      <c r="R576" s="69"/>
    </row>
    <row r="577" spans="1:26" x14ac:dyDescent="0.2">
      <c r="B577" s="136">
        <f>$J$2</f>
        <v>1</v>
      </c>
      <c r="C577" s="86" t="s">
        <v>353</v>
      </c>
      <c r="D577" s="87" t="str">
        <f>IF(C577&lt;&gt;"",VLOOKUP(C577,'Dummy Table'!$B$3:$C$30,2,FALSE),"")</f>
        <v>Inglaterra</v>
      </c>
      <c r="E577" s="87" t="str">
        <f>IF(C577&lt;&gt;"",VLOOKUP(C577,'Dummy Table'!$B$3:$D$30,3,FALSE),"")</f>
        <v>Mercedes</v>
      </c>
      <c r="F577" s="137">
        <v>25</v>
      </c>
      <c r="G577" s="69">
        <f>IF(C577="",F577,0)</f>
        <v>0</v>
      </c>
      <c r="H577" s="69">
        <f>IF(C577="",F577,0)</f>
        <v>0</v>
      </c>
      <c r="I577" s="69">
        <f>IF(C577="",1,0)</f>
        <v>0</v>
      </c>
      <c r="K577" s="74"/>
    </row>
    <row r="578" spans="1:26" x14ac:dyDescent="0.2">
      <c r="B578" s="138">
        <f>$J$3</f>
        <v>2</v>
      </c>
      <c r="C578" s="86" t="s">
        <v>299</v>
      </c>
      <c r="D578" s="87" t="str">
        <f>IF(C578&lt;&gt;"",VLOOKUP(C578,'Dummy Table'!$B$3:$C$30,2,FALSE),"")</f>
        <v>Holanda</v>
      </c>
      <c r="E578" s="87" t="str">
        <f>IF(C578&lt;&gt;"",VLOOKUP(C578,'Dummy Table'!$B$3:$D$30,3,FALSE),"")</f>
        <v>Red Bull</v>
      </c>
      <c r="F578" s="137">
        <v>18</v>
      </c>
      <c r="H578" s="69">
        <f>IF(C578="",F578,0)</f>
        <v>0</v>
      </c>
      <c r="K578" s="74"/>
    </row>
    <row r="579" spans="1:26" x14ac:dyDescent="0.2">
      <c r="B579" s="138">
        <f>$J$4</f>
        <v>3</v>
      </c>
      <c r="C579" s="86" t="s">
        <v>406</v>
      </c>
      <c r="D579" s="87" t="str">
        <f>IF(C579&lt;&gt;"",VLOOKUP(C579,'Dummy Table'!$B$3:$C$30,2,FALSE),"")</f>
        <v>França</v>
      </c>
      <c r="E579" s="87" t="str">
        <f>IF(C579&lt;&gt;"",VLOOKUP(C579,'Dummy Table'!$B$3:$D$30,3,FALSE),"")</f>
        <v>Red Bull</v>
      </c>
      <c r="F579" s="137">
        <v>15</v>
      </c>
    </row>
    <row r="580" spans="1:26" x14ac:dyDescent="0.2">
      <c r="B580" s="138">
        <f>$J$5</f>
        <v>4</v>
      </c>
      <c r="C580" s="86" t="s">
        <v>307</v>
      </c>
      <c r="D580" s="87" t="str">
        <f>IF(C580&lt;&gt;"",VLOOKUP(C580,'Dummy Table'!$B$3:$C$30,2,FALSE),"")</f>
        <v>Mônaco</v>
      </c>
      <c r="E580" s="87" t="str">
        <f>IF(C580&lt;&gt;"",VLOOKUP(C580,'Dummy Table'!$B$3:$D$30,3,FALSE),"")</f>
        <v>Ferrari</v>
      </c>
      <c r="F580" s="137">
        <v>12</v>
      </c>
      <c r="K580" s="79"/>
    </row>
    <row r="581" spans="1:26" x14ac:dyDescent="0.2">
      <c r="B581" s="138">
        <f>$J$6</f>
        <v>5</v>
      </c>
      <c r="C581" s="86" t="s">
        <v>324</v>
      </c>
      <c r="D581" s="87" t="str">
        <f>IF(C581&lt;&gt;"",VLOOKUP(C581,'Dummy Table'!$B$3:$C$30,2,FALSE),"")</f>
        <v>Itália</v>
      </c>
      <c r="E581" s="87" t="str">
        <f>IF(C581&lt;&gt;"",VLOOKUP(C581,'Dummy Table'!$B$3:$D$30,3,FALSE),"")</f>
        <v>Mercedes</v>
      </c>
      <c r="F581" s="137">
        <v>10</v>
      </c>
    </row>
    <row r="582" spans="1:26" x14ac:dyDescent="0.2">
      <c r="B582" s="138">
        <f>$J$7</f>
        <v>6</v>
      </c>
      <c r="C582" s="86" t="s">
        <v>1</v>
      </c>
      <c r="D582" s="87" t="str">
        <f>IF(C582&lt;&gt;"",VLOOKUP(C582,'Dummy Table'!$B$3:$C$30,2,FALSE),"")</f>
        <v>Inglaterra</v>
      </c>
      <c r="E582" s="87" t="str">
        <f>IF(C582&lt;&gt;"",VLOOKUP(C582,'Dummy Table'!$B$3:$D$30,3,FALSE),"")</f>
        <v>Ferrari</v>
      </c>
      <c r="F582" s="137">
        <v>8</v>
      </c>
      <c r="K582" s="74"/>
    </row>
    <row r="583" spans="1:26" x14ac:dyDescent="0.2">
      <c r="B583" s="138">
        <f>$J$8</f>
        <v>7</v>
      </c>
      <c r="C583" s="86" t="s">
        <v>407</v>
      </c>
      <c r="D583" s="87" t="str">
        <f>IF(C583&lt;&gt;"",VLOOKUP(C583,'Dummy Table'!$B$3:$C$30,2,FALSE),"")</f>
        <v>Inglaterra</v>
      </c>
      <c r="E583" s="87" t="str">
        <f>IF(C583&lt;&gt;"",VLOOKUP(C583,'Dummy Table'!$B$3:$D$30,3,FALSE),"")</f>
        <v>Racing Bulls</v>
      </c>
      <c r="F583" s="137">
        <v>6</v>
      </c>
      <c r="K583" s="74"/>
    </row>
    <row r="584" spans="1:26" x14ac:dyDescent="0.2">
      <c r="B584" s="138">
        <f>$J$9</f>
        <v>8</v>
      </c>
      <c r="C584" s="86" t="s">
        <v>313</v>
      </c>
      <c r="D584" s="87" t="str">
        <f>IF(C584&lt;&gt;"",VLOOKUP(C584,'Dummy Table'!$B$3:$C$30,2,FALSE),"")</f>
        <v>França</v>
      </c>
      <c r="E584" s="87" t="str">
        <f>IF(C584&lt;&gt;"",VLOOKUP(C584,'Dummy Table'!$B$3:$D$30,3,FALSE),"")</f>
        <v>Haas</v>
      </c>
      <c r="F584" s="137">
        <v>4</v>
      </c>
      <c r="K584" s="74"/>
    </row>
    <row r="585" spans="1:26" s="80" customFormat="1" x14ac:dyDescent="0.2">
      <c r="A585" s="91"/>
      <c r="B585" s="138">
        <f>$J$10</f>
        <v>9</v>
      </c>
      <c r="C585" s="86" t="s">
        <v>325</v>
      </c>
      <c r="D585" s="87" t="str">
        <f>IF(C585&lt;&gt;"",VLOOKUP(C585,'Dummy Table'!$B$3:$C$30,2,FALSE),"")</f>
        <v>Inglaterra</v>
      </c>
      <c r="E585" s="87" t="str">
        <f>IF(C585&lt;&gt;"",VLOOKUP(C585,'Dummy Table'!$B$3:$D$30,3,FALSE),"")</f>
        <v>Haas</v>
      </c>
      <c r="F585" s="137">
        <v>2</v>
      </c>
      <c r="G585" s="69"/>
      <c r="H585" s="69"/>
      <c r="I585" s="69"/>
      <c r="J585" s="76"/>
      <c r="K585" s="74"/>
      <c r="L585" s="79"/>
      <c r="M585" s="72"/>
      <c r="N585" s="72"/>
      <c r="O585" s="72"/>
      <c r="P585" s="71"/>
      <c r="Q585" s="71"/>
      <c r="R585" s="71"/>
      <c r="S585" s="79"/>
      <c r="T585" s="79"/>
      <c r="U585" s="79"/>
      <c r="V585" s="79"/>
      <c r="W585" s="79"/>
      <c r="X585" s="79"/>
      <c r="Y585" s="79"/>
      <c r="Z585" s="79"/>
    </row>
    <row r="586" spans="1:26" x14ac:dyDescent="0.2">
      <c r="B586" s="138">
        <f>$J$11</f>
        <v>10</v>
      </c>
      <c r="C586" s="86" t="s">
        <v>328</v>
      </c>
      <c r="D586" s="87" t="str">
        <f>IF(C586&lt;&gt;"",VLOOKUP(C586,'Dummy Table'!$B$3:$C$30,2,FALSE),"")</f>
        <v>Espanha</v>
      </c>
      <c r="E586" s="87" t="str">
        <f>IF(C586&lt;&gt;"",VLOOKUP(C586,'Dummy Table'!$B$3:$D$30,3,FALSE),"")</f>
        <v>Williams</v>
      </c>
      <c r="F586" s="137">
        <v>1</v>
      </c>
      <c r="K586" s="74"/>
    </row>
    <row r="587" spans="1:26" x14ac:dyDescent="0.2">
      <c r="B587" s="138">
        <f>$J$12</f>
        <v>11</v>
      </c>
      <c r="C587" s="86" t="s">
        <v>252</v>
      </c>
      <c r="D587" s="87" t="str">
        <f>IF(C587&lt;&gt;"",VLOOKUP(C587,'Dummy Table'!$B$3:$C$30,2,FALSE),"")</f>
        <v>Alemanha</v>
      </c>
      <c r="E587" s="87" t="str">
        <f>IF(C587&lt;&gt;"",VLOOKUP(C587,'Dummy Table'!$B$3:$D$30,3,FALSE),"")</f>
        <v>Audi</v>
      </c>
      <c r="F587" s="139"/>
      <c r="K587" s="74"/>
    </row>
    <row r="588" spans="1:26" x14ac:dyDescent="0.2">
      <c r="B588" s="138">
        <f>$J$13</f>
        <v>12</v>
      </c>
      <c r="C588" s="86" t="s">
        <v>408</v>
      </c>
      <c r="D588" s="87" t="str">
        <f>IF(C588&lt;&gt;"",VLOOKUP(C588,'Dummy Table'!$B$3:$C$30,2,FALSE),"")</f>
        <v>Austrália</v>
      </c>
      <c r="E588" s="87" t="str">
        <f>IF(C588&lt;&gt;"",VLOOKUP(C588,'Dummy Table'!$B$3:$D$30,3,FALSE),"")</f>
        <v>Racing Bulls</v>
      </c>
      <c r="F588" s="139"/>
      <c r="K588" s="74"/>
    </row>
    <row r="589" spans="1:26" x14ac:dyDescent="0.2">
      <c r="B589" s="138">
        <f>$J$14</f>
        <v>13</v>
      </c>
      <c r="C589" s="86" t="s">
        <v>323</v>
      </c>
      <c r="D589" s="87" t="str">
        <f>IF(C589&lt;&gt;"",VLOOKUP(C589,'Dummy Table'!$B$3:$C$30,2,FALSE),"")</f>
        <v>Austrália</v>
      </c>
      <c r="E589" s="87" t="str">
        <f>IF(C589&lt;&gt;"",VLOOKUP(C589,'Dummy Table'!$B$3:$D$30,3,FALSE),"")</f>
        <v>McLaren</v>
      </c>
      <c r="F589" s="139"/>
      <c r="G589" s="75"/>
      <c r="H589" s="75"/>
      <c r="I589" s="75"/>
      <c r="K589" s="74"/>
    </row>
    <row r="590" spans="1:26" x14ac:dyDescent="0.2">
      <c r="B590" s="138">
        <f>$J$15</f>
        <v>14</v>
      </c>
      <c r="C590" s="86" t="s">
        <v>396</v>
      </c>
      <c r="D590" s="87" t="str">
        <f>IF(C590&lt;&gt;"",VLOOKUP(C590,'Dummy Table'!$B$3:$C$30,2,FALSE),"")</f>
        <v>México</v>
      </c>
      <c r="E590" s="87" t="str">
        <f>IF(C590&lt;&gt;"",VLOOKUP(C590,'Dummy Table'!$B$3:$D$30,3,FALSE),"")</f>
        <v>Cadillac</v>
      </c>
      <c r="F590" s="139"/>
      <c r="G590" s="75"/>
      <c r="H590" s="75"/>
      <c r="I590" s="75"/>
      <c r="K590" s="74"/>
      <c r="M590" s="82"/>
      <c r="N590" s="82"/>
      <c r="O590" s="82"/>
      <c r="P590" s="79"/>
      <c r="Q590" s="79"/>
      <c r="R590" s="79"/>
    </row>
    <row r="591" spans="1:26" x14ac:dyDescent="0.2">
      <c r="B591" s="138">
        <f>$J$16</f>
        <v>15</v>
      </c>
      <c r="C591" s="86" t="s">
        <v>329</v>
      </c>
      <c r="D591" s="87" t="str">
        <f>IF(C591&lt;&gt;"",VLOOKUP(C591,'Dummy Table'!$B$3:$C$30,2,FALSE),"")</f>
        <v>Brasil</v>
      </c>
      <c r="E591" s="87" t="str">
        <f>IF(C591&lt;&gt;"",VLOOKUP(C591,'Dummy Table'!$B$3:$D$30,3,FALSE),"")</f>
        <v>Audi</v>
      </c>
      <c r="F591" s="139"/>
      <c r="G591" s="75"/>
      <c r="H591" s="75"/>
      <c r="I591" s="75"/>
      <c r="K591" s="74"/>
    </row>
    <row r="592" spans="1:26" x14ac:dyDescent="0.2">
      <c r="B592" s="138">
        <f>$J$17</f>
        <v>16</v>
      </c>
      <c r="C592" s="86" t="s">
        <v>397</v>
      </c>
      <c r="D592" s="87" t="str">
        <f>IF(C592&lt;&gt;"",VLOOKUP(C592,'Dummy Table'!$B$3:$C$30,2,FALSE),"")</f>
        <v>Finlândia</v>
      </c>
      <c r="E592" s="87" t="str">
        <f>IF(C592&lt;&gt;"",VLOOKUP(C592,'Dummy Table'!$B$3:$D$30,3,FALSE),"")</f>
        <v>Cadillac</v>
      </c>
      <c r="F592" s="139" t="s">
        <v>427</v>
      </c>
      <c r="G592" s="75"/>
      <c r="H592" s="75"/>
      <c r="I592" s="75"/>
      <c r="K592" s="74"/>
    </row>
    <row r="593" spans="1:26" x14ac:dyDescent="0.2">
      <c r="B593" s="138">
        <f>$J$18</f>
        <v>17</v>
      </c>
      <c r="C593" s="86" t="s">
        <v>412</v>
      </c>
      <c r="D593" s="87" t="str">
        <f>IF(C593&lt;&gt;"",VLOOKUP(C593,'Dummy Table'!$B$3:$C$30,2,FALSE),"")</f>
        <v>Argentina</v>
      </c>
      <c r="E593" s="87" t="str">
        <f>IF(C593&lt;&gt;"",VLOOKUP(C593,'Dummy Table'!$B$3:$D$30,3,FALSE),"")</f>
        <v>Alpine</v>
      </c>
      <c r="F593" s="139" t="s">
        <v>427</v>
      </c>
      <c r="G593" s="75"/>
      <c r="H593" s="75"/>
      <c r="I593" s="75"/>
    </row>
    <row r="594" spans="1:26" x14ac:dyDescent="0.2">
      <c r="B594" s="138">
        <f>$J$19</f>
        <v>18</v>
      </c>
      <c r="C594" s="86" t="s">
        <v>306</v>
      </c>
      <c r="D594" s="87" t="str">
        <f>IF(C594&lt;&gt;"",VLOOKUP(C594,'Dummy Table'!$B$3:$C$30,2,FALSE),"")</f>
        <v>França</v>
      </c>
      <c r="E594" s="87" t="str">
        <f>IF(C594&lt;&gt;"",VLOOKUP(C594,'Dummy Table'!$B$3:$D$30,3,FALSE),"")</f>
        <v>Alpine</v>
      </c>
      <c r="F594" s="139" t="s">
        <v>427</v>
      </c>
      <c r="G594" s="75"/>
      <c r="H594" s="75"/>
      <c r="I594" s="75"/>
      <c r="K594" s="79"/>
    </row>
    <row r="595" spans="1:26" x14ac:dyDescent="0.2">
      <c r="B595" s="138">
        <f>$J$20</f>
        <v>19</v>
      </c>
      <c r="C595" s="86" t="s">
        <v>310</v>
      </c>
      <c r="D595" s="87" t="str">
        <f>IF(C595&lt;&gt;"",VLOOKUP(C595,'Dummy Table'!$B$3:$C$30,2,FALSE),"")</f>
        <v>Inglaterra</v>
      </c>
      <c r="E595" s="87" t="str">
        <f>IF(C595&lt;&gt;"",VLOOKUP(C595,'Dummy Table'!$B$3:$D$30,3,FALSE),"")</f>
        <v>McLaren</v>
      </c>
      <c r="F595" s="139" t="s">
        <v>427</v>
      </c>
      <c r="G595" s="75"/>
      <c r="H595" s="75"/>
      <c r="I595" s="75"/>
    </row>
    <row r="596" spans="1:26" x14ac:dyDescent="0.2">
      <c r="B596" s="138">
        <f>$J$21</f>
        <v>20</v>
      </c>
      <c r="C596" s="86" t="s">
        <v>309</v>
      </c>
      <c r="D596" s="87" t="str">
        <f>IF(C596&lt;&gt;"",VLOOKUP(C596,'Dummy Table'!$B$3:$C$30,2,FALSE),"")</f>
        <v>Tailandia</v>
      </c>
      <c r="E596" s="87" t="str">
        <f>IF(C596&lt;&gt;"",VLOOKUP(C596,'Dummy Table'!$B$3:$D$30,3,FALSE),"")</f>
        <v>Williams</v>
      </c>
      <c r="F596" s="139" t="s">
        <v>427</v>
      </c>
      <c r="G596" s="75"/>
      <c r="H596" s="75"/>
      <c r="I596" s="75"/>
      <c r="K596" s="74"/>
    </row>
    <row r="597" spans="1:26" ht="12.75" customHeight="1" x14ac:dyDescent="0.2">
      <c r="B597" s="138">
        <f>$J$22</f>
        <v>21</v>
      </c>
      <c r="C597" s="86" t="s">
        <v>30</v>
      </c>
      <c r="D597" s="87" t="str">
        <f>IF(C597&lt;&gt;"",VLOOKUP(C597,'Dummy Table'!$B$3:$C$30,2,FALSE),"")</f>
        <v>Espanha</v>
      </c>
      <c r="E597" s="87" t="str">
        <f>IF(C597&lt;&gt;"",VLOOKUP(C597,'Dummy Table'!$B$3:$D$30,3,FALSE),"")</f>
        <v>Aston Martin</v>
      </c>
      <c r="F597" s="139" t="s">
        <v>427</v>
      </c>
      <c r="G597" s="75"/>
      <c r="H597" s="75"/>
      <c r="I597" s="75"/>
      <c r="K597" s="74"/>
    </row>
    <row r="598" spans="1:26" ht="12.75" customHeight="1" x14ac:dyDescent="0.2">
      <c r="B598" s="138">
        <f>$J$23</f>
        <v>22</v>
      </c>
      <c r="C598" s="86" t="s">
        <v>305</v>
      </c>
      <c r="D598" s="87" t="str">
        <f>IF(C598&lt;&gt;"",VLOOKUP(C598,'Dummy Table'!$B$3:$C$30,2,FALSE),"")</f>
        <v>Canadá</v>
      </c>
      <c r="E598" s="87" t="str">
        <f>IF(C598&lt;&gt;"",VLOOKUP(C598,'Dummy Table'!$B$3:$D$30,3,FALSE),"")</f>
        <v>Aston Martin</v>
      </c>
      <c r="F598" s="139" t="s">
        <v>427</v>
      </c>
      <c r="G598" s="75"/>
      <c r="H598" s="75"/>
      <c r="I598" s="75"/>
      <c r="K598" s="74"/>
    </row>
    <row r="599" spans="1:26" s="80" customFormat="1" ht="12.75" hidden="1" customHeight="1" x14ac:dyDescent="0.2">
      <c r="A599" s="91"/>
      <c r="B599" s="138">
        <f>IF(F599="",$J$24,"Ret")</f>
        <v>23</v>
      </c>
      <c r="C599" s="78"/>
      <c r="D599" s="68" t="str">
        <f>IF(C599&lt;&gt;"",VLOOKUP(C599,'Dummy Table'!$B$3:$C$30,2,FALSE),"")</f>
        <v/>
      </c>
      <c r="E599" s="68" t="str">
        <f>IF(C599&lt;&gt;"",VLOOKUP(C599,'Dummy Table'!$B$3:$D$30,3,FALSE),"")</f>
        <v/>
      </c>
      <c r="F599" s="140"/>
      <c r="G599" s="75"/>
      <c r="H599" s="75"/>
      <c r="I599" s="75"/>
      <c r="J599" s="76"/>
      <c r="K599" s="74"/>
      <c r="L599" s="79"/>
      <c r="M599" s="72"/>
      <c r="N599" s="72"/>
      <c r="O599" s="72"/>
      <c r="P599" s="71"/>
      <c r="Q599" s="71"/>
      <c r="R599" s="71"/>
      <c r="S599" s="79"/>
      <c r="T599" s="79"/>
      <c r="U599" s="79"/>
      <c r="V599" s="79"/>
      <c r="W599" s="79"/>
      <c r="X599" s="79"/>
      <c r="Y599" s="79"/>
      <c r="Z599" s="79"/>
    </row>
    <row r="600" spans="1:26" ht="12.75" hidden="1" customHeight="1" x14ac:dyDescent="0.2">
      <c r="B600" s="138" t="str">
        <f>IF(F600="",$J$25,"Ret")</f>
        <v/>
      </c>
      <c r="C600" s="78"/>
      <c r="D600" s="68" t="str">
        <f>IF(C600&lt;&gt;"",VLOOKUP(C600,'Dummy Table'!$B$3:$C$30,2,FALSE),"")</f>
        <v/>
      </c>
      <c r="E600" s="68" t="str">
        <f>IF(C600&lt;&gt;"",VLOOKUP(C600,'Dummy Table'!$B$3:$D$30,3,FALSE),"")</f>
        <v/>
      </c>
      <c r="F600" s="140"/>
      <c r="G600" s="75"/>
      <c r="H600" s="75"/>
      <c r="I600" s="75"/>
      <c r="K600" s="74"/>
    </row>
    <row r="601" spans="1:26" x14ac:dyDescent="0.2">
      <c r="B601" s="141" t="s">
        <v>243</v>
      </c>
      <c r="C601" s="88" t="s">
        <v>353</v>
      </c>
      <c r="D601" s="89" t="str">
        <f>IF(C601&lt;&gt;"",VLOOKUP(C601,'Dummy Table'!$B$3:$C$30,2,FALSE),"")</f>
        <v>Inglaterra</v>
      </c>
      <c r="E601" s="89" t="str">
        <f>IF(C601&lt;&gt;"",VLOOKUP(C601,'Dummy Table'!$B$3:$D$30,3,FALSE),"")</f>
        <v>Mercedes</v>
      </c>
      <c r="F601" s="142"/>
      <c r="H601" s="75"/>
      <c r="M601" s="83"/>
      <c r="N601" s="83"/>
      <c r="O601" s="83"/>
      <c r="P601" s="69"/>
      <c r="Q601" s="69"/>
      <c r="R601" s="69"/>
      <c r="V601" s="71"/>
      <c r="W601" s="71"/>
      <c r="X601" s="71"/>
      <c r="Y601" s="71"/>
      <c r="Z601" s="71"/>
    </row>
    <row r="602" spans="1:26" ht="13.5" thickBot="1" x14ac:dyDescent="0.25">
      <c r="B602" s="143" t="s">
        <v>234</v>
      </c>
      <c r="C602" s="144" t="s">
        <v>353</v>
      </c>
      <c r="D602" s="145" t="str">
        <f>IF(C602&lt;&gt;"",VLOOKUP(C602,'Dummy Table'!$B$3:$C$30,2,FALSE),"")</f>
        <v>Inglaterra</v>
      </c>
      <c r="E602" s="145" t="str">
        <f>IF(C602&lt;&gt;"",VLOOKUP(C602,'Dummy Table'!$B$3:$D$30,3,FALSE),"")</f>
        <v>Mercedes</v>
      </c>
      <c r="F602" s="146"/>
      <c r="H602" s="69">
        <f>IF(C602="",F602,0)</f>
        <v>0</v>
      </c>
      <c r="M602" s="83"/>
      <c r="N602" s="83"/>
      <c r="O602" s="83"/>
      <c r="P602" s="69"/>
      <c r="Q602" s="69"/>
      <c r="R602" s="69"/>
      <c r="V602" s="71"/>
      <c r="W602" s="71"/>
      <c r="X602" s="71"/>
      <c r="Y602" s="71"/>
      <c r="Z602" s="71"/>
    </row>
    <row r="603" spans="1:26" s="69" customFormat="1" x14ac:dyDescent="0.2">
      <c r="A603" s="91">
        <v>18</v>
      </c>
      <c r="B603" s="132">
        <f>VLOOKUP($A603,'Calendário atual'!$A$2:$E$30,2,FALSE)</f>
        <v>46306</v>
      </c>
      <c r="C603" s="175" t="str">
        <f>VLOOKUP($A603,'Calendário atual'!$A$2:$E$30,4,FALSE)</f>
        <v>FORMULA 1 SINGAPORE AIRLINES SINGAPORE GRAND PRIX 2026</v>
      </c>
      <c r="D603" s="175"/>
      <c r="E603" s="175"/>
      <c r="F603" s="133" t="str">
        <f>VLOOKUP($A603,'Calendário atual'!$A$2:$E$30,3,FALSE)</f>
        <v>Singapura</v>
      </c>
      <c r="G603" s="75"/>
      <c r="H603" s="75"/>
      <c r="I603" s="75"/>
      <c r="J603" s="70"/>
      <c r="M603" s="83"/>
      <c r="N603" s="83"/>
      <c r="O603" s="83"/>
    </row>
    <row r="604" spans="1:26" x14ac:dyDescent="0.2">
      <c r="B604" s="147"/>
      <c r="C604" s="93" t="s">
        <v>354</v>
      </c>
      <c r="D604" s="94"/>
      <c r="E604" s="94"/>
      <c r="F604" s="148"/>
      <c r="G604" s="75"/>
      <c r="H604" s="75"/>
      <c r="I604" s="75"/>
      <c r="K604" s="81"/>
      <c r="M604" s="77"/>
      <c r="N604" s="77"/>
      <c r="O604" s="77"/>
      <c r="P604" s="77"/>
      <c r="Q604" s="77"/>
      <c r="R604" s="77"/>
      <c r="S604" s="77"/>
      <c r="T604" s="77"/>
      <c r="V604" s="71"/>
      <c r="W604" s="71"/>
      <c r="X604" s="71"/>
    </row>
    <row r="605" spans="1:26" x14ac:dyDescent="0.2">
      <c r="B605" s="134" t="s">
        <v>14</v>
      </c>
      <c r="C605" s="90" t="s">
        <v>29</v>
      </c>
      <c r="D605" s="90" t="s">
        <v>16</v>
      </c>
      <c r="E605" s="90" t="s">
        <v>17</v>
      </c>
      <c r="F605" s="135" t="s">
        <v>18</v>
      </c>
      <c r="M605" s="82"/>
      <c r="N605" s="82"/>
      <c r="O605" s="82"/>
      <c r="P605" s="79"/>
      <c r="Q605" s="79"/>
      <c r="R605" s="79"/>
      <c r="V605" s="71"/>
      <c r="W605" s="71"/>
      <c r="X605" s="71"/>
    </row>
    <row r="606" spans="1:26" x14ac:dyDescent="0.2">
      <c r="B606" s="136">
        <f>$J$2</f>
        <v>1</v>
      </c>
      <c r="C606" s="86" t="s">
        <v>299</v>
      </c>
      <c r="D606" s="87" t="str">
        <f>IF(C606&lt;&gt;"",VLOOKUP(C606,'Dummy Table'!$B$3:$C$30,2,FALSE),"")</f>
        <v>Holanda</v>
      </c>
      <c r="E606" s="87" t="str">
        <f>IF(C606&lt;&gt;"",VLOOKUP(C606,'Dummy Table'!$B$3:$D$30,3,FALSE),"")</f>
        <v>Red Bull</v>
      </c>
      <c r="F606" s="137">
        <v>8</v>
      </c>
      <c r="G606" s="69">
        <f>IF(C606="",F606,0)</f>
        <v>0</v>
      </c>
      <c r="H606" s="69">
        <f>IF(C606="",F606,0)</f>
        <v>0</v>
      </c>
      <c r="K606" s="74"/>
      <c r="V606" s="71"/>
      <c r="W606" s="71"/>
      <c r="X606" s="71"/>
    </row>
    <row r="607" spans="1:26" x14ac:dyDescent="0.2">
      <c r="B607" s="138">
        <f>$J$3</f>
        <v>2</v>
      </c>
      <c r="C607" s="86" t="s">
        <v>1</v>
      </c>
      <c r="D607" s="87" t="str">
        <f>IF(C607&lt;&gt;"",VLOOKUP(C607,'Dummy Table'!$B$3:$C$30,2,FALSE),"")</f>
        <v>Inglaterra</v>
      </c>
      <c r="E607" s="87" t="str">
        <f>IF(C607&lt;&gt;"",VLOOKUP(C607,'Dummy Table'!$B$3:$D$30,3,FALSE),"")</f>
        <v>Ferrari</v>
      </c>
      <c r="F607" s="137">
        <v>7</v>
      </c>
      <c r="H607" s="69">
        <f>IF(C607="",F607,0)</f>
        <v>0</v>
      </c>
      <c r="K607" s="74"/>
    </row>
    <row r="608" spans="1:26" x14ac:dyDescent="0.2">
      <c r="B608" s="138">
        <f>$J$4</f>
        <v>3</v>
      </c>
      <c r="C608" s="86" t="s">
        <v>307</v>
      </c>
      <c r="D608" s="87" t="str">
        <f>IF(C608&lt;&gt;"",VLOOKUP(C608,'Dummy Table'!$B$3:$C$30,2,FALSE),"")</f>
        <v>Mônaco</v>
      </c>
      <c r="E608" s="87" t="str">
        <f>IF(C608&lt;&gt;"",VLOOKUP(C608,'Dummy Table'!$B$3:$D$30,3,FALSE),"")</f>
        <v>Ferrari</v>
      </c>
      <c r="F608" s="137">
        <v>6</v>
      </c>
    </row>
    <row r="609" spans="1:26" x14ac:dyDescent="0.2">
      <c r="B609" s="138">
        <f>$J$5</f>
        <v>4</v>
      </c>
      <c r="C609" s="86" t="s">
        <v>324</v>
      </c>
      <c r="D609" s="87" t="str">
        <f>IF(C609&lt;&gt;"",VLOOKUP(C609,'Dummy Table'!$B$3:$C$30,2,FALSE),"")</f>
        <v>Itália</v>
      </c>
      <c r="E609" s="87" t="str">
        <f>IF(C609&lt;&gt;"",VLOOKUP(C609,'Dummy Table'!$B$3:$D$30,3,FALSE),"")</f>
        <v>Mercedes</v>
      </c>
      <c r="F609" s="137">
        <v>5</v>
      </c>
      <c r="K609" s="79"/>
    </row>
    <row r="610" spans="1:26" x14ac:dyDescent="0.2">
      <c r="B610" s="138">
        <f>$J$6</f>
        <v>5</v>
      </c>
      <c r="C610" s="86" t="s">
        <v>408</v>
      </c>
      <c r="D610" s="87" t="str">
        <f>IF(C610&lt;&gt;"",VLOOKUP(C610,'Dummy Table'!$B$3:$C$30,2,FALSE),"")</f>
        <v>Austrália</v>
      </c>
      <c r="E610" s="87" t="str">
        <f>IF(C610&lt;&gt;"",VLOOKUP(C610,'Dummy Table'!$B$3:$D$30,3,FALSE),"")</f>
        <v>Racing Bulls</v>
      </c>
      <c r="F610" s="137">
        <v>4</v>
      </c>
    </row>
    <row r="611" spans="1:26" x14ac:dyDescent="0.2">
      <c r="B611" s="138">
        <f>$J$7</f>
        <v>6</v>
      </c>
      <c r="C611" s="86" t="s">
        <v>325</v>
      </c>
      <c r="D611" s="87" t="str">
        <f>IF(C611&lt;&gt;"",VLOOKUP(C611,'Dummy Table'!$B$3:$C$30,2,FALSE),"")</f>
        <v>Inglaterra</v>
      </c>
      <c r="E611" s="87" t="str">
        <f>IF(C611&lt;&gt;"",VLOOKUP(C611,'Dummy Table'!$B$3:$D$30,3,FALSE),"")</f>
        <v>Haas</v>
      </c>
      <c r="F611" s="137">
        <v>3</v>
      </c>
      <c r="K611" s="74"/>
    </row>
    <row r="612" spans="1:26" x14ac:dyDescent="0.2">
      <c r="B612" s="138">
        <f>$J$8</f>
        <v>7</v>
      </c>
      <c r="C612" s="86" t="s">
        <v>252</v>
      </c>
      <c r="D612" s="87" t="str">
        <f>IF(C612&lt;&gt;"",VLOOKUP(C612,'Dummy Table'!$B$3:$C$30,2,FALSE),"")</f>
        <v>Alemanha</v>
      </c>
      <c r="E612" s="87" t="str">
        <f>IF(C612&lt;&gt;"",VLOOKUP(C612,'Dummy Table'!$B$3:$D$30,3,FALSE),"")</f>
        <v>Audi</v>
      </c>
      <c r="F612" s="137">
        <v>2</v>
      </c>
      <c r="K612" s="74"/>
    </row>
    <row r="613" spans="1:26" x14ac:dyDescent="0.2">
      <c r="B613" s="138">
        <f>$J$9</f>
        <v>8</v>
      </c>
      <c r="C613" s="86" t="s">
        <v>310</v>
      </c>
      <c r="D613" s="87" t="str">
        <f>IF(C613&lt;&gt;"",VLOOKUP(C613,'Dummy Table'!$B$3:$C$30,2,FALSE),"")</f>
        <v>Inglaterra</v>
      </c>
      <c r="E613" s="87" t="str">
        <f>IF(C613&lt;&gt;"",VLOOKUP(C613,'Dummy Table'!$B$3:$D$30,3,FALSE),"")</f>
        <v>McLaren</v>
      </c>
      <c r="F613" s="137">
        <v>1</v>
      </c>
      <c r="K613" s="74"/>
    </row>
    <row r="614" spans="1:26" s="80" customFormat="1" x14ac:dyDescent="0.2">
      <c r="A614" s="91"/>
      <c r="B614" s="138">
        <f>$J$10</f>
        <v>9</v>
      </c>
      <c r="C614" s="86" t="s">
        <v>306</v>
      </c>
      <c r="D614" s="87" t="str">
        <f>IF(C614&lt;&gt;"",VLOOKUP(C614,'Dummy Table'!$B$3:$C$30,2,FALSE),"")</f>
        <v>França</v>
      </c>
      <c r="E614" s="87" t="str">
        <f>IF(C614&lt;&gt;"",VLOOKUP(C614,'Dummy Table'!$B$3:$D$30,3,FALSE),"")</f>
        <v>Alpine</v>
      </c>
      <c r="F614" s="137"/>
      <c r="G614" s="69"/>
      <c r="H614" s="69"/>
      <c r="I614" s="69"/>
      <c r="J614" s="76"/>
      <c r="K614" s="74"/>
      <c r="L614" s="79"/>
      <c r="M614" s="72"/>
      <c r="N614" s="72"/>
      <c r="O614" s="72"/>
      <c r="P614" s="71"/>
      <c r="Q614" s="71"/>
      <c r="R614" s="71"/>
      <c r="S614" s="79"/>
      <c r="T614" s="79"/>
      <c r="U614" s="79"/>
      <c r="V614" s="79"/>
      <c r="W614" s="79"/>
      <c r="X614" s="79"/>
      <c r="Y614" s="79"/>
      <c r="Z614" s="79"/>
    </row>
    <row r="615" spans="1:26" x14ac:dyDescent="0.2">
      <c r="B615" s="138">
        <f>$J$11</f>
        <v>10</v>
      </c>
      <c r="C615" s="86" t="s">
        <v>313</v>
      </c>
      <c r="D615" s="87" t="str">
        <f>IF(C615&lt;&gt;"",VLOOKUP(C615,'Dummy Table'!$B$3:$C$30,2,FALSE),"")</f>
        <v>França</v>
      </c>
      <c r="E615" s="87" t="str">
        <f>IF(C615&lt;&gt;"",VLOOKUP(C615,'Dummy Table'!$B$3:$D$30,3,FALSE),"")</f>
        <v>Haas</v>
      </c>
      <c r="F615" s="137"/>
      <c r="K615" s="74"/>
    </row>
    <row r="616" spans="1:26" x14ac:dyDescent="0.2">
      <c r="B616" s="138">
        <f>$J$12</f>
        <v>11</v>
      </c>
      <c r="C616" s="86" t="s">
        <v>30</v>
      </c>
      <c r="D616" s="87" t="str">
        <f>IF(C616&lt;&gt;"",VLOOKUP(C616,'Dummy Table'!$B$3:$C$30,2,FALSE),"")</f>
        <v>Espanha</v>
      </c>
      <c r="E616" s="87" t="str">
        <f>IF(C616&lt;&gt;"",VLOOKUP(C616,'Dummy Table'!$B$3:$D$30,3,FALSE),"")</f>
        <v>Aston Martin</v>
      </c>
      <c r="F616" s="139"/>
      <c r="K616" s="74"/>
    </row>
    <row r="617" spans="1:26" x14ac:dyDescent="0.2">
      <c r="B617" s="138">
        <f>$J$13</f>
        <v>12</v>
      </c>
      <c r="C617" s="86" t="s">
        <v>328</v>
      </c>
      <c r="D617" s="87" t="str">
        <f>IF(C617&lt;&gt;"",VLOOKUP(C617,'Dummy Table'!$B$3:$C$30,2,FALSE),"")</f>
        <v>Espanha</v>
      </c>
      <c r="E617" s="87" t="str">
        <f>IF(C617&lt;&gt;"",VLOOKUP(C617,'Dummy Table'!$B$3:$D$30,3,FALSE),"")</f>
        <v>Williams</v>
      </c>
      <c r="F617" s="139"/>
      <c r="K617" s="74"/>
    </row>
    <row r="618" spans="1:26" x14ac:dyDescent="0.2">
      <c r="B618" s="138">
        <f>$J$14</f>
        <v>13</v>
      </c>
      <c r="C618" s="86" t="s">
        <v>407</v>
      </c>
      <c r="D618" s="87" t="str">
        <f>IF(C618&lt;&gt;"",VLOOKUP(C618,'Dummy Table'!$B$3:$C$30,2,FALSE),"")</f>
        <v>Inglaterra</v>
      </c>
      <c r="E618" s="87" t="str">
        <f>IF(C618&lt;&gt;"",VLOOKUP(C618,'Dummy Table'!$B$3:$D$30,3,FALSE),"")</f>
        <v>Racing Bulls</v>
      </c>
      <c r="F618" s="139"/>
      <c r="G618" s="75"/>
      <c r="H618" s="75"/>
      <c r="I618" s="75"/>
      <c r="K618" s="74"/>
    </row>
    <row r="619" spans="1:26" x14ac:dyDescent="0.2">
      <c r="B619" s="138">
        <f>$J$15</f>
        <v>14</v>
      </c>
      <c r="C619" s="86" t="s">
        <v>323</v>
      </c>
      <c r="D619" s="87" t="str">
        <f>IF(C619&lt;&gt;"",VLOOKUP(C619,'Dummy Table'!$B$3:$C$30,2,FALSE),"")</f>
        <v>Austrália</v>
      </c>
      <c r="E619" s="87" t="str">
        <f>IF(C619&lt;&gt;"",VLOOKUP(C619,'Dummy Table'!$B$3:$D$30,3,FALSE),"")</f>
        <v>McLaren</v>
      </c>
      <c r="F619" s="139"/>
      <c r="G619" s="75"/>
      <c r="H619" s="75"/>
      <c r="I619" s="75"/>
      <c r="K619" s="74"/>
      <c r="M619" s="82"/>
      <c r="N619" s="82"/>
      <c r="O619" s="82"/>
      <c r="P619" s="79"/>
      <c r="Q619" s="79"/>
      <c r="R619" s="79"/>
    </row>
    <row r="620" spans="1:26" x14ac:dyDescent="0.2">
      <c r="B620" s="138">
        <f>$J$16</f>
        <v>15</v>
      </c>
      <c r="C620" s="86" t="s">
        <v>309</v>
      </c>
      <c r="D620" s="87" t="str">
        <f>IF(C620&lt;&gt;"",VLOOKUP(C620,'Dummy Table'!$B$3:$C$30,2,FALSE),"")</f>
        <v>Tailandia</v>
      </c>
      <c r="E620" s="87" t="str">
        <f>IF(C620&lt;&gt;"",VLOOKUP(C620,'Dummy Table'!$B$3:$D$30,3,FALSE),"")</f>
        <v>Williams</v>
      </c>
      <c r="F620" s="139" t="s">
        <v>427</v>
      </c>
      <c r="G620" s="75"/>
      <c r="H620" s="75"/>
      <c r="I620" s="75"/>
      <c r="K620" s="74"/>
    </row>
    <row r="621" spans="1:26" x14ac:dyDescent="0.2">
      <c r="B621" s="138">
        <f>$J$17</f>
        <v>16</v>
      </c>
      <c r="C621" s="86" t="s">
        <v>329</v>
      </c>
      <c r="D621" s="87" t="str">
        <f>IF(C621&lt;&gt;"",VLOOKUP(C621,'Dummy Table'!$B$3:$C$30,2,FALSE),"")</f>
        <v>Brasil</v>
      </c>
      <c r="E621" s="87" t="str">
        <f>IF(C621&lt;&gt;"",VLOOKUP(C621,'Dummy Table'!$B$3:$D$30,3,FALSE),"")</f>
        <v>Audi</v>
      </c>
      <c r="F621" s="139" t="s">
        <v>427</v>
      </c>
      <c r="G621" s="75"/>
      <c r="H621" s="75"/>
      <c r="I621" s="75"/>
      <c r="K621" s="74"/>
    </row>
    <row r="622" spans="1:26" x14ac:dyDescent="0.2">
      <c r="B622" s="138">
        <f>$J$18</f>
        <v>17</v>
      </c>
      <c r="C622" s="86" t="s">
        <v>397</v>
      </c>
      <c r="D622" s="87" t="str">
        <f>IF(C622&lt;&gt;"",VLOOKUP(C622,'Dummy Table'!$B$3:$C$30,2,FALSE),"")</f>
        <v>Finlândia</v>
      </c>
      <c r="E622" s="87" t="str">
        <f>IF(C622&lt;&gt;"",VLOOKUP(C622,'Dummy Table'!$B$3:$D$30,3,FALSE),"")</f>
        <v>Cadillac</v>
      </c>
      <c r="F622" s="139" t="s">
        <v>427</v>
      </c>
      <c r="G622" s="75"/>
      <c r="H622" s="75"/>
      <c r="I622" s="75"/>
    </row>
    <row r="623" spans="1:26" x14ac:dyDescent="0.2">
      <c r="B623" s="138">
        <f>$J$19</f>
        <v>18</v>
      </c>
      <c r="C623" s="86" t="s">
        <v>406</v>
      </c>
      <c r="D623" s="87" t="str">
        <f>IF(C623&lt;&gt;"",VLOOKUP(C623,'Dummy Table'!$B$3:$C$30,2,FALSE),"")</f>
        <v>França</v>
      </c>
      <c r="E623" s="87" t="str">
        <f>IF(C623&lt;&gt;"",VLOOKUP(C623,'Dummy Table'!$B$3:$D$30,3,FALSE),"")</f>
        <v>Red Bull</v>
      </c>
      <c r="F623" s="139" t="s">
        <v>427</v>
      </c>
      <c r="G623" s="75"/>
      <c r="H623" s="75"/>
      <c r="I623" s="75"/>
      <c r="K623" s="79"/>
    </row>
    <row r="624" spans="1:26" x14ac:dyDescent="0.2">
      <c r="B624" s="138">
        <f>$J$20</f>
        <v>19</v>
      </c>
      <c r="C624" s="86" t="s">
        <v>412</v>
      </c>
      <c r="D624" s="87" t="str">
        <f>IF(C624&lt;&gt;"",VLOOKUP(C624,'Dummy Table'!$B$3:$C$30,2,FALSE),"")</f>
        <v>Argentina</v>
      </c>
      <c r="E624" s="87" t="str">
        <f>IF(C624&lt;&gt;"",VLOOKUP(C624,'Dummy Table'!$B$3:$D$30,3,FALSE),"")</f>
        <v>Alpine</v>
      </c>
      <c r="F624" s="139" t="s">
        <v>427</v>
      </c>
      <c r="G624" s="75"/>
      <c r="H624" s="75"/>
      <c r="I624" s="75"/>
    </row>
    <row r="625" spans="1:24" x14ac:dyDescent="0.2">
      <c r="B625" s="138">
        <f>$J$21</f>
        <v>20</v>
      </c>
      <c r="C625" s="86" t="s">
        <v>353</v>
      </c>
      <c r="D625" s="87" t="str">
        <f>IF(C625&lt;&gt;"",VLOOKUP(C625,'Dummy Table'!$B$3:$C$30,2,FALSE),"")</f>
        <v>Inglaterra</v>
      </c>
      <c r="E625" s="87" t="str">
        <f>IF(C625&lt;&gt;"",VLOOKUP(C625,'Dummy Table'!$B$3:$D$30,3,FALSE),"")</f>
        <v>Mercedes</v>
      </c>
      <c r="F625" s="139" t="s">
        <v>427</v>
      </c>
      <c r="G625" s="75"/>
      <c r="H625" s="75"/>
      <c r="I625" s="75"/>
      <c r="K625" s="74"/>
    </row>
    <row r="626" spans="1:24" x14ac:dyDescent="0.2">
      <c r="B626" s="138">
        <f>$J$22</f>
        <v>21</v>
      </c>
      <c r="C626" s="86" t="s">
        <v>396</v>
      </c>
      <c r="D626" s="87" t="str">
        <f>IF(C626&lt;&gt;"",VLOOKUP(C626,'Dummy Table'!$B$3:$C$30,2,FALSE),"")</f>
        <v>México</v>
      </c>
      <c r="E626" s="87" t="str">
        <f>IF(C626&lt;&gt;"",VLOOKUP(C626,'Dummy Table'!$B$3:$D$30,3,FALSE),"")</f>
        <v>Cadillac</v>
      </c>
      <c r="F626" s="139" t="s">
        <v>427</v>
      </c>
      <c r="G626" s="75"/>
      <c r="H626" s="75"/>
      <c r="I626" s="75"/>
      <c r="K626" s="74"/>
    </row>
    <row r="627" spans="1:24" x14ac:dyDescent="0.2">
      <c r="B627" s="138">
        <f>$J$23</f>
        <v>22</v>
      </c>
      <c r="C627" s="86" t="s">
        <v>305</v>
      </c>
      <c r="D627" s="87" t="str">
        <f>IF(C627&lt;&gt;"",VLOOKUP(C627,'Dummy Table'!$B$3:$C$30,2,FALSE),"")</f>
        <v>Canadá</v>
      </c>
      <c r="E627" s="87" t="str">
        <f>IF(C627&lt;&gt;"",VLOOKUP(C627,'Dummy Table'!$B$3:$D$30,3,FALSE),"")</f>
        <v>Aston Martin</v>
      </c>
      <c r="F627" s="139" t="s">
        <v>427</v>
      </c>
      <c r="G627" s="75"/>
      <c r="H627" s="75"/>
      <c r="I627" s="75"/>
      <c r="K627" s="74"/>
    </row>
    <row r="628" spans="1:24" x14ac:dyDescent="0.2">
      <c r="B628" s="147"/>
      <c r="C628" s="93" t="s">
        <v>355</v>
      </c>
      <c r="D628" s="94"/>
      <c r="E628" s="94"/>
      <c r="F628" s="148"/>
      <c r="G628" s="75"/>
      <c r="H628" s="75"/>
      <c r="I628" s="75"/>
      <c r="K628" s="81"/>
      <c r="M628" s="77"/>
      <c r="N628" s="77"/>
      <c r="O628" s="77"/>
      <c r="P628" s="77"/>
      <c r="Q628" s="77"/>
      <c r="R628" s="77"/>
      <c r="S628" s="77"/>
      <c r="T628" s="77"/>
      <c r="V628" s="71"/>
      <c r="W628" s="71"/>
      <c r="X628" s="71"/>
    </row>
    <row r="629" spans="1:24" s="69" customFormat="1" x14ac:dyDescent="0.2">
      <c r="A629" s="91"/>
      <c r="B629" s="134" t="s">
        <v>14</v>
      </c>
      <c r="C629" s="90" t="s">
        <v>29</v>
      </c>
      <c r="D629" s="90" t="s">
        <v>16</v>
      </c>
      <c r="E629" s="90" t="s">
        <v>17</v>
      </c>
      <c r="F629" s="135" t="s">
        <v>18</v>
      </c>
      <c r="J629" s="70"/>
      <c r="M629" s="83"/>
      <c r="N629" s="83"/>
      <c r="O629" s="83"/>
    </row>
    <row r="630" spans="1:24" s="69" customFormat="1" x14ac:dyDescent="0.2">
      <c r="A630" s="91"/>
      <c r="B630" s="136">
        <f>$J$2</f>
        <v>1</v>
      </c>
      <c r="C630" s="86" t="s">
        <v>299</v>
      </c>
      <c r="D630" s="87" t="str">
        <f>IF(C630&lt;&gt;"",VLOOKUP(C630,'Dummy Table'!$B$3:$C$30,2,FALSE),"")</f>
        <v>Holanda</v>
      </c>
      <c r="E630" s="87" t="str">
        <f>IF(C630&lt;&gt;"",VLOOKUP(C630,'Dummy Table'!$B$3:$D$30,3,FALSE),"")</f>
        <v>Red Bull</v>
      </c>
      <c r="F630" s="137">
        <v>25</v>
      </c>
      <c r="G630" s="69">
        <f>IF(C630="",F630,0)</f>
        <v>0</v>
      </c>
      <c r="H630" s="69">
        <f>IF(C630="",F630,0)</f>
        <v>0</v>
      </c>
      <c r="I630" s="69">
        <f>IF(C630="",1,0)</f>
        <v>0</v>
      </c>
      <c r="J630" s="70"/>
      <c r="M630" s="83"/>
      <c r="N630" s="83"/>
      <c r="O630" s="83"/>
    </row>
    <row r="631" spans="1:24" s="69" customFormat="1" x14ac:dyDescent="0.2">
      <c r="A631" s="91"/>
      <c r="B631" s="138">
        <f>$J$3</f>
        <v>2</v>
      </c>
      <c r="C631" s="86" t="s">
        <v>307</v>
      </c>
      <c r="D631" s="87" t="str">
        <f>IF(C631&lt;&gt;"",VLOOKUP(C631,'Dummy Table'!$B$3:$C$30,2,FALSE),"")</f>
        <v>Mônaco</v>
      </c>
      <c r="E631" s="87" t="str">
        <f>IF(C631&lt;&gt;"",VLOOKUP(C631,'Dummy Table'!$B$3:$D$30,3,FALSE),"")</f>
        <v>Ferrari</v>
      </c>
      <c r="F631" s="137">
        <v>18</v>
      </c>
      <c r="H631" s="69">
        <f>IF(C631="",F631,0)</f>
        <v>0</v>
      </c>
      <c r="J631" s="70"/>
      <c r="M631" s="83"/>
      <c r="N631" s="83"/>
      <c r="O631" s="83"/>
    </row>
    <row r="632" spans="1:24" s="69" customFormat="1" x14ac:dyDescent="0.2">
      <c r="A632" s="91"/>
      <c r="B632" s="138">
        <f>$J$4</f>
        <v>3</v>
      </c>
      <c r="C632" s="86" t="s">
        <v>324</v>
      </c>
      <c r="D632" s="87" t="str">
        <f>IF(C632&lt;&gt;"",VLOOKUP(C632,'Dummy Table'!$B$3:$C$30,2,FALSE),"")</f>
        <v>Itália</v>
      </c>
      <c r="E632" s="87" t="str">
        <f>IF(C632&lt;&gt;"",VLOOKUP(C632,'Dummy Table'!$B$3:$D$30,3,FALSE),"")</f>
        <v>Mercedes</v>
      </c>
      <c r="F632" s="137">
        <v>15</v>
      </c>
      <c r="J632" s="70"/>
      <c r="M632" s="83"/>
      <c r="N632" s="83"/>
      <c r="O632" s="83"/>
    </row>
    <row r="633" spans="1:24" s="69" customFormat="1" x14ac:dyDescent="0.2">
      <c r="A633" s="91"/>
      <c r="B633" s="138">
        <f>$J$5</f>
        <v>4</v>
      </c>
      <c r="C633" s="86" t="s">
        <v>310</v>
      </c>
      <c r="D633" s="87" t="str">
        <f>IF(C633&lt;&gt;"",VLOOKUP(C633,'Dummy Table'!$B$3:$C$30,2,FALSE),"")</f>
        <v>Inglaterra</v>
      </c>
      <c r="E633" s="87" t="str">
        <f>IF(C633&lt;&gt;"",VLOOKUP(C633,'Dummy Table'!$B$3:$D$30,3,FALSE),"")</f>
        <v>McLaren</v>
      </c>
      <c r="F633" s="137">
        <v>12</v>
      </c>
      <c r="J633" s="70"/>
      <c r="M633" s="83"/>
      <c r="N633" s="83"/>
      <c r="O633" s="83"/>
    </row>
    <row r="634" spans="1:24" s="69" customFormat="1" x14ac:dyDescent="0.2">
      <c r="A634" s="91"/>
      <c r="B634" s="138">
        <f>$J$6</f>
        <v>5</v>
      </c>
      <c r="C634" s="86" t="s">
        <v>323</v>
      </c>
      <c r="D634" s="87" t="str">
        <f>IF(C634&lt;&gt;"",VLOOKUP(C634,'Dummy Table'!$B$3:$C$30,2,FALSE),"")</f>
        <v>Austrália</v>
      </c>
      <c r="E634" s="87" t="str">
        <f>IF(C634&lt;&gt;"",VLOOKUP(C634,'Dummy Table'!$B$3:$D$30,3,FALSE),"")</f>
        <v>McLaren</v>
      </c>
      <c r="F634" s="137">
        <v>10</v>
      </c>
      <c r="J634" s="70"/>
      <c r="M634" s="83"/>
      <c r="N634" s="83"/>
      <c r="O634" s="83"/>
    </row>
    <row r="635" spans="1:24" s="69" customFormat="1" x14ac:dyDescent="0.2">
      <c r="A635" s="91"/>
      <c r="B635" s="138">
        <f>$J$7</f>
        <v>6</v>
      </c>
      <c r="C635" s="86" t="s">
        <v>1</v>
      </c>
      <c r="D635" s="87" t="str">
        <f>IF(C635&lt;&gt;"",VLOOKUP(C635,'Dummy Table'!$B$3:$C$30,2,FALSE),"")</f>
        <v>Inglaterra</v>
      </c>
      <c r="E635" s="87" t="str">
        <f>IF(C635&lt;&gt;"",VLOOKUP(C635,'Dummy Table'!$B$3:$D$30,3,FALSE),"")</f>
        <v>Ferrari</v>
      </c>
      <c r="F635" s="137">
        <v>8</v>
      </c>
      <c r="J635" s="70"/>
      <c r="M635" s="83"/>
      <c r="N635" s="83"/>
      <c r="O635" s="83"/>
    </row>
    <row r="636" spans="1:24" s="69" customFormat="1" x14ac:dyDescent="0.2">
      <c r="A636" s="91"/>
      <c r="B636" s="138">
        <f>$J$8</f>
        <v>7</v>
      </c>
      <c r="C636" s="86" t="s">
        <v>408</v>
      </c>
      <c r="D636" s="87" t="str">
        <f>IF(C636&lt;&gt;"",VLOOKUP(C636,'Dummy Table'!$B$3:$C$30,2,FALSE),"")</f>
        <v>Austrália</v>
      </c>
      <c r="E636" s="87" t="str">
        <f>IF(C636&lt;&gt;"",VLOOKUP(C636,'Dummy Table'!$B$3:$D$30,3,FALSE),"")</f>
        <v>Racing Bulls</v>
      </c>
      <c r="F636" s="137">
        <v>6</v>
      </c>
      <c r="J636" s="70"/>
      <c r="M636" s="83"/>
      <c r="N636" s="83"/>
      <c r="O636" s="83"/>
    </row>
    <row r="637" spans="1:24" s="69" customFormat="1" x14ac:dyDescent="0.2">
      <c r="A637" s="91"/>
      <c r="B637" s="138">
        <f>$J$9</f>
        <v>8</v>
      </c>
      <c r="C637" s="86" t="s">
        <v>252</v>
      </c>
      <c r="D637" s="87" t="str">
        <f>IF(C637&lt;&gt;"",VLOOKUP(C637,'Dummy Table'!$B$3:$C$30,2,FALSE),"")</f>
        <v>Alemanha</v>
      </c>
      <c r="E637" s="87" t="str">
        <f>IF(C637&lt;&gt;"",VLOOKUP(C637,'Dummy Table'!$B$3:$D$30,3,FALSE),"")</f>
        <v>Audi</v>
      </c>
      <c r="F637" s="137">
        <v>4</v>
      </c>
      <c r="J637" s="70"/>
      <c r="M637" s="83"/>
      <c r="N637" s="83"/>
      <c r="O637" s="83"/>
    </row>
    <row r="638" spans="1:24" s="69" customFormat="1" x14ac:dyDescent="0.2">
      <c r="A638" s="91"/>
      <c r="B638" s="138">
        <f>$J$10</f>
        <v>9</v>
      </c>
      <c r="C638" s="86" t="s">
        <v>353</v>
      </c>
      <c r="D638" s="87" t="str">
        <f>IF(C638&lt;&gt;"",VLOOKUP(C638,'Dummy Table'!$B$3:$C$30,2,FALSE),"")</f>
        <v>Inglaterra</v>
      </c>
      <c r="E638" s="87" t="str">
        <f>IF(C638&lt;&gt;"",VLOOKUP(C638,'Dummy Table'!$B$3:$D$30,3,FALSE),"")</f>
        <v>Mercedes</v>
      </c>
      <c r="F638" s="137">
        <v>2</v>
      </c>
      <c r="J638" s="70"/>
      <c r="M638" s="83"/>
      <c r="N638" s="83"/>
      <c r="O638" s="83"/>
    </row>
    <row r="639" spans="1:24" s="69" customFormat="1" x14ac:dyDescent="0.2">
      <c r="A639" s="91"/>
      <c r="B639" s="138">
        <f>$J$11</f>
        <v>10</v>
      </c>
      <c r="C639" s="86" t="s">
        <v>406</v>
      </c>
      <c r="D639" s="87" t="str">
        <f>IF(C639&lt;&gt;"",VLOOKUP(C639,'Dummy Table'!$B$3:$C$30,2,FALSE),"")</f>
        <v>França</v>
      </c>
      <c r="E639" s="87" t="str">
        <f>IF(C639&lt;&gt;"",VLOOKUP(C639,'Dummy Table'!$B$3:$D$30,3,FALSE),"")</f>
        <v>Red Bull</v>
      </c>
      <c r="F639" s="137">
        <v>1</v>
      </c>
      <c r="J639" s="70"/>
      <c r="M639" s="83"/>
      <c r="N639" s="83"/>
      <c r="O639" s="83"/>
    </row>
    <row r="640" spans="1:24" s="69" customFormat="1" x14ac:dyDescent="0.2">
      <c r="A640" s="91"/>
      <c r="B640" s="138">
        <f>$J$12</f>
        <v>11</v>
      </c>
      <c r="C640" s="86" t="s">
        <v>306</v>
      </c>
      <c r="D640" s="87" t="str">
        <f>IF(C640&lt;&gt;"",VLOOKUP(C640,'Dummy Table'!$B$3:$C$30,2,FALSE),"")</f>
        <v>França</v>
      </c>
      <c r="E640" s="87" t="str">
        <f>IF(C640&lt;&gt;"",VLOOKUP(C640,'Dummy Table'!$B$3:$D$30,3,FALSE),"")</f>
        <v>Alpine</v>
      </c>
      <c r="F640" s="139"/>
      <c r="J640" s="70"/>
      <c r="M640" s="83"/>
      <c r="N640" s="83"/>
      <c r="O640" s="83"/>
    </row>
    <row r="641" spans="1:15" s="69" customFormat="1" x14ac:dyDescent="0.2">
      <c r="A641" s="91"/>
      <c r="B641" s="138">
        <f>$J$13</f>
        <v>12</v>
      </c>
      <c r="C641" s="86" t="s">
        <v>325</v>
      </c>
      <c r="D641" s="87" t="str">
        <f>IF(C641&lt;&gt;"",VLOOKUP(C641,'Dummy Table'!$B$3:$C$30,2,FALSE),"")</f>
        <v>Inglaterra</v>
      </c>
      <c r="E641" s="87" t="str">
        <f>IF(C641&lt;&gt;"",VLOOKUP(C641,'Dummy Table'!$B$3:$D$30,3,FALSE),"")</f>
        <v>Haas</v>
      </c>
      <c r="F641" s="139"/>
      <c r="J641" s="70"/>
      <c r="M641" s="83"/>
      <c r="N641" s="83"/>
      <c r="O641" s="83"/>
    </row>
    <row r="642" spans="1:15" s="69" customFormat="1" x14ac:dyDescent="0.2">
      <c r="A642" s="91"/>
      <c r="B642" s="138">
        <f>$J$14</f>
        <v>13</v>
      </c>
      <c r="C642" s="86" t="s">
        <v>313</v>
      </c>
      <c r="D642" s="87" t="str">
        <f>IF(C642&lt;&gt;"",VLOOKUP(C642,'Dummy Table'!$B$3:$C$30,2,FALSE),"")</f>
        <v>França</v>
      </c>
      <c r="E642" s="87" t="str">
        <f>IF(C642&lt;&gt;"",VLOOKUP(C642,'Dummy Table'!$B$3:$D$30,3,FALSE),"")</f>
        <v>Haas</v>
      </c>
      <c r="F642" s="139"/>
      <c r="G642" s="75"/>
      <c r="H642" s="75"/>
      <c r="I642" s="75"/>
      <c r="J642" s="70"/>
      <c r="M642" s="83"/>
      <c r="N642" s="83"/>
      <c r="O642" s="83"/>
    </row>
    <row r="643" spans="1:15" s="69" customFormat="1" x14ac:dyDescent="0.2">
      <c r="A643" s="91"/>
      <c r="B643" s="138">
        <f>$J$15</f>
        <v>14</v>
      </c>
      <c r="C643" s="86" t="s">
        <v>328</v>
      </c>
      <c r="D643" s="87" t="str">
        <f>IF(C643&lt;&gt;"",VLOOKUP(C643,'Dummy Table'!$B$3:$C$30,2,FALSE),"")</f>
        <v>Espanha</v>
      </c>
      <c r="E643" s="87" t="str">
        <f>IF(C643&lt;&gt;"",VLOOKUP(C643,'Dummy Table'!$B$3:$D$30,3,FALSE),"")</f>
        <v>Williams</v>
      </c>
      <c r="F643" s="139"/>
      <c r="G643" s="75"/>
      <c r="H643" s="75"/>
      <c r="I643" s="75"/>
      <c r="J643" s="70"/>
      <c r="M643" s="83"/>
      <c r="N643" s="83"/>
      <c r="O643" s="83"/>
    </row>
    <row r="644" spans="1:15" s="69" customFormat="1" x14ac:dyDescent="0.2">
      <c r="A644" s="91"/>
      <c r="B644" s="138">
        <f>$J$16</f>
        <v>15</v>
      </c>
      <c r="C644" s="86" t="s">
        <v>407</v>
      </c>
      <c r="D644" s="87" t="str">
        <f>IF(C644&lt;&gt;"",VLOOKUP(C644,'Dummy Table'!$B$3:$C$30,2,FALSE),"")</f>
        <v>Inglaterra</v>
      </c>
      <c r="E644" s="87" t="str">
        <f>IF(C644&lt;&gt;"",VLOOKUP(C644,'Dummy Table'!$B$3:$D$30,3,FALSE),"")</f>
        <v>Racing Bulls</v>
      </c>
      <c r="F644" s="139"/>
      <c r="G644" s="75"/>
      <c r="H644" s="75"/>
      <c r="I644" s="75"/>
      <c r="J644" s="70"/>
      <c r="M644" s="83"/>
      <c r="N644" s="83"/>
      <c r="O644" s="83"/>
    </row>
    <row r="645" spans="1:15" s="69" customFormat="1" x14ac:dyDescent="0.2">
      <c r="A645" s="91"/>
      <c r="B645" s="138">
        <f>$J$17</f>
        <v>16</v>
      </c>
      <c r="C645" s="86" t="s">
        <v>30</v>
      </c>
      <c r="D645" s="87" t="str">
        <f>IF(C645&lt;&gt;"",VLOOKUP(C645,'Dummy Table'!$B$3:$C$30,2,FALSE),"")</f>
        <v>Espanha</v>
      </c>
      <c r="E645" s="87" t="str">
        <f>IF(C645&lt;&gt;"",VLOOKUP(C645,'Dummy Table'!$B$3:$D$30,3,FALSE),"")</f>
        <v>Aston Martin</v>
      </c>
      <c r="F645" s="139"/>
      <c r="G645" s="75"/>
      <c r="H645" s="75"/>
      <c r="I645" s="75"/>
      <c r="J645" s="70"/>
      <c r="M645" s="83"/>
      <c r="N645" s="83"/>
      <c r="O645" s="83"/>
    </row>
    <row r="646" spans="1:15" s="69" customFormat="1" x14ac:dyDescent="0.2">
      <c r="A646" s="91"/>
      <c r="B646" s="138">
        <f>$J$18</f>
        <v>17</v>
      </c>
      <c r="C646" s="86" t="s">
        <v>396</v>
      </c>
      <c r="D646" s="87" t="str">
        <f>IF(C646&lt;&gt;"",VLOOKUP(C646,'Dummy Table'!$B$3:$C$30,2,FALSE),"")</f>
        <v>México</v>
      </c>
      <c r="E646" s="87" t="str">
        <f>IF(C646&lt;&gt;"",VLOOKUP(C646,'Dummy Table'!$B$3:$D$30,3,FALSE),"")</f>
        <v>Cadillac</v>
      </c>
      <c r="F646" s="139"/>
      <c r="G646" s="75"/>
      <c r="H646" s="75"/>
      <c r="I646" s="75"/>
      <c r="J646" s="70"/>
      <c r="M646" s="83"/>
      <c r="N646" s="83"/>
      <c r="O646" s="83"/>
    </row>
    <row r="647" spans="1:15" s="69" customFormat="1" x14ac:dyDescent="0.2">
      <c r="A647" s="91"/>
      <c r="B647" s="138">
        <f>$J$19</f>
        <v>18</v>
      </c>
      <c r="C647" s="86" t="s">
        <v>309</v>
      </c>
      <c r="D647" s="87" t="str">
        <f>IF(C647&lt;&gt;"",VLOOKUP(C647,'Dummy Table'!$B$3:$C$30,2,FALSE),"")</f>
        <v>Tailandia</v>
      </c>
      <c r="E647" s="87" t="str">
        <f>IF(C647&lt;&gt;"",VLOOKUP(C647,'Dummy Table'!$B$3:$D$30,3,FALSE),"")</f>
        <v>Williams</v>
      </c>
      <c r="F647" s="139"/>
      <c r="G647" s="75"/>
      <c r="H647" s="75"/>
      <c r="I647" s="75"/>
      <c r="J647" s="70"/>
      <c r="M647" s="83"/>
      <c r="N647" s="83"/>
      <c r="O647" s="83"/>
    </row>
    <row r="648" spans="1:15" s="69" customFormat="1" x14ac:dyDescent="0.2">
      <c r="A648" s="91"/>
      <c r="B648" s="138">
        <f>$J$20</f>
        <v>19</v>
      </c>
      <c r="C648" s="86" t="s">
        <v>397</v>
      </c>
      <c r="D648" s="87" t="str">
        <f>IF(C648&lt;&gt;"",VLOOKUP(C648,'Dummy Table'!$B$3:$C$30,2,FALSE),"")</f>
        <v>Finlândia</v>
      </c>
      <c r="E648" s="87" t="str">
        <f>IF(C648&lt;&gt;"",VLOOKUP(C648,'Dummy Table'!$B$3:$D$30,3,FALSE),"")</f>
        <v>Cadillac</v>
      </c>
      <c r="F648" s="139"/>
      <c r="G648" s="75"/>
      <c r="H648" s="75"/>
      <c r="I648" s="75"/>
      <c r="J648" s="70"/>
      <c r="M648" s="83"/>
      <c r="N648" s="83"/>
      <c r="O648" s="83"/>
    </row>
    <row r="649" spans="1:15" s="69" customFormat="1" x14ac:dyDescent="0.2">
      <c r="A649" s="91"/>
      <c r="B649" s="138">
        <f>$J$21</f>
        <v>20</v>
      </c>
      <c r="C649" s="86" t="s">
        <v>310</v>
      </c>
      <c r="D649" s="87" t="str">
        <f>IF(C649&lt;&gt;"",VLOOKUP(C649,'Dummy Table'!$B$3:$C$30,2,FALSE),"")</f>
        <v>Inglaterra</v>
      </c>
      <c r="E649" s="87" t="str">
        <f>IF(C649&lt;&gt;"",VLOOKUP(C649,'Dummy Table'!$B$3:$D$30,3,FALSE),"")</f>
        <v>McLaren</v>
      </c>
      <c r="F649" s="139" t="s">
        <v>427</v>
      </c>
      <c r="G649" s="75"/>
      <c r="H649" s="75"/>
      <c r="I649" s="75"/>
      <c r="J649" s="70"/>
      <c r="M649" s="83"/>
      <c r="N649" s="83"/>
      <c r="O649" s="83"/>
    </row>
    <row r="650" spans="1:15" s="69" customFormat="1" x14ac:dyDescent="0.2">
      <c r="A650" s="91"/>
      <c r="B650" s="138">
        <f>$J$22</f>
        <v>21</v>
      </c>
      <c r="C650" s="86" t="s">
        <v>412</v>
      </c>
      <c r="D650" s="87" t="str">
        <f>IF(C650&lt;&gt;"",VLOOKUP(C650,'Dummy Table'!$B$3:$C$30,2,FALSE),"")</f>
        <v>Argentina</v>
      </c>
      <c r="E650" s="87" t="str">
        <f>IF(C650&lt;&gt;"",VLOOKUP(C650,'Dummy Table'!$B$3:$D$30,3,FALSE),"")</f>
        <v>Alpine</v>
      </c>
      <c r="F650" s="139" t="s">
        <v>427</v>
      </c>
      <c r="G650" s="75"/>
      <c r="H650" s="75"/>
      <c r="I650" s="75"/>
      <c r="J650" s="70"/>
      <c r="M650" s="83"/>
      <c r="N650" s="83"/>
      <c r="O650" s="83"/>
    </row>
    <row r="651" spans="1:15" s="69" customFormat="1" x14ac:dyDescent="0.2">
      <c r="A651" s="91"/>
      <c r="B651" s="138">
        <f>$J$23</f>
        <v>22</v>
      </c>
      <c r="C651" s="86" t="s">
        <v>329</v>
      </c>
      <c r="D651" s="87" t="str">
        <f>IF(C651&lt;&gt;"",VLOOKUP(C651,'Dummy Table'!$B$3:$C$30,2,FALSE),"")</f>
        <v>Brasil</v>
      </c>
      <c r="E651" s="87" t="str">
        <f>IF(C651&lt;&gt;"",VLOOKUP(C651,'Dummy Table'!$B$3:$D$30,3,FALSE),"")</f>
        <v>Audi</v>
      </c>
      <c r="F651" s="139" t="s">
        <v>427</v>
      </c>
      <c r="G651" s="75"/>
      <c r="H651" s="75"/>
      <c r="I651" s="75"/>
      <c r="J651" s="70"/>
      <c r="M651" s="83"/>
      <c r="N651" s="83"/>
      <c r="O651" s="83"/>
    </row>
    <row r="652" spans="1:15" s="69" customFormat="1" ht="12.75" hidden="1" customHeight="1" x14ac:dyDescent="0.2">
      <c r="A652" s="91"/>
      <c r="B652" s="149">
        <f>IF(F652="",$J$24,"Ret")</f>
        <v>23</v>
      </c>
      <c r="C652" s="78"/>
      <c r="D652" s="68" t="str">
        <f>IF(C652&lt;&gt;"",VLOOKUP(C652,'Dummy Table'!$B$3:$C$30,2,FALSE),"")</f>
        <v/>
      </c>
      <c r="E652" s="68" t="str">
        <f>IF(C652&lt;&gt;"",VLOOKUP(C652,'Dummy Table'!$B$3:$D$30,3,FALSE),"")</f>
        <v/>
      </c>
      <c r="F652" s="140"/>
      <c r="G652" s="75"/>
      <c r="H652" s="75"/>
      <c r="I652" s="75"/>
      <c r="J652" s="70"/>
      <c r="M652" s="83"/>
      <c r="N652" s="83"/>
      <c r="O652" s="83"/>
    </row>
    <row r="653" spans="1:15" s="69" customFormat="1" ht="12.75" hidden="1" customHeight="1" x14ac:dyDescent="0.2">
      <c r="A653" s="91"/>
      <c r="B653" s="149" t="str">
        <f>IF(F653="",$J$25,"Ret")</f>
        <v/>
      </c>
      <c r="C653" s="78"/>
      <c r="D653" s="68" t="str">
        <f>IF(C653&lt;&gt;"",VLOOKUP(C653,'Dummy Table'!$B$3:$C$30,2,FALSE),"")</f>
        <v/>
      </c>
      <c r="E653" s="68" t="str">
        <f>IF(C653&lt;&gt;"",VLOOKUP(C653,'Dummy Table'!$B$3:$D$30,3,FALSE),"")</f>
        <v/>
      </c>
      <c r="F653" s="140"/>
      <c r="G653" s="75"/>
      <c r="H653" s="75"/>
      <c r="I653" s="75"/>
      <c r="J653" s="70"/>
      <c r="M653" s="83"/>
      <c r="N653" s="83"/>
      <c r="O653" s="83"/>
    </row>
    <row r="654" spans="1:15" s="69" customFormat="1" x14ac:dyDescent="0.2">
      <c r="A654" s="91"/>
      <c r="B654" s="141" t="s">
        <v>243</v>
      </c>
      <c r="C654" s="88" t="s">
        <v>299</v>
      </c>
      <c r="D654" s="89" t="str">
        <f>IF(C654&lt;&gt;"",VLOOKUP(C654,'Dummy Table'!$B$3:$C$30,2,FALSE),"")</f>
        <v>Holanda</v>
      </c>
      <c r="E654" s="89" t="str">
        <f>IF(C654&lt;&gt;"",VLOOKUP(C654,'Dummy Table'!$B$3:$D$30,3,FALSE),"")</f>
        <v>Red Bull</v>
      </c>
      <c r="F654" s="142"/>
      <c r="H654" s="75"/>
      <c r="J654" s="70"/>
      <c r="M654" s="83"/>
      <c r="N654" s="83"/>
      <c r="O654" s="83"/>
    </row>
    <row r="655" spans="1:15" s="69" customFormat="1" ht="13.5" thickBot="1" x14ac:dyDescent="0.25">
      <c r="A655" s="91"/>
      <c r="B655" s="143" t="s">
        <v>234</v>
      </c>
      <c r="C655" s="144" t="s">
        <v>307</v>
      </c>
      <c r="D655" s="145" t="str">
        <f>IF(C655&lt;&gt;"",VLOOKUP(C655,'Dummy Table'!$B$3:$C$30,2,FALSE),"")</f>
        <v>Mônaco</v>
      </c>
      <c r="E655" s="145" t="str">
        <f>IF(C655&lt;&gt;"",VLOOKUP(C655,'Dummy Table'!$B$3:$D$30,3,FALSE),"")</f>
        <v>Ferrari</v>
      </c>
      <c r="F655" s="146"/>
      <c r="H655" s="69">
        <f>IF(C655="",F655,0)</f>
        <v>0</v>
      </c>
      <c r="J655" s="70"/>
      <c r="M655" s="83"/>
      <c r="N655" s="83"/>
      <c r="O655" s="83"/>
    </row>
    <row r="656" spans="1:15" s="69" customFormat="1" x14ac:dyDescent="0.2">
      <c r="A656" s="91">
        <v>19</v>
      </c>
      <c r="B656" s="132">
        <f>VLOOKUP($A656,'Calendário atual'!$A$2:$E$30,2,FALSE)</f>
        <v>46320</v>
      </c>
      <c r="C656" s="175" t="str">
        <f>VLOOKUP($A656,'Calendário atual'!$A$2:$E$30,4,FALSE)</f>
        <v>FORMULA 1 MSC CRUISES UNITED STATES GRAND PRIX 2026</v>
      </c>
      <c r="D656" s="175"/>
      <c r="E656" s="175"/>
      <c r="F656" s="133" t="str">
        <f>VLOOKUP($A656,'Calendário atual'!$A$2:$E$30,3,FALSE)</f>
        <v>USA</v>
      </c>
      <c r="G656" s="75"/>
      <c r="H656" s="75"/>
      <c r="I656" s="75"/>
      <c r="J656" s="70"/>
      <c r="M656" s="83"/>
      <c r="N656" s="83"/>
      <c r="O656" s="83"/>
    </row>
    <row r="657" spans="1:15" s="69" customFormat="1" x14ac:dyDescent="0.2">
      <c r="A657" s="91"/>
      <c r="B657" s="134" t="s">
        <v>14</v>
      </c>
      <c r="C657" s="90" t="s">
        <v>29</v>
      </c>
      <c r="D657" s="90" t="s">
        <v>16</v>
      </c>
      <c r="E657" s="90" t="s">
        <v>17</v>
      </c>
      <c r="F657" s="135" t="s">
        <v>18</v>
      </c>
      <c r="J657" s="70"/>
      <c r="M657" s="83"/>
      <c r="N657" s="83"/>
      <c r="O657" s="83"/>
    </row>
    <row r="658" spans="1:15" s="69" customFormat="1" x14ac:dyDescent="0.2">
      <c r="A658" s="91"/>
      <c r="B658" s="136">
        <f>$J$2</f>
        <v>1</v>
      </c>
      <c r="C658" s="86"/>
      <c r="D658" s="87" t="str">
        <f>IF(C658&lt;&gt;"",VLOOKUP(C658,'Dummy Table'!$B$3:$C$30,2,FALSE),"")</f>
        <v/>
      </c>
      <c r="E658" s="87" t="str">
        <f>IF(C658&lt;&gt;"",VLOOKUP(C658,'Dummy Table'!$B$3:$D$30,3,FALSE),"")</f>
        <v/>
      </c>
      <c r="F658" s="137">
        <v>25</v>
      </c>
      <c r="G658" s="69">
        <f>IF(C658="",F658,0)</f>
        <v>25</v>
      </c>
      <c r="H658" s="69">
        <f>IF(C658="",F658,0)</f>
        <v>25</v>
      </c>
      <c r="I658" s="69">
        <f>IF(C658="",1,0)</f>
        <v>1</v>
      </c>
      <c r="J658" s="70"/>
      <c r="M658" s="83"/>
      <c r="N658" s="83"/>
      <c r="O658" s="83"/>
    </row>
    <row r="659" spans="1:15" s="69" customFormat="1" x14ac:dyDescent="0.2">
      <c r="A659" s="91"/>
      <c r="B659" s="138">
        <f>$J$3</f>
        <v>2</v>
      </c>
      <c r="C659" s="86"/>
      <c r="D659" s="87" t="str">
        <f>IF(C659&lt;&gt;"",VLOOKUP(C659,'Dummy Table'!$B$3:$C$30,2,FALSE),"")</f>
        <v/>
      </c>
      <c r="E659" s="87" t="str">
        <f>IF(C659&lt;&gt;"",VLOOKUP(C659,'Dummy Table'!$B$3:$D$30,3,FALSE),"")</f>
        <v/>
      </c>
      <c r="F659" s="137">
        <v>18</v>
      </c>
      <c r="H659" s="69">
        <f>IF(C659="",F659,0)</f>
        <v>18</v>
      </c>
      <c r="J659" s="70"/>
      <c r="M659" s="83"/>
      <c r="N659" s="83"/>
      <c r="O659" s="83"/>
    </row>
    <row r="660" spans="1:15" s="69" customFormat="1" x14ac:dyDescent="0.2">
      <c r="A660" s="91"/>
      <c r="B660" s="138">
        <f>$J$4</f>
        <v>3</v>
      </c>
      <c r="C660" s="86"/>
      <c r="D660" s="87" t="str">
        <f>IF(C660&lt;&gt;"",VLOOKUP(C660,'Dummy Table'!$B$3:$C$30,2,FALSE),"")</f>
        <v/>
      </c>
      <c r="E660" s="87" t="str">
        <f>IF(C660&lt;&gt;"",VLOOKUP(C660,'Dummy Table'!$B$3:$D$30,3,FALSE),"")</f>
        <v/>
      </c>
      <c r="F660" s="137">
        <v>15</v>
      </c>
      <c r="J660" s="70"/>
      <c r="M660" s="83"/>
      <c r="N660" s="83"/>
      <c r="O660" s="83"/>
    </row>
    <row r="661" spans="1:15" s="69" customFormat="1" x14ac:dyDescent="0.2">
      <c r="A661" s="91"/>
      <c r="B661" s="138">
        <f>$J$5</f>
        <v>4</v>
      </c>
      <c r="C661" s="86"/>
      <c r="D661" s="87" t="str">
        <f>IF(C661&lt;&gt;"",VLOOKUP(C661,'Dummy Table'!$B$3:$C$30,2,FALSE),"")</f>
        <v/>
      </c>
      <c r="E661" s="87" t="str">
        <f>IF(C661&lt;&gt;"",VLOOKUP(C661,'Dummy Table'!$B$3:$D$30,3,FALSE),"")</f>
        <v/>
      </c>
      <c r="F661" s="137">
        <v>12</v>
      </c>
      <c r="J661" s="70"/>
      <c r="M661" s="83"/>
      <c r="N661" s="83"/>
      <c r="O661" s="83"/>
    </row>
    <row r="662" spans="1:15" s="69" customFormat="1" x14ac:dyDescent="0.2">
      <c r="A662" s="91"/>
      <c r="B662" s="138">
        <f>$J$6</f>
        <v>5</v>
      </c>
      <c r="C662" s="86"/>
      <c r="D662" s="87" t="str">
        <f>IF(C662&lt;&gt;"",VLOOKUP(C662,'Dummy Table'!$B$3:$C$30,2,FALSE),"")</f>
        <v/>
      </c>
      <c r="E662" s="87" t="str">
        <f>IF(C662&lt;&gt;"",VLOOKUP(C662,'Dummy Table'!$B$3:$D$30,3,FALSE),"")</f>
        <v/>
      </c>
      <c r="F662" s="137">
        <v>10</v>
      </c>
      <c r="J662" s="70"/>
      <c r="M662" s="83"/>
      <c r="N662" s="83"/>
      <c r="O662" s="83"/>
    </row>
    <row r="663" spans="1:15" s="69" customFormat="1" x14ac:dyDescent="0.2">
      <c r="A663" s="91"/>
      <c r="B663" s="138">
        <f>$J$7</f>
        <v>6</v>
      </c>
      <c r="C663" s="86"/>
      <c r="D663" s="87" t="str">
        <f>IF(C663&lt;&gt;"",VLOOKUP(C663,'Dummy Table'!$B$3:$C$30,2,FALSE),"")</f>
        <v/>
      </c>
      <c r="E663" s="87" t="str">
        <f>IF(C663&lt;&gt;"",VLOOKUP(C663,'Dummy Table'!$B$3:$D$30,3,FALSE),"")</f>
        <v/>
      </c>
      <c r="F663" s="137">
        <v>8</v>
      </c>
      <c r="J663" s="70"/>
      <c r="M663" s="83"/>
      <c r="N663" s="83"/>
      <c r="O663" s="83"/>
    </row>
    <row r="664" spans="1:15" s="69" customFormat="1" x14ac:dyDescent="0.2">
      <c r="A664" s="91"/>
      <c r="B664" s="138">
        <f>$J$8</f>
        <v>7</v>
      </c>
      <c r="C664" s="86"/>
      <c r="D664" s="87" t="str">
        <f>IF(C664&lt;&gt;"",VLOOKUP(C664,'Dummy Table'!$B$3:$C$30,2,FALSE),"")</f>
        <v/>
      </c>
      <c r="E664" s="87" t="str">
        <f>IF(C664&lt;&gt;"",VLOOKUP(C664,'Dummy Table'!$B$3:$D$30,3,FALSE),"")</f>
        <v/>
      </c>
      <c r="F664" s="137">
        <v>6</v>
      </c>
      <c r="J664" s="70"/>
      <c r="M664" s="83"/>
      <c r="N664" s="83"/>
      <c r="O664" s="83"/>
    </row>
    <row r="665" spans="1:15" s="69" customFormat="1" x14ac:dyDescent="0.2">
      <c r="A665" s="91"/>
      <c r="B665" s="138">
        <f>$J$9</f>
        <v>8</v>
      </c>
      <c r="C665" s="86"/>
      <c r="D665" s="87" t="str">
        <f>IF(C665&lt;&gt;"",VLOOKUP(C665,'Dummy Table'!$B$3:$C$30,2,FALSE),"")</f>
        <v/>
      </c>
      <c r="E665" s="87" t="str">
        <f>IF(C665&lt;&gt;"",VLOOKUP(C665,'Dummy Table'!$B$3:$D$30,3,FALSE),"")</f>
        <v/>
      </c>
      <c r="F665" s="137">
        <v>4</v>
      </c>
      <c r="J665" s="70"/>
      <c r="M665" s="83"/>
      <c r="N665" s="83"/>
      <c r="O665" s="83"/>
    </row>
    <row r="666" spans="1:15" s="69" customFormat="1" x14ac:dyDescent="0.2">
      <c r="A666" s="91"/>
      <c r="B666" s="138">
        <f>$J$10</f>
        <v>9</v>
      </c>
      <c r="C666" s="86"/>
      <c r="D666" s="87" t="str">
        <f>IF(C666&lt;&gt;"",VLOOKUP(C666,'Dummy Table'!$B$3:$C$30,2,FALSE),"")</f>
        <v/>
      </c>
      <c r="E666" s="87" t="str">
        <f>IF(C666&lt;&gt;"",VLOOKUP(C666,'Dummy Table'!$B$3:$D$30,3,FALSE),"")</f>
        <v/>
      </c>
      <c r="F666" s="137">
        <v>2</v>
      </c>
      <c r="J666" s="70"/>
      <c r="M666" s="83"/>
      <c r="N666" s="83"/>
      <c r="O666" s="83"/>
    </row>
    <row r="667" spans="1:15" s="69" customFormat="1" x14ac:dyDescent="0.2">
      <c r="A667" s="91"/>
      <c r="B667" s="138">
        <f>$J$11</f>
        <v>10</v>
      </c>
      <c r="C667" s="86"/>
      <c r="D667" s="87" t="str">
        <f>IF(C667&lt;&gt;"",VLOOKUP(C667,'Dummy Table'!$B$3:$C$30,2,FALSE),"")</f>
        <v/>
      </c>
      <c r="E667" s="87" t="str">
        <f>IF(C667&lt;&gt;"",VLOOKUP(C667,'Dummy Table'!$B$3:$D$30,3,FALSE),"")</f>
        <v/>
      </c>
      <c r="F667" s="137">
        <v>1</v>
      </c>
      <c r="J667" s="70"/>
      <c r="M667" s="83"/>
      <c r="N667" s="83"/>
      <c r="O667" s="83"/>
    </row>
    <row r="668" spans="1:15" s="69" customFormat="1" x14ac:dyDescent="0.2">
      <c r="A668" s="91"/>
      <c r="B668" s="138">
        <f>$J$12</f>
        <v>11</v>
      </c>
      <c r="C668" s="86"/>
      <c r="D668" s="87" t="str">
        <f>IF(C668&lt;&gt;"",VLOOKUP(C668,'Dummy Table'!$B$3:$C$30,2,FALSE),"")</f>
        <v/>
      </c>
      <c r="E668" s="87" t="str">
        <f>IF(C668&lt;&gt;"",VLOOKUP(C668,'Dummy Table'!$B$3:$D$30,3,FALSE),"")</f>
        <v/>
      </c>
      <c r="F668" s="139"/>
      <c r="J668" s="70"/>
      <c r="M668" s="83"/>
      <c r="N668" s="83"/>
      <c r="O668" s="83"/>
    </row>
    <row r="669" spans="1:15" s="69" customFormat="1" x14ac:dyDescent="0.2">
      <c r="A669" s="91"/>
      <c r="B669" s="138">
        <f>$J$13</f>
        <v>12</v>
      </c>
      <c r="C669" s="86"/>
      <c r="D669" s="87" t="str">
        <f>IF(C669&lt;&gt;"",VLOOKUP(C669,'Dummy Table'!$B$3:$C$30,2,FALSE),"")</f>
        <v/>
      </c>
      <c r="E669" s="87" t="str">
        <f>IF(C669&lt;&gt;"",VLOOKUP(C669,'Dummy Table'!$B$3:$D$30,3,FALSE),"")</f>
        <v/>
      </c>
      <c r="F669" s="139"/>
      <c r="J669" s="70"/>
      <c r="M669" s="83"/>
      <c r="N669" s="83"/>
      <c r="O669" s="83"/>
    </row>
    <row r="670" spans="1:15" s="69" customFormat="1" x14ac:dyDescent="0.2">
      <c r="A670" s="91"/>
      <c r="B670" s="138">
        <f>$J$14</f>
        <v>13</v>
      </c>
      <c r="C670" s="86"/>
      <c r="D670" s="87" t="str">
        <f>IF(C670&lt;&gt;"",VLOOKUP(C670,'Dummy Table'!$B$3:$C$30,2,FALSE),"")</f>
        <v/>
      </c>
      <c r="E670" s="87" t="str">
        <f>IF(C670&lt;&gt;"",VLOOKUP(C670,'Dummy Table'!$B$3:$D$30,3,FALSE),"")</f>
        <v/>
      </c>
      <c r="F670" s="139"/>
      <c r="G670" s="75"/>
      <c r="H670" s="75"/>
      <c r="I670" s="75"/>
      <c r="J670" s="70"/>
      <c r="M670" s="83"/>
      <c r="N670" s="83"/>
      <c r="O670" s="83"/>
    </row>
    <row r="671" spans="1:15" s="69" customFormat="1" x14ac:dyDescent="0.2">
      <c r="A671" s="91"/>
      <c r="B671" s="138">
        <f>$J$15</f>
        <v>14</v>
      </c>
      <c r="C671" s="86"/>
      <c r="D671" s="87" t="str">
        <f>IF(C671&lt;&gt;"",VLOOKUP(C671,'Dummy Table'!$B$3:$C$30,2,FALSE),"")</f>
        <v/>
      </c>
      <c r="E671" s="87" t="str">
        <f>IF(C671&lt;&gt;"",VLOOKUP(C671,'Dummy Table'!$B$3:$D$30,3,FALSE),"")</f>
        <v/>
      </c>
      <c r="F671" s="139"/>
      <c r="G671" s="75"/>
      <c r="H671" s="75"/>
      <c r="I671" s="75"/>
      <c r="J671" s="70"/>
      <c r="M671" s="83"/>
      <c r="N671" s="83"/>
      <c r="O671" s="83"/>
    </row>
    <row r="672" spans="1:15" s="69" customFormat="1" x14ac:dyDescent="0.2">
      <c r="A672" s="91"/>
      <c r="B672" s="138">
        <f>$J$16</f>
        <v>15</v>
      </c>
      <c r="C672" s="86"/>
      <c r="D672" s="87" t="str">
        <f>IF(C672&lt;&gt;"",VLOOKUP(C672,'Dummy Table'!$B$3:$C$30,2,FALSE),"")</f>
        <v/>
      </c>
      <c r="E672" s="87" t="str">
        <f>IF(C672&lt;&gt;"",VLOOKUP(C672,'Dummy Table'!$B$3:$D$30,3,FALSE),"")</f>
        <v/>
      </c>
      <c r="F672" s="139"/>
      <c r="G672" s="75"/>
      <c r="H672" s="75"/>
      <c r="I672" s="75"/>
      <c r="J672" s="70"/>
      <c r="M672" s="83"/>
      <c r="N672" s="83"/>
      <c r="O672" s="83"/>
    </row>
    <row r="673" spans="1:15" s="69" customFormat="1" x14ac:dyDescent="0.2">
      <c r="A673" s="91"/>
      <c r="B673" s="138">
        <f>$J$17</f>
        <v>16</v>
      </c>
      <c r="C673" s="86"/>
      <c r="D673" s="87" t="str">
        <f>IF(C673&lt;&gt;"",VLOOKUP(C673,'Dummy Table'!$B$3:$C$30,2,FALSE),"")</f>
        <v/>
      </c>
      <c r="E673" s="87" t="str">
        <f>IF(C673&lt;&gt;"",VLOOKUP(C673,'Dummy Table'!$B$3:$D$30,3,FALSE),"")</f>
        <v/>
      </c>
      <c r="F673" s="139"/>
      <c r="G673" s="75"/>
      <c r="H673" s="75"/>
      <c r="I673" s="75"/>
      <c r="J673" s="70"/>
      <c r="M673" s="83"/>
      <c r="N673" s="83"/>
      <c r="O673" s="83"/>
    </row>
    <row r="674" spans="1:15" s="69" customFormat="1" x14ac:dyDescent="0.2">
      <c r="A674" s="91"/>
      <c r="B674" s="138">
        <f>$J$18</f>
        <v>17</v>
      </c>
      <c r="C674" s="86"/>
      <c r="D674" s="87" t="str">
        <f>IF(C674&lt;&gt;"",VLOOKUP(C674,'Dummy Table'!$B$3:$C$30,2,FALSE),"")</f>
        <v/>
      </c>
      <c r="E674" s="87" t="str">
        <f>IF(C674&lt;&gt;"",VLOOKUP(C674,'Dummy Table'!$B$3:$D$30,3,FALSE),"")</f>
        <v/>
      </c>
      <c r="F674" s="139"/>
      <c r="G674" s="75"/>
      <c r="H674" s="75"/>
      <c r="I674" s="75"/>
      <c r="J674" s="70"/>
      <c r="M674" s="83"/>
      <c r="N674" s="83"/>
      <c r="O674" s="83"/>
    </row>
    <row r="675" spans="1:15" s="69" customFormat="1" x14ac:dyDescent="0.2">
      <c r="A675" s="91"/>
      <c r="B675" s="138">
        <f>$J$19</f>
        <v>18</v>
      </c>
      <c r="C675" s="86"/>
      <c r="D675" s="87" t="str">
        <f>IF(C675&lt;&gt;"",VLOOKUP(C675,'Dummy Table'!$B$3:$C$30,2,FALSE),"")</f>
        <v/>
      </c>
      <c r="E675" s="87" t="str">
        <f>IF(C675&lt;&gt;"",VLOOKUP(C675,'Dummy Table'!$B$3:$D$30,3,FALSE),"")</f>
        <v/>
      </c>
      <c r="F675" s="139"/>
      <c r="G675" s="75"/>
      <c r="H675" s="75"/>
      <c r="I675" s="75"/>
      <c r="J675" s="70"/>
      <c r="M675" s="83"/>
      <c r="N675" s="83"/>
      <c r="O675" s="83"/>
    </row>
    <row r="676" spans="1:15" s="69" customFormat="1" x14ac:dyDescent="0.2">
      <c r="A676" s="91"/>
      <c r="B676" s="138">
        <f>$J$20</f>
        <v>19</v>
      </c>
      <c r="C676" s="86"/>
      <c r="D676" s="87" t="str">
        <f>IF(C676&lt;&gt;"",VLOOKUP(C676,'Dummy Table'!$B$3:$C$30,2,FALSE),"")</f>
        <v/>
      </c>
      <c r="E676" s="87" t="str">
        <f>IF(C676&lt;&gt;"",VLOOKUP(C676,'Dummy Table'!$B$3:$D$30,3,FALSE),"")</f>
        <v/>
      </c>
      <c r="F676" s="139"/>
      <c r="G676" s="75"/>
      <c r="H676" s="75"/>
      <c r="I676" s="75"/>
      <c r="J676" s="70"/>
      <c r="M676" s="83"/>
      <c r="N676" s="83"/>
      <c r="O676" s="83"/>
    </row>
    <row r="677" spans="1:15" s="69" customFormat="1" x14ac:dyDescent="0.2">
      <c r="A677" s="91"/>
      <c r="B677" s="138">
        <f>$J$21</f>
        <v>20</v>
      </c>
      <c r="C677" s="86"/>
      <c r="D677" s="87" t="str">
        <f>IF(C677&lt;&gt;"",VLOOKUP(C677,'Dummy Table'!$B$3:$C$30,2,FALSE),"")</f>
        <v/>
      </c>
      <c r="E677" s="87" t="str">
        <f>IF(C677&lt;&gt;"",VLOOKUP(C677,'Dummy Table'!$B$3:$D$30,3,FALSE),"")</f>
        <v/>
      </c>
      <c r="F677" s="139"/>
      <c r="G677" s="75"/>
      <c r="H677" s="75"/>
      <c r="I677" s="75"/>
      <c r="J677" s="70"/>
      <c r="M677" s="83"/>
      <c r="N677" s="83"/>
      <c r="O677" s="83"/>
    </row>
    <row r="678" spans="1:15" s="69" customFormat="1" x14ac:dyDescent="0.2">
      <c r="A678" s="91"/>
      <c r="B678" s="138">
        <f>$J$22</f>
        <v>21</v>
      </c>
      <c r="C678" s="86"/>
      <c r="D678" s="87" t="str">
        <f>IF(C678&lt;&gt;"",VLOOKUP(C678,'Dummy Table'!$B$3:$C$30,2,FALSE),"")</f>
        <v/>
      </c>
      <c r="E678" s="87" t="str">
        <f>IF(C678&lt;&gt;"",VLOOKUP(C678,'Dummy Table'!$B$3:$D$30,3,FALSE),"")</f>
        <v/>
      </c>
      <c r="F678" s="139"/>
      <c r="G678" s="75"/>
      <c r="H678" s="75"/>
      <c r="I678" s="75"/>
      <c r="J678" s="70"/>
      <c r="M678" s="83"/>
      <c r="N678" s="83"/>
      <c r="O678" s="83"/>
    </row>
    <row r="679" spans="1:15" s="69" customFormat="1" x14ac:dyDescent="0.2">
      <c r="A679" s="91"/>
      <c r="B679" s="138">
        <f>$J$23</f>
        <v>22</v>
      </c>
      <c r="C679" s="86"/>
      <c r="D679" s="87" t="str">
        <f>IF(C679&lt;&gt;"",VLOOKUP(C679,'Dummy Table'!$B$3:$C$30,2,FALSE),"")</f>
        <v/>
      </c>
      <c r="E679" s="87" t="str">
        <f>IF(C679&lt;&gt;"",VLOOKUP(C679,'Dummy Table'!$B$3:$D$30,3,FALSE),"")</f>
        <v/>
      </c>
      <c r="F679" s="139"/>
      <c r="G679" s="75"/>
      <c r="H679" s="75"/>
      <c r="I679" s="75"/>
      <c r="J679" s="70"/>
      <c r="M679" s="83"/>
      <c r="N679" s="83"/>
      <c r="O679" s="83"/>
    </row>
    <row r="680" spans="1:15" s="69" customFormat="1" ht="12.75" hidden="1" customHeight="1" x14ac:dyDescent="0.2">
      <c r="A680" s="91"/>
      <c r="B680" s="138">
        <f>IF(F680="",$J$24,"Ret")</f>
        <v>23</v>
      </c>
      <c r="C680" s="78"/>
      <c r="D680" s="68" t="str">
        <f>IF(C680&lt;&gt;"",VLOOKUP(C680,'Dummy Table'!$B$3:$C$30,2,FALSE),"")</f>
        <v/>
      </c>
      <c r="E680" s="68" t="str">
        <f>IF(C680&lt;&gt;"",VLOOKUP(C680,'Dummy Table'!$B$3:$D$30,3,FALSE),"")</f>
        <v/>
      </c>
      <c r="F680" s="140"/>
      <c r="G680" s="75"/>
      <c r="H680" s="75"/>
      <c r="I680" s="75"/>
      <c r="J680" s="70"/>
      <c r="M680" s="83"/>
      <c r="N680" s="83"/>
      <c r="O680" s="83"/>
    </row>
    <row r="681" spans="1:15" s="69" customFormat="1" ht="12.75" hidden="1" customHeight="1" x14ac:dyDescent="0.2">
      <c r="A681" s="91"/>
      <c r="B681" s="138" t="str">
        <f>IF(F681="",$J$25,"Ret")</f>
        <v/>
      </c>
      <c r="C681" s="78"/>
      <c r="D681" s="68" t="str">
        <f>IF(C681&lt;&gt;"",VLOOKUP(C681,'Dummy Table'!$B$3:$C$30,2,FALSE),"")</f>
        <v/>
      </c>
      <c r="E681" s="68" t="str">
        <f>IF(C681&lt;&gt;"",VLOOKUP(C681,'Dummy Table'!$B$3:$D$30,3,FALSE),"")</f>
        <v/>
      </c>
      <c r="F681" s="140"/>
      <c r="G681" s="75"/>
      <c r="H681" s="75"/>
      <c r="I681" s="75"/>
      <c r="J681" s="70"/>
      <c r="M681" s="83"/>
      <c r="N681" s="83"/>
      <c r="O681" s="83"/>
    </row>
    <row r="682" spans="1:15" s="69" customFormat="1" x14ac:dyDescent="0.2">
      <c r="A682" s="91"/>
      <c r="B682" s="141" t="s">
        <v>243</v>
      </c>
      <c r="C682" s="88"/>
      <c r="D682" s="89" t="str">
        <f>IF(C682&lt;&gt;"",VLOOKUP(C682,'Dummy Table'!$B$3:$C$30,2,FALSE),"")</f>
        <v/>
      </c>
      <c r="E682" s="89" t="str">
        <f>IF(C682&lt;&gt;"",VLOOKUP(C682,'Dummy Table'!$B$3:$D$30,3,FALSE),"")</f>
        <v/>
      </c>
      <c r="F682" s="142"/>
      <c r="H682" s="75"/>
      <c r="J682" s="70"/>
      <c r="M682" s="83"/>
      <c r="N682" s="83"/>
      <c r="O682" s="83"/>
    </row>
    <row r="683" spans="1:15" s="69" customFormat="1" ht="13.5" thickBot="1" x14ac:dyDescent="0.25">
      <c r="A683" s="91"/>
      <c r="B683" s="143" t="s">
        <v>234</v>
      </c>
      <c r="C683" s="144"/>
      <c r="D683" s="145" t="str">
        <f>IF(C683&lt;&gt;"",VLOOKUP(C683,'Dummy Table'!$B$3:$C$30,2,FALSE),"")</f>
        <v/>
      </c>
      <c r="E683" s="145" t="str">
        <f>IF(C683&lt;&gt;"",VLOOKUP(C683,'Dummy Table'!$B$3:$D$30,3,FALSE),"")</f>
        <v/>
      </c>
      <c r="F683" s="146"/>
      <c r="H683" s="69">
        <f>IF(C683="",F683,0)</f>
        <v>0</v>
      </c>
      <c r="J683" s="70"/>
      <c r="M683" s="83"/>
      <c r="N683" s="83"/>
      <c r="O683" s="83"/>
    </row>
    <row r="684" spans="1:15" s="69" customFormat="1" x14ac:dyDescent="0.2">
      <c r="A684" s="91">
        <v>20</v>
      </c>
      <c r="B684" s="132">
        <f>VLOOKUP($A684,'Calendário atual'!$A$2:$E$30,2,FALSE)</f>
        <v>46327</v>
      </c>
      <c r="C684" s="175" t="str">
        <f>VLOOKUP($A684,'Calendário atual'!$A$2:$E$30,4,FALSE)</f>
        <v>FORMULA 1 GRAN PREMIO DE LA CIUDAD DE MÉXICO 2026</v>
      </c>
      <c r="D684" s="175"/>
      <c r="E684" s="175"/>
      <c r="F684" s="133" t="str">
        <f>VLOOKUP($A684,'Calendário atual'!$A$2:$E$30,3,FALSE)</f>
        <v>México</v>
      </c>
      <c r="G684" s="75"/>
      <c r="H684" s="75"/>
      <c r="I684" s="75"/>
      <c r="J684" s="70"/>
      <c r="M684" s="83"/>
      <c r="N684" s="83"/>
      <c r="O684" s="83"/>
    </row>
    <row r="685" spans="1:15" s="69" customFormat="1" x14ac:dyDescent="0.2">
      <c r="A685" s="91"/>
      <c r="B685" s="134" t="s">
        <v>14</v>
      </c>
      <c r="C685" s="90" t="s">
        <v>29</v>
      </c>
      <c r="D685" s="90" t="s">
        <v>16</v>
      </c>
      <c r="E685" s="90" t="s">
        <v>17</v>
      </c>
      <c r="F685" s="135" t="s">
        <v>18</v>
      </c>
      <c r="J685" s="70"/>
      <c r="M685" s="83"/>
      <c r="N685" s="83"/>
      <c r="O685" s="83"/>
    </row>
    <row r="686" spans="1:15" s="69" customFormat="1" x14ac:dyDescent="0.2">
      <c r="A686" s="91"/>
      <c r="B686" s="136">
        <f>$J$2</f>
        <v>1</v>
      </c>
      <c r="C686" s="86"/>
      <c r="D686" s="87" t="str">
        <f>IF(C686&lt;&gt;"",VLOOKUP(C686,'Dummy Table'!$B$3:$C$30,2,FALSE),"")</f>
        <v/>
      </c>
      <c r="E686" s="87" t="str">
        <f>IF(C686&lt;&gt;"",VLOOKUP(C686,'Dummy Table'!$B$3:$D$30,3,FALSE),"")</f>
        <v/>
      </c>
      <c r="F686" s="137">
        <v>25</v>
      </c>
      <c r="G686" s="69">
        <f>IF(C686="",F686,0)</f>
        <v>25</v>
      </c>
      <c r="H686" s="69">
        <f>IF(C686="",F686,0)</f>
        <v>25</v>
      </c>
      <c r="I686" s="69">
        <f>IF(C686="",1,0)</f>
        <v>1</v>
      </c>
      <c r="J686" s="70"/>
      <c r="M686" s="83"/>
      <c r="N686" s="83"/>
      <c r="O686" s="83"/>
    </row>
    <row r="687" spans="1:15" s="69" customFormat="1" x14ac:dyDescent="0.2">
      <c r="A687" s="91"/>
      <c r="B687" s="138">
        <f>$J$3</f>
        <v>2</v>
      </c>
      <c r="C687" s="86"/>
      <c r="D687" s="87" t="str">
        <f>IF(C687&lt;&gt;"",VLOOKUP(C687,'Dummy Table'!$B$3:$C$30,2,FALSE),"")</f>
        <v/>
      </c>
      <c r="E687" s="87" t="str">
        <f>IF(C687&lt;&gt;"",VLOOKUP(C687,'Dummy Table'!$B$3:$D$30,3,FALSE),"")</f>
        <v/>
      </c>
      <c r="F687" s="137">
        <v>18</v>
      </c>
      <c r="H687" s="69">
        <f>IF(C687="",F687,0)</f>
        <v>18</v>
      </c>
      <c r="J687" s="70"/>
      <c r="M687" s="83"/>
      <c r="N687" s="83"/>
      <c r="O687" s="83"/>
    </row>
    <row r="688" spans="1:15" s="69" customFormat="1" x14ac:dyDescent="0.2">
      <c r="A688" s="91"/>
      <c r="B688" s="138">
        <f>$J$4</f>
        <v>3</v>
      </c>
      <c r="C688" s="86"/>
      <c r="D688" s="87" t="str">
        <f>IF(C688&lt;&gt;"",VLOOKUP(C688,'Dummy Table'!$B$3:$C$30,2,FALSE),"")</f>
        <v/>
      </c>
      <c r="E688" s="87" t="str">
        <f>IF(C688&lt;&gt;"",VLOOKUP(C688,'Dummy Table'!$B$3:$D$30,3,FALSE),"")</f>
        <v/>
      </c>
      <c r="F688" s="137">
        <v>15</v>
      </c>
      <c r="J688" s="70"/>
      <c r="M688" s="83"/>
      <c r="N688" s="83"/>
      <c r="O688" s="83"/>
    </row>
    <row r="689" spans="1:15" s="69" customFormat="1" x14ac:dyDescent="0.2">
      <c r="A689" s="91"/>
      <c r="B689" s="138">
        <f>$J$5</f>
        <v>4</v>
      </c>
      <c r="C689" s="86"/>
      <c r="D689" s="87" t="str">
        <f>IF(C689&lt;&gt;"",VLOOKUP(C689,'Dummy Table'!$B$3:$C$30,2,FALSE),"")</f>
        <v/>
      </c>
      <c r="E689" s="87" t="str">
        <f>IF(C689&lt;&gt;"",VLOOKUP(C689,'Dummy Table'!$B$3:$D$30,3,FALSE),"")</f>
        <v/>
      </c>
      <c r="F689" s="137">
        <v>12</v>
      </c>
      <c r="J689" s="70"/>
      <c r="M689" s="83"/>
      <c r="N689" s="83"/>
      <c r="O689" s="83"/>
    </row>
    <row r="690" spans="1:15" s="69" customFormat="1" x14ac:dyDescent="0.2">
      <c r="A690" s="91"/>
      <c r="B690" s="138">
        <f>$J$6</f>
        <v>5</v>
      </c>
      <c r="C690" s="86"/>
      <c r="D690" s="87" t="str">
        <f>IF(C690&lt;&gt;"",VLOOKUP(C690,'Dummy Table'!$B$3:$C$30,2,FALSE),"")</f>
        <v/>
      </c>
      <c r="E690" s="87" t="str">
        <f>IF(C690&lt;&gt;"",VLOOKUP(C690,'Dummy Table'!$B$3:$D$30,3,FALSE),"")</f>
        <v/>
      </c>
      <c r="F690" s="137">
        <v>10</v>
      </c>
      <c r="J690" s="70"/>
      <c r="M690" s="83"/>
      <c r="N690" s="83"/>
      <c r="O690" s="83"/>
    </row>
    <row r="691" spans="1:15" s="69" customFormat="1" x14ac:dyDescent="0.2">
      <c r="A691" s="91"/>
      <c r="B691" s="138">
        <f>$J$7</f>
        <v>6</v>
      </c>
      <c r="C691" s="86"/>
      <c r="D691" s="87" t="str">
        <f>IF(C691&lt;&gt;"",VLOOKUP(C691,'Dummy Table'!$B$3:$C$30,2,FALSE),"")</f>
        <v/>
      </c>
      <c r="E691" s="87" t="str">
        <f>IF(C691&lt;&gt;"",VLOOKUP(C691,'Dummy Table'!$B$3:$D$30,3,FALSE),"")</f>
        <v/>
      </c>
      <c r="F691" s="137">
        <v>8</v>
      </c>
      <c r="J691" s="70"/>
      <c r="M691" s="83"/>
      <c r="N691" s="83"/>
      <c r="O691" s="83"/>
    </row>
    <row r="692" spans="1:15" s="69" customFormat="1" x14ac:dyDescent="0.2">
      <c r="A692" s="91"/>
      <c r="B692" s="138">
        <f>$J$8</f>
        <v>7</v>
      </c>
      <c r="C692" s="86"/>
      <c r="D692" s="87" t="str">
        <f>IF(C692&lt;&gt;"",VLOOKUP(C692,'Dummy Table'!$B$3:$C$30,2,FALSE),"")</f>
        <v/>
      </c>
      <c r="E692" s="87" t="str">
        <f>IF(C692&lt;&gt;"",VLOOKUP(C692,'Dummy Table'!$B$3:$D$30,3,FALSE),"")</f>
        <v/>
      </c>
      <c r="F692" s="137">
        <v>6</v>
      </c>
      <c r="J692" s="70"/>
      <c r="M692" s="83"/>
      <c r="N692" s="83"/>
      <c r="O692" s="83"/>
    </row>
    <row r="693" spans="1:15" s="69" customFormat="1" x14ac:dyDescent="0.2">
      <c r="A693" s="91"/>
      <c r="B693" s="138">
        <f>$J$9</f>
        <v>8</v>
      </c>
      <c r="C693" s="86"/>
      <c r="D693" s="87" t="str">
        <f>IF(C693&lt;&gt;"",VLOOKUP(C693,'Dummy Table'!$B$3:$C$30,2,FALSE),"")</f>
        <v/>
      </c>
      <c r="E693" s="87" t="str">
        <f>IF(C693&lt;&gt;"",VLOOKUP(C693,'Dummy Table'!$B$3:$D$30,3,FALSE),"")</f>
        <v/>
      </c>
      <c r="F693" s="137">
        <v>4</v>
      </c>
      <c r="J693" s="70"/>
      <c r="M693" s="83"/>
      <c r="N693" s="83"/>
      <c r="O693" s="83"/>
    </row>
    <row r="694" spans="1:15" s="69" customFormat="1" x14ac:dyDescent="0.2">
      <c r="A694" s="91"/>
      <c r="B694" s="138">
        <f>$J$10</f>
        <v>9</v>
      </c>
      <c r="C694" s="86"/>
      <c r="D694" s="87" t="str">
        <f>IF(C694&lt;&gt;"",VLOOKUP(C694,'Dummy Table'!$B$3:$C$30,2,FALSE),"")</f>
        <v/>
      </c>
      <c r="E694" s="87" t="str">
        <f>IF(C694&lt;&gt;"",VLOOKUP(C694,'Dummy Table'!$B$3:$D$30,3,FALSE),"")</f>
        <v/>
      </c>
      <c r="F694" s="137">
        <v>2</v>
      </c>
      <c r="J694" s="70"/>
      <c r="M694" s="83"/>
      <c r="N694" s="83"/>
      <c r="O694" s="83"/>
    </row>
    <row r="695" spans="1:15" s="69" customFormat="1" x14ac:dyDescent="0.2">
      <c r="A695" s="91"/>
      <c r="B695" s="138">
        <f>$J$11</f>
        <v>10</v>
      </c>
      <c r="C695" s="86"/>
      <c r="D695" s="87" t="str">
        <f>IF(C695&lt;&gt;"",VLOOKUP(C695,'Dummy Table'!$B$3:$C$30,2,FALSE),"")</f>
        <v/>
      </c>
      <c r="E695" s="87" t="str">
        <f>IF(C695&lt;&gt;"",VLOOKUP(C695,'Dummy Table'!$B$3:$D$30,3,FALSE),"")</f>
        <v/>
      </c>
      <c r="F695" s="137">
        <v>1</v>
      </c>
      <c r="J695" s="70"/>
      <c r="M695" s="83"/>
      <c r="N695" s="83"/>
      <c r="O695" s="83"/>
    </row>
    <row r="696" spans="1:15" s="69" customFormat="1" x14ac:dyDescent="0.2">
      <c r="A696" s="91"/>
      <c r="B696" s="138">
        <f>$J$12</f>
        <v>11</v>
      </c>
      <c r="C696" s="86"/>
      <c r="D696" s="87" t="str">
        <f>IF(C696&lt;&gt;"",VLOOKUP(C696,'Dummy Table'!$B$3:$C$30,2,FALSE),"")</f>
        <v/>
      </c>
      <c r="E696" s="87" t="str">
        <f>IF(C696&lt;&gt;"",VLOOKUP(C696,'Dummy Table'!$B$3:$D$30,3,FALSE),"")</f>
        <v/>
      </c>
      <c r="F696" s="139"/>
      <c r="J696" s="70"/>
      <c r="M696" s="83"/>
      <c r="N696" s="83"/>
      <c r="O696" s="83"/>
    </row>
    <row r="697" spans="1:15" s="69" customFormat="1" x14ac:dyDescent="0.2">
      <c r="A697" s="91"/>
      <c r="B697" s="138">
        <f>$J$13</f>
        <v>12</v>
      </c>
      <c r="C697" s="86"/>
      <c r="D697" s="87" t="str">
        <f>IF(C697&lt;&gt;"",VLOOKUP(C697,'Dummy Table'!$B$3:$C$30,2,FALSE),"")</f>
        <v/>
      </c>
      <c r="E697" s="87" t="str">
        <f>IF(C697&lt;&gt;"",VLOOKUP(C697,'Dummy Table'!$B$3:$D$30,3,FALSE),"")</f>
        <v/>
      </c>
      <c r="F697" s="139"/>
      <c r="J697" s="70"/>
      <c r="M697" s="83"/>
      <c r="N697" s="83"/>
      <c r="O697" s="83"/>
    </row>
    <row r="698" spans="1:15" s="69" customFormat="1" x14ac:dyDescent="0.2">
      <c r="A698" s="91"/>
      <c r="B698" s="138">
        <f>$J$14</f>
        <v>13</v>
      </c>
      <c r="C698" s="86"/>
      <c r="D698" s="87" t="str">
        <f>IF(C698&lt;&gt;"",VLOOKUP(C698,'Dummy Table'!$B$3:$C$30,2,FALSE),"")</f>
        <v/>
      </c>
      <c r="E698" s="87" t="str">
        <f>IF(C698&lt;&gt;"",VLOOKUP(C698,'Dummy Table'!$B$3:$D$30,3,FALSE),"")</f>
        <v/>
      </c>
      <c r="F698" s="139"/>
      <c r="G698" s="75"/>
      <c r="H698" s="75"/>
      <c r="I698" s="75"/>
      <c r="J698" s="70"/>
      <c r="M698" s="83"/>
      <c r="N698" s="83"/>
      <c r="O698" s="83"/>
    </row>
    <row r="699" spans="1:15" s="69" customFormat="1" x14ac:dyDescent="0.2">
      <c r="A699" s="91"/>
      <c r="B699" s="138">
        <f>$J$15</f>
        <v>14</v>
      </c>
      <c r="C699" s="86"/>
      <c r="D699" s="87" t="str">
        <f>IF(C699&lt;&gt;"",VLOOKUP(C699,'Dummy Table'!$B$3:$C$30,2,FALSE),"")</f>
        <v/>
      </c>
      <c r="E699" s="87" t="str">
        <f>IF(C699&lt;&gt;"",VLOOKUP(C699,'Dummy Table'!$B$3:$D$30,3,FALSE),"")</f>
        <v/>
      </c>
      <c r="F699" s="139"/>
      <c r="G699" s="75"/>
      <c r="H699" s="75"/>
      <c r="I699" s="75"/>
      <c r="J699" s="70"/>
      <c r="M699" s="83"/>
      <c r="N699" s="83"/>
      <c r="O699" s="83"/>
    </row>
    <row r="700" spans="1:15" s="69" customFormat="1" x14ac:dyDescent="0.2">
      <c r="A700" s="91"/>
      <c r="B700" s="138">
        <f>$J$16</f>
        <v>15</v>
      </c>
      <c r="C700" s="86"/>
      <c r="D700" s="87" t="str">
        <f>IF(C700&lt;&gt;"",VLOOKUP(C700,'Dummy Table'!$B$3:$C$30,2,FALSE),"")</f>
        <v/>
      </c>
      <c r="E700" s="87" t="str">
        <f>IF(C700&lt;&gt;"",VLOOKUP(C700,'Dummy Table'!$B$3:$D$30,3,FALSE),"")</f>
        <v/>
      </c>
      <c r="F700" s="139"/>
      <c r="G700" s="75"/>
      <c r="H700" s="75"/>
      <c r="I700" s="75"/>
      <c r="J700" s="70"/>
      <c r="M700" s="83"/>
      <c r="N700" s="83"/>
      <c r="O700" s="83"/>
    </row>
    <row r="701" spans="1:15" s="69" customFormat="1" x14ac:dyDescent="0.2">
      <c r="A701" s="91"/>
      <c r="B701" s="138">
        <f>$J$17</f>
        <v>16</v>
      </c>
      <c r="C701" s="86"/>
      <c r="D701" s="87" t="str">
        <f>IF(C701&lt;&gt;"",VLOOKUP(C701,'Dummy Table'!$B$3:$C$30,2,FALSE),"")</f>
        <v/>
      </c>
      <c r="E701" s="87" t="str">
        <f>IF(C701&lt;&gt;"",VLOOKUP(C701,'Dummy Table'!$B$3:$D$30,3,FALSE),"")</f>
        <v/>
      </c>
      <c r="F701" s="139"/>
      <c r="G701" s="75"/>
      <c r="H701" s="75"/>
      <c r="I701" s="75"/>
      <c r="J701" s="70"/>
      <c r="M701" s="83"/>
      <c r="N701" s="83"/>
      <c r="O701" s="83"/>
    </row>
    <row r="702" spans="1:15" s="69" customFormat="1" x14ac:dyDescent="0.2">
      <c r="A702" s="91"/>
      <c r="B702" s="138">
        <f>$J$18</f>
        <v>17</v>
      </c>
      <c r="C702" s="86"/>
      <c r="D702" s="87" t="str">
        <f>IF(C702&lt;&gt;"",VLOOKUP(C702,'Dummy Table'!$B$3:$C$30,2,FALSE),"")</f>
        <v/>
      </c>
      <c r="E702" s="87" t="str">
        <f>IF(C702&lt;&gt;"",VLOOKUP(C702,'Dummy Table'!$B$3:$D$30,3,FALSE),"")</f>
        <v/>
      </c>
      <c r="F702" s="139"/>
      <c r="G702" s="75"/>
      <c r="H702" s="75"/>
      <c r="I702" s="75"/>
      <c r="J702" s="70"/>
      <c r="M702" s="83"/>
      <c r="N702" s="83"/>
      <c r="O702" s="83"/>
    </row>
    <row r="703" spans="1:15" s="69" customFormat="1" x14ac:dyDescent="0.2">
      <c r="A703" s="91"/>
      <c r="B703" s="138">
        <f>$J$19</f>
        <v>18</v>
      </c>
      <c r="C703" s="86"/>
      <c r="D703" s="87" t="str">
        <f>IF(C703&lt;&gt;"",VLOOKUP(C703,'Dummy Table'!$B$3:$C$30,2,FALSE),"")</f>
        <v/>
      </c>
      <c r="E703" s="87" t="str">
        <f>IF(C703&lt;&gt;"",VLOOKUP(C703,'Dummy Table'!$B$3:$D$30,3,FALSE),"")</f>
        <v/>
      </c>
      <c r="F703" s="139"/>
      <c r="G703" s="75"/>
      <c r="H703" s="75"/>
      <c r="I703" s="75"/>
      <c r="J703" s="70"/>
      <c r="M703" s="83"/>
      <c r="N703" s="83"/>
      <c r="O703" s="83"/>
    </row>
    <row r="704" spans="1:15" s="69" customFormat="1" x14ac:dyDescent="0.2">
      <c r="A704" s="91"/>
      <c r="B704" s="138">
        <f>$J$20</f>
        <v>19</v>
      </c>
      <c r="C704" s="86"/>
      <c r="D704" s="87" t="str">
        <f>IF(C704&lt;&gt;"",VLOOKUP(C704,'Dummy Table'!$B$3:$C$30,2,FALSE),"")</f>
        <v/>
      </c>
      <c r="E704" s="87" t="str">
        <f>IF(C704&lt;&gt;"",VLOOKUP(C704,'Dummy Table'!$B$3:$D$30,3,FALSE),"")</f>
        <v/>
      </c>
      <c r="F704" s="139"/>
      <c r="G704" s="75"/>
      <c r="H704" s="75"/>
      <c r="I704" s="75"/>
      <c r="J704" s="70"/>
      <c r="M704" s="83"/>
      <c r="N704" s="83"/>
      <c r="O704" s="83"/>
    </row>
    <row r="705" spans="1:15" s="69" customFormat="1" x14ac:dyDescent="0.2">
      <c r="A705" s="91"/>
      <c r="B705" s="138">
        <f>$J$21</f>
        <v>20</v>
      </c>
      <c r="C705" s="86"/>
      <c r="D705" s="87" t="str">
        <f>IF(C705&lt;&gt;"",VLOOKUP(C705,'Dummy Table'!$B$3:$C$30,2,FALSE),"")</f>
        <v/>
      </c>
      <c r="E705" s="87" t="str">
        <f>IF(C705&lt;&gt;"",VLOOKUP(C705,'Dummy Table'!$B$3:$D$30,3,FALSE),"")</f>
        <v/>
      </c>
      <c r="F705" s="139"/>
      <c r="G705" s="75"/>
      <c r="H705" s="75"/>
      <c r="I705" s="75"/>
      <c r="J705" s="70"/>
      <c r="M705" s="83"/>
      <c r="N705" s="83"/>
      <c r="O705" s="83"/>
    </row>
    <row r="706" spans="1:15" s="69" customFormat="1" x14ac:dyDescent="0.2">
      <c r="A706" s="91"/>
      <c r="B706" s="138">
        <f>$J$22</f>
        <v>21</v>
      </c>
      <c r="C706" s="86"/>
      <c r="D706" s="87" t="str">
        <f>IF(C706&lt;&gt;"",VLOOKUP(C706,'Dummy Table'!$B$3:$C$30,2,FALSE),"")</f>
        <v/>
      </c>
      <c r="E706" s="87" t="str">
        <f>IF(C706&lt;&gt;"",VLOOKUP(C706,'Dummy Table'!$B$3:$D$30,3,FALSE),"")</f>
        <v/>
      </c>
      <c r="F706" s="139"/>
      <c r="G706" s="75"/>
      <c r="H706" s="75"/>
      <c r="I706" s="75"/>
      <c r="J706" s="70"/>
      <c r="M706" s="83"/>
      <c r="N706" s="83"/>
      <c r="O706" s="83"/>
    </row>
    <row r="707" spans="1:15" s="69" customFormat="1" x14ac:dyDescent="0.2">
      <c r="A707" s="91"/>
      <c r="B707" s="138">
        <f>$J$23</f>
        <v>22</v>
      </c>
      <c r="C707" s="86"/>
      <c r="D707" s="87" t="str">
        <f>IF(C707&lt;&gt;"",VLOOKUP(C707,'Dummy Table'!$B$3:$C$30,2,FALSE),"")</f>
        <v/>
      </c>
      <c r="E707" s="87" t="str">
        <f>IF(C707&lt;&gt;"",VLOOKUP(C707,'Dummy Table'!$B$3:$D$30,3,FALSE),"")</f>
        <v/>
      </c>
      <c r="F707" s="139"/>
      <c r="G707" s="75"/>
      <c r="H707" s="75"/>
      <c r="I707" s="75"/>
      <c r="J707" s="70"/>
      <c r="M707" s="83"/>
      <c r="N707" s="83"/>
      <c r="O707" s="83"/>
    </row>
    <row r="708" spans="1:15" s="69" customFormat="1" ht="12.75" hidden="1" customHeight="1" x14ac:dyDescent="0.2">
      <c r="A708" s="91"/>
      <c r="B708" s="138">
        <f>IF(F708="",$J$24,"Ret")</f>
        <v>23</v>
      </c>
      <c r="C708" s="78"/>
      <c r="D708" s="68" t="str">
        <f>IF(C708&lt;&gt;"",VLOOKUP(C708,'Dummy Table'!$B$3:$C$30,2,FALSE),"")</f>
        <v/>
      </c>
      <c r="E708" s="68" t="str">
        <f>IF(C708&lt;&gt;"",VLOOKUP(C708,'Dummy Table'!$B$3:$D$30,3,FALSE),"")</f>
        <v/>
      </c>
      <c r="F708" s="140"/>
      <c r="G708" s="75"/>
      <c r="H708" s="75"/>
      <c r="I708" s="75"/>
      <c r="J708" s="70"/>
      <c r="M708" s="83"/>
      <c r="N708" s="83"/>
      <c r="O708" s="83"/>
    </row>
    <row r="709" spans="1:15" s="69" customFormat="1" ht="12.75" hidden="1" customHeight="1" x14ac:dyDescent="0.2">
      <c r="A709" s="91"/>
      <c r="B709" s="138" t="str">
        <f>IF(F709="",$J$25,"Ret")</f>
        <v/>
      </c>
      <c r="C709" s="78"/>
      <c r="D709" s="68" t="str">
        <f>IF(C709&lt;&gt;"",VLOOKUP(C709,'Dummy Table'!$B$3:$C$30,2,FALSE),"")</f>
        <v/>
      </c>
      <c r="E709" s="68" t="str">
        <f>IF(C709&lt;&gt;"",VLOOKUP(C709,'Dummy Table'!$B$3:$D$30,3,FALSE),"")</f>
        <v/>
      </c>
      <c r="F709" s="140"/>
      <c r="G709" s="75"/>
      <c r="H709" s="75"/>
      <c r="I709" s="75"/>
      <c r="J709" s="70"/>
      <c r="M709" s="83"/>
      <c r="N709" s="83"/>
      <c r="O709" s="83"/>
    </row>
    <row r="710" spans="1:15" s="69" customFormat="1" x14ac:dyDescent="0.2">
      <c r="A710" s="91"/>
      <c r="B710" s="141" t="s">
        <v>243</v>
      </c>
      <c r="C710" s="88"/>
      <c r="D710" s="89" t="str">
        <f>IF(C710&lt;&gt;"",VLOOKUP(C710,'Dummy Table'!$B$3:$C$30,2,FALSE),"")</f>
        <v/>
      </c>
      <c r="E710" s="89" t="str">
        <f>IF(C710&lt;&gt;"",VLOOKUP(C710,'Dummy Table'!$B$3:$D$30,3,FALSE),"")</f>
        <v/>
      </c>
      <c r="F710" s="142"/>
      <c r="H710" s="75"/>
      <c r="J710" s="70"/>
      <c r="M710" s="83"/>
      <c r="N710" s="83"/>
      <c r="O710" s="83"/>
    </row>
    <row r="711" spans="1:15" s="69" customFormat="1" ht="13.5" thickBot="1" x14ac:dyDescent="0.25">
      <c r="A711" s="91"/>
      <c r="B711" s="143" t="s">
        <v>234</v>
      </c>
      <c r="C711" s="144"/>
      <c r="D711" s="145" t="str">
        <f>IF(C711&lt;&gt;"",VLOOKUP(C711,'Dummy Table'!$B$3:$C$30,2,FALSE),"")</f>
        <v/>
      </c>
      <c r="E711" s="145" t="str">
        <f>IF(C711&lt;&gt;"",VLOOKUP(C711,'Dummy Table'!$B$3:$D$30,3,FALSE),"")</f>
        <v/>
      </c>
      <c r="F711" s="146"/>
      <c r="H711" s="69">
        <f>IF(C711="",F711,0)</f>
        <v>0</v>
      </c>
      <c r="J711" s="70"/>
      <c r="M711" s="83"/>
      <c r="N711" s="83"/>
      <c r="O711" s="83"/>
    </row>
    <row r="712" spans="1:15" s="69" customFormat="1" x14ac:dyDescent="0.2">
      <c r="A712" s="91">
        <v>21</v>
      </c>
      <c r="B712" s="132">
        <f>VLOOKUP($A712,'Calendário atual'!$A$2:$E$30,2,FALSE)</f>
        <v>46334</v>
      </c>
      <c r="C712" s="175" t="str">
        <f>VLOOKUP($A712,'Calendário atual'!$A$2:$E$30,4,FALSE)</f>
        <v>FORMULA 1 MSC CRUISES GRANDE PRÊMIO DE SÃO PAULO 2026</v>
      </c>
      <c r="D712" s="175"/>
      <c r="E712" s="175"/>
      <c r="F712" s="133" t="str">
        <f>VLOOKUP($A712,'Calendário atual'!$A$2:$E$30,3,FALSE)</f>
        <v>Brasil</v>
      </c>
      <c r="G712" s="75"/>
      <c r="H712" s="75"/>
      <c r="I712" s="75"/>
      <c r="J712" s="70"/>
      <c r="M712" s="83"/>
      <c r="N712" s="83"/>
      <c r="O712" s="83"/>
    </row>
    <row r="713" spans="1:15" s="69" customFormat="1" x14ac:dyDescent="0.2">
      <c r="A713" s="91"/>
      <c r="B713" s="134" t="s">
        <v>14</v>
      </c>
      <c r="C713" s="90" t="s">
        <v>29</v>
      </c>
      <c r="D713" s="90" t="s">
        <v>16</v>
      </c>
      <c r="E713" s="90" t="s">
        <v>17</v>
      </c>
      <c r="F713" s="135" t="s">
        <v>18</v>
      </c>
      <c r="J713" s="70"/>
      <c r="M713" s="83"/>
      <c r="N713" s="83"/>
      <c r="O713" s="83"/>
    </row>
    <row r="714" spans="1:15" s="69" customFormat="1" x14ac:dyDescent="0.2">
      <c r="A714" s="91"/>
      <c r="B714" s="136">
        <f>$J$2</f>
        <v>1</v>
      </c>
      <c r="C714" s="86"/>
      <c r="D714" s="87" t="str">
        <f>IF(C714&lt;&gt;"",VLOOKUP(C714,'Dummy Table'!$B$3:$C$30,2,FALSE),"")</f>
        <v/>
      </c>
      <c r="E714" s="87" t="str">
        <f>IF(C714&lt;&gt;"",VLOOKUP(C714,'Dummy Table'!$B$3:$D$30,3,FALSE),"")</f>
        <v/>
      </c>
      <c r="F714" s="137">
        <v>25</v>
      </c>
      <c r="G714" s="69">
        <f>IF(C714="",F714,0)</f>
        <v>25</v>
      </c>
      <c r="H714" s="69">
        <f>IF(C714="",F714,0)</f>
        <v>25</v>
      </c>
      <c r="I714" s="69">
        <f>IF(C714="",1,0)</f>
        <v>1</v>
      </c>
      <c r="J714" s="70"/>
      <c r="M714" s="83"/>
      <c r="N714" s="83"/>
      <c r="O714" s="83"/>
    </row>
    <row r="715" spans="1:15" s="69" customFormat="1" x14ac:dyDescent="0.2">
      <c r="A715" s="91"/>
      <c r="B715" s="138">
        <f>$J$3</f>
        <v>2</v>
      </c>
      <c r="C715" s="86"/>
      <c r="D715" s="87" t="str">
        <f>IF(C715&lt;&gt;"",VLOOKUP(C715,'Dummy Table'!$B$3:$C$30,2,FALSE),"")</f>
        <v/>
      </c>
      <c r="E715" s="87" t="str">
        <f>IF(C715&lt;&gt;"",VLOOKUP(C715,'Dummy Table'!$B$3:$D$30,3,FALSE),"")</f>
        <v/>
      </c>
      <c r="F715" s="137">
        <v>18</v>
      </c>
      <c r="H715" s="69">
        <f>IF(C715="",F715,0)</f>
        <v>18</v>
      </c>
      <c r="J715" s="70"/>
      <c r="M715" s="83"/>
      <c r="N715" s="83"/>
      <c r="O715" s="83"/>
    </row>
    <row r="716" spans="1:15" s="69" customFormat="1" x14ac:dyDescent="0.2">
      <c r="A716" s="91"/>
      <c r="B716" s="138">
        <f>$J$4</f>
        <v>3</v>
      </c>
      <c r="C716" s="86"/>
      <c r="D716" s="87" t="str">
        <f>IF(C716&lt;&gt;"",VLOOKUP(C716,'Dummy Table'!$B$3:$C$30,2,FALSE),"")</f>
        <v/>
      </c>
      <c r="E716" s="87" t="str">
        <f>IF(C716&lt;&gt;"",VLOOKUP(C716,'Dummy Table'!$B$3:$D$30,3,FALSE),"")</f>
        <v/>
      </c>
      <c r="F716" s="137">
        <v>15</v>
      </c>
      <c r="J716" s="70"/>
      <c r="M716" s="83"/>
      <c r="N716" s="83"/>
      <c r="O716" s="83"/>
    </row>
    <row r="717" spans="1:15" s="69" customFormat="1" x14ac:dyDescent="0.2">
      <c r="A717" s="91"/>
      <c r="B717" s="138">
        <f>$J$5</f>
        <v>4</v>
      </c>
      <c r="C717" s="86"/>
      <c r="D717" s="87" t="str">
        <f>IF(C717&lt;&gt;"",VLOOKUP(C717,'Dummy Table'!$B$3:$C$30,2,FALSE),"")</f>
        <v/>
      </c>
      <c r="E717" s="87" t="str">
        <f>IF(C717&lt;&gt;"",VLOOKUP(C717,'Dummy Table'!$B$3:$D$30,3,FALSE),"")</f>
        <v/>
      </c>
      <c r="F717" s="137">
        <v>12</v>
      </c>
      <c r="J717" s="70"/>
      <c r="M717" s="83"/>
      <c r="N717" s="83"/>
      <c r="O717" s="83"/>
    </row>
    <row r="718" spans="1:15" s="69" customFormat="1" x14ac:dyDescent="0.2">
      <c r="A718" s="91"/>
      <c r="B718" s="138">
        <f>$J$6</f>
        <v>5</v>
      </c>
      <c r="C718" s="86"/>
      <c r="D718" s="87" t="str">
        <f>IF(C718&lt;&gt;"",VLOOKUP(C718,'Dummy Table'!$B$3:$C$30,2,FALSE),"")</f>
        <v/>
      </c>
      <c r="E718" s="87" t="str">
        <f>IF(C718&lt;&gt;"",VLOOKUP(C718,'Dummy Table'!$B$3:$D$30,3,FALSE),"")</f>
        <v/>
      </c>
      <c r="F718" s="137">
        <v>10</v>
      </c>
      <c r="J718" s="70"/>
      <c r="M718" s="83"/>
      <c r="N718" s="83"/>
      <c r="O718" s="83"/>
    </row>
    <row r="719" spans="1:15" s="69" customFormat="1" x14ac:dyDescent="0.2">
      <c r="A719" s="91"/>
      <c r="B719" s="138">
        <f>$J$7</f>
        <v>6</v>
      </c>
      <c r="C719" s="86"/>
      <c r="D719" s="87" t="str">
        <f>IF(C719&lt;&gt;"",VLOOKUP(C719,'Dummy Table'!$B$3:$C$30,2,FALSE),"")</f>
        <v/>
      </c>
      <c r="E719" s="87" t="str">
        <f>IF(C719&lt;&gt;"",VLOOKUP(C719,'Dummy Table'!$B$3:$D$30,3,FALSE),"")</f>
        <v/>
      </c>
      <c r="F719" s="137">
        <v>8</v>
      </c>
      <c r="J719" s="70"/>
      <c r="M719" s="83"/>
      <c r="N719" s="83"/>
      <c r="O719" s="83"/>
    </row>
    <row r="720" spans="1:15" s="69" customFormat="1" x14ac:dyDescent="0.2">
      <c r="A720" s="91"/>
      <c r="B720" s="138">
        <f>$J$8</f>
        <v>7</v>
      </c>
      <c r="C720" s="86"/>
      <c r="D720" s="87" t="str">
        <f>IF(C720&lt;&gt;"",VLOOKUP(C720,'Dummy Table'!$B$3:$C$30,2,FALSE),"")</f>
        <v/>
      </c>
      <c r="E720" s="87" t="str">
        <f>IF(C720&lt;&gt;"",VLOOKUP(C720,'Dummy Table'!$B$3:$D$30,3,FALSE),"")</f>
        <v/>
      </c>
      <c r="F720" s="137">
        <v>6</v>
      </c>
      <c r="J720" s="70"/>
      <c r="M720" s="83"/>
      <c r="N720" s="83"/>
      <c r="O720" s="83"/>
    </row>
    <row r="721" spans="1:15" s="69" customFormat="1" x14ac:dyDescent="0.2">
      <c r="A721" s="91"/>
      <c r="B721" s="138">
        <f>$J$9</f>
        <v>8</v>
      </c>
      <c r="C721" s="86"/>
      <c r="D721" s="87" t="str">
        <f>IF(C721&lt;&gt;"",VLOOKUP(C721,'Dummy Table'!$B$3:$C$30,2,FALSE),"")</f>
        <v/>
      </c>
      <c r="E721" s="87" t="str">
        <f>IF(C721&lt;&gt;"",VLOOKUP(C721,'Dummy Table'!$B$3:$D$30,3,FALSE),"")</f>
        <v/>
      </c>
      <c r="F721" s="137">
        <v>4</v>
      </c>
      <c r="J721" s="70"/>
      <c r="M721" s="83"/>
      <c r="N721" s="83"/>
      <c r="O721" s="83"/>
    </row>
    <row r="722" spans="1:15" s="69" customFormat="1" x14ac:dyDescent="0.2">
      <c r="A722" s="91"/>
      <c r="B722" s="138">
        <f>$J$10</f>
        <v>9</v>
      </c>
      <c r="C722" s="86"/>
      <c r="D722" s="87" t="str">
        <f>IF(C722&lt;&gt;"",VLOOKUP(C722,'Dummy Table'!$B$3:$C$30,2,FALSE),"")</f>
        <v/>
      </c>
      <c r="E722" s="87" t="str">
        <f>IF(C722&lt;&gt;"",VLOOKUP(C722,'Dummy Table'!$B$3:$D$30,3,FALSE),"")</f>
        <v/>
      </c>
      <c r="F722" s="137">
        <v>2</v>
      </c>
      <c r="J722" s="70"/>
      <c r="M722" s="83"/>
      <c r="N722" s="83"/>
      <c r="O722" s="83"/>
    </row>
    <row r="723" spans="1:15" s="69" customFormat="1" x14ac:dyDescent="0.2">
      <c r="A723" s="91"/>
      <c r="B723" s="138">
        <f>$J$11</f>
        <v>10</v>
      </c>
      <c r="C723" s="86"/>
      <c r="D723" s="87" t="str">
        <f>IF(C723&lt;&gt;"",VLOOKUP(C723,'Dummy Table'!$B$3:$C$30,2,FALSE),"")</f>
        <v/>
      </c>
      <c r="E723" s="87" t="str">
        <f>IF(C723&lt;&gt;"",VLOOKUP(C723,'Dummy Table'!$B$3:$D$30,3,FALSE),"")</f>
        <v/>
      </c>
      <c r="F723" s="137">
        <v>1</v>
      </c>
      <c r="J723" s="70"/>
      <c r="M723" s="83"/>
      <c r="N723" s="83"/>
      <c r="O723" s="83"/>
    </row>
    <row r="724" spans="1:15" s="69" customFormat="1" x14ac:dyDescent="0.2">
      <c r="A724" s="91"/>
      <c r="B724" s="138">
        <f>$J$12</f>
        <v>11</v>
      </c>
      <c r="C724" s="86"/>
      <c r="D724" s="87" t="str">
        <f>IF(C724&lt;&gt;"",VLOOKUP(C724,'Dummy Table'!$B$3:$C$30,2,FALSE),"")</f>
        <v/>
      </c>
      <c r="E724" s="87" t="str">
        <f>IF(C724&lt;&gt;"",VLOOKUP(C724,'Dummy Table'!$B$3:$D$30,3,FALSE),"")</f>
        <v/>
      </c>
      <c r="F724" s="139"/>
      <c r="J724" s="70"/>
      <c r="M724" s="83"/>
      <c r="N724" s="83"/>
      <c r="O724" s="83"/>
    </row>
    <row r="725" spans="1:15" s="69" customFormat="1" x14ac:dyDescent="0.2">
      <c r="A725" s="91"/>
      <c r="B725" s="138">
        <f>$J$13</f>
        <v>12</v>
      </c>
      <c r="C725" s="86"/>
      <c r="D725" s="87" t="str">
        <f>IF(C725&lt;&gt;"",VLOOKUP(C725,'Dummy Table'!$B$3:$C$30,2,FALSE),"")</f>
        <v/>
      </c>
      <c r="E725" s="87" t="str">
        <f>IF(C725&lt;&gt;"",VLOOKUP(C725,'Dummy Table'!$B$3:$D$30,3,FALSE),"")</f>
        <v/>
      </c>
      <c r="F725" s="139"/>
      <c r="J725" s="70"/>
      <c r="M725" s="83"/>
      <c r="N725" s="83"/>
      <c r="O725" s="83"/>
    </row>
    <row r="726" spans="1:15" s="69" customFormat="1" x14ac:dyDescent="0.2">
      <c r="A726" s="91"/>
      <c r="B726" s="138">
        <f>$J$14</f>
        <v>13</v>
      </c>
      <c r="C726" s="86"/>
      <c r="D726" s="87" t="str">
        <f>IF(C726&lt;&gt;"",VLOOKUP(C726,'Dummy Table'!$B$3:$C$30,2,FALSE),"")</f>
        <v/>
      </c>
      <c r="E726" s="87" t="str">
        <f>IF(C726&lt;&gt;"",VLOOKUP(C726,'Dummy Table'!$B$3:$D$30,3,FALSE),"")</f>
        <v/>
      </c>
      <c r="F726" s="139"/>
      <c r="G726" s="75"/>
      <c r="H726" s="75"/>
      <c r="I726" s="75"/>
      <c r="J726" s="70"/>
      <c r="M726" s="83"/>
      <c r="N726" s="83"/>
      <c r="O726" s="83"/>
    </row>
    <row r="727" spans="1:15" s="69" customFormat="1" x14ac:dyDescent="0.2">
      <c r="A727" s="91"/>
      <c r="B727" s="138">
        <f>$J$15</f>
        <v>14</v>
      </c>
      <c r="C727" s="86"/>
      <c r="D727" s="87" t="str">
        <f>IF(C727&lt;&gt;"",VLOOKUP(C727,'Dummy Table'!$B$3:$C$30,2,FALSE),"")</f>
        <v/>
      </c>
      <c r="E727" s="87" t="str">
        <f>IF(C727&lt;&gt;"",VLOOKUP(C727,'Dummy Table'!$B$3:$D$30,3,FALSE),"")</f>
        <v/>
      </c>
      <c r="F727" s="139"/>
      <c r="G727" s="75"/>
      <c r="H727" s="75"/>
      <c r="I727" s="75"/>
      <c r="J727" s="70"/>
      <c r="M727" s="83"/>
      <c r="N727" s="83"/>
      <c r="O727" s="83"/>
    </row>
    <row r="728" spans="1:15" s="69" customFormat="1" x14ac:dyDescent="0.2">
      <c r="A728" s="91"/>
      <c r="B728" s="138">
        <f>$J$16</f>
        <v>15</v>
      </c>
      <c r="C728" s="86"/>
      <c r="D728" s="87" t="str">
        <f>IF(C728&lt;&gt;"",VLOOKUP(C728,'Dummy Table'!$B$3:$C$30,2,FALSE),"")</f>
        <v/>
      </c>
      <c r="E728" s="87" t="str">
        <f>IF(C728&lt;&gt;"",VLOOKUP(C728,'Dummy Table'!$B$3:$D$30,3,FALSE),"")</f>
        <v/>
      </c>
      <c r="F728" s="139"/>
      <c r="G728" s="75"/>
      <c r="H728" s="75"/>
      <c r="I728" s="75"/>
      <c r="J728" s="70"/>
      <c r="M728" s="83"/>
      <c r="N728" s="83"/>
      <c r="O728" s="83"/>
    </row>
    <row r="729" spans="1:15" s="69" customFormat="1" x14ac:dyDescent="0.2">
      <c r="A729" s="91"/>
      <c r="B729" s="138">
        <f>$J$17</f>
        <v>16</v>
      </c>
      <c r="C729" s="86"/>
      <c r="D729" s="87" t="str">
        <f>IF(C729&lt;&gt;"",VLOOKUP(C729,'Dummy Table'!$B$3:$C$30,2,FALSE),"")</f>
        <v/>
      </c>
      <c r="E729" s="87" t="str">
        <f>IF(C729&lt;&gt;"",VLOOKUP(C729,'Dummy Table'!$B$3:$D$30,3,FALSE),"")</f>
        <v/>
      </c>
      <c r="F729" s="139"/>
      <c r="G729" s="75"/>
      <c r="H729" s="75"/>
      <c r="I729" s="75"/>
      <c r="J729" s="70"/>
      <c r="M729" s="83"/>
      <c r="N729" s="83"/>
      <c r="O729" s="83"/>
    </row>
    <row r="730" spans="1:15" s="69" customFormat="1" x14ac:dyDescent="0.2">
      <c r="A730" s="91"/>
      <c r="B730" s="138">
        <f>$J$18</f>
        <v>17</v>
      </c>
      <c r="C730" s="86"/>
      <c r="D730" s="87" t="str">
        <f>IF(C730&lt;&gt;"",VLOOKUP(C730,'Dummy Table'!$B$3:$C$30,2,FALSE),"")</f>
        <v/>
      </c>
      <c r="E730" s="87" t="str">
        <f>IF(C730&lt;&gt;"",VLOOKUP(C730,'Dummy Table'!$B$3:$D$30,3,FALSE),"")</f>
        <v/>
      </c>
      <c r="F730" s="139"/>
      <c r="G730" s="75"/>
      <c r="H730" s="75"/>
      <c r="I730" s="75"/>
      <c r="J730" s="70"/>
      <c r="M730" s="83"/>
      <c r="N730" s="83"/>
      <c r="O730" s="83"/>
    </row>
    <row r="731" spans="1:15" s="69" customFormat="1" x14ac:dyDescent="0.2">
      <c r="A731" s="91"/>
      <c r="B731" s="138">
        <f>$J$19</f>
        <v>18</v>
      </c>
      <c r="C731" s="86"/>
      <c r="D731" s="87" t="str">
        <f>IF(C731&lt;&gt;"",VLOOKUP(C731,'Dummy Table'!$B$3:$C$30,2,FALSE),"")</f>
        <v/>
      </c>
      <c r="E731" s="87" t="str">
        <f>IF(C731&lt;&gt;"",VLOOKUP(C731,'Dummy Table'!$B$3:$D$30,3,FALSE),"")</f>
        <v/>
      </c>
      <c r="F731" s="139"/>
      <c r="G731" s="75"/>
      <c r="H731" s="75"/>
      <c r="I731" s="75"/>
      <c r="J731" s="70"/>
      <c r="M731" s="83"/>
      <c r="N731" s="83"/>
      <c r="O731" s="83"/>
    </row>
    <row r="732" spans="1:15" s="69" customFormat="1" x14ac:dyDescent="0.2">
      <c r="A732" s="91"/>
      <c r="B732" s="138">
        <f>$J$20</f>
        <v>19</v>
      </c>
      <c r="C732" s="86"/>
      <c r="D732" s="87" t="str">
        <f>IF(C732&lt;&gt;"",VLOOKUP(C732,'Dummy Table'!$B$3:$C$30,2,FALSE),"")</f>
        <v/>
      </c>
      <c r="E732" s="87" t="str">
        <f>IF(C732&lt;&gt;"",VLOOKUP(C732,'Dummy Table'!$B$3:$D$30,3,FALSE),"")</f>
        <v/>
      </c>
      <c r="F732" s="139"/>
      <c r="G732" s="75"/>
      <c r="H732" s="75"/>
      <c r="I732" s="75"/>
      <c r="J732" s="70"/>
      <c r="M732" s="83"/>
      <c r="N732" s="83"/>
      <c r="O732" s="83"/>
    </row>
    <row r="733" spans="1:15" s="69" customFormat="1" x14ac:dyDescent="0.2">
      <c r="A733" s="91"/>
      <c r="B733" s="138">
        <f>$J$21</f>
        <v>20</v>
      </c>
      <c r="C733" s="86"/>
      <c r="D733" s="87" t="str">
        <f>IF(C733&lt;&gt;"",VLOOKUP(C733,'Dummy Table'!$B$3:$C$30,2,FALSE),"")</f>
        <v/>
      </c>
      <c r="E733" s="87" t="str">
        <f>IF(C733&lt;&gt;"",VLOOKUP(C733,'Dummy Table'!$B$3:$D$30,3,FALSE),"")</f>
        <v/>
      </c>
      <c r="F733" s="139"/>
      <c r="G733" s="75"/>
      <c r="H733" s="75"/>
      <c r="I733" s="75"/>
      <c r="J733" s="70"/>
      <c r="M733" s="83"/>
      <c r="N733" s="83"/>
      <c r="O733" s="83"/>
    </row>
    <row r="734" spans="1:15" s="69" customFormat="1" x14ac:dyDescent="0.2">
      <c r="A734" s="91"/>
      <c r="B734" s="138">
        <f>$J$22</f>
        <v>21</v>
      </c>
      <c r="C734" s="86"/>
      <c r="D734" s="87" t="str">
        <f>IF(C734&lt;&gt;"",VLOOKUP(C734,'Dummy Table'!$B$3:$C$30,2,FALSE),"")</f>
        <v/>
      </c>
      <c r="E734" s="87" t="str">
        <f>IF(C734&lt;&gt;"",VLOOKUP(C734,'Dummy Table'!$B$3:$D$30,3,FALSE),"")</f>
        <v/>
      </c>
      <c r="F734" s="139"/>
      <c r="G734" s="75"/>
      <c r="H734" s="75"/>
      <c r="I734" s="75"/>
      <c r="J734" s="70"/>
      <c r="M734" s="83"/>
      <c r="N734" s="83"/>
      <c r="O734" s="83"/>
    </row>
    <row r="735" spans="1:15" s="69" customFormat="1" x14ac:dyDescent="0.2">
      <c r="A735" s="91"/>
      <c r="B735" s="138">
        <f>$J$23</f>
        <v>22</v>
      </c>
      <c r="C735" s="86"/>
      <c r="D735" s="87" t="str">
        <f>IF(C735&lt;&gt;"",VLOOKUP(C735,'Dummy Table'!$B$3:$C$30,2,FALSE),"")</f>
        <v/>
      </c>
      <c r="E735" s="87" t="str">
        <f>IF(C735&lt;&gt;"",VLOOKUP(C735,'Dummy Table'!$B$3:$D$30,3,FALSE),"")</f>
        <v/>
      </c>
      <c r="F735" s="139"/>
      <c r="G735" s="75"/>
      <c r="H735" s="75"/>
      <c r="I735" s="75"/>
      <c r="J735" s="70"/>
      <c r="M735" s="83"/>
      <c r="N735" s="83"/>
      <c r="O735" s="83"/>
    </row>
    <row r="736" spans="1:15" s="69" customFormat="1" ht="12.75" hidden="1" customHeight="1" x14ac:dyDescent="0.2">
      <c r="A736" s="91"/>
      <c r="B736" s="138">
        <f>IF(F736="",$J$24,"Ret")</f>
        <v>23</v>
      </c>
      <c r="C736" s="78"/>
      <c r="D736" s="68" t="str">
        <f>IF(C736&lt;&gt;"",VLOOKUP(C736,'Dummy Table'!$B$3:$C$30,2,FALSE),"")</f>
        <v/>
      </c>
      <c r="E736" s="68" t="str">
        <f>IF(C736&lt;&gt;"",VLOOKUP(C736,'Dummy Table'!$B$3:$D$30,3,FALSE),"")</f>
        <v/>
      </c>
      <c r="F736" s="140"/>
      <c r="G736" s="75"/>
      <c r="H736" s="75"/>
      <c r="I736" s="75"/>
      <c r="J736" s="70"/>
      <c r="M736" s="83"/>
      <c r="N736" s="83"/>
      <c r="O736" s="83"/>
    </row>
    <row r="737" spans="1:15" s="69" customFormat="1" ht="12.75" hidden="1" customHeight="1" x14ac:dyDescent="0.2">
      <c r="A737" s="91"/>
      <c r="B737" s="138" t="str">
        <f>IF(F737="",$J$25,"Ret")</f>
        <v/>
      </c>
      <c r="C737" s="78"/>
      <c r="D737" s="68" t="str">
        <f>IF(C737&lt;&gt;"",VLOOKUP(C737,'Dummy Table'!$B$3:$C$30,2,FALSE),"")</f>
        <v/>
      </c>
      <c r="E737" s="68" t="str">
        <f>IF(C737&lt;&gt;"",VLOOKUP(C737,'Dummy Table'!$B$3:$D$30,3,FALSE),"")</f>
        <v/>
      </c>
      <c r="F737" s="140"/>
      <c r="G737" s="75"/>
      <c r="H737" s="75"/>
      <c r="I737" s="75"/>
      <c r="J737" s="70"/>
      <c r="M737" s="83"/>
      <c r="N737" s="83"/>
      <c r="O737" s="83"/>
    </row>
    <row r="738" spans="1:15" s="69" customFormat="1" x14ac:dyDescent="0.2">
      <c r="A738" s="91"/>
      <c r="B738" s="141" t="s">
        <v>243</v>
      </c>
      <c r="C738" s="88"/>
      <c r="D738" s="89" t="str">
        <f>IF(C738&lt;&gt;"",VLOOKUP(C738,'Dummy Table'!$B$3:$C$30,2,FALSE),"")</f>
        <v/>
      </c>
      <c r="E738" s="89" t="str">
        <f>IF(C738&lt;&gt;"",VLOOKUP(C738,'Dummy Table'!$B$3:$D$30,3,FALSE),"")</f>
        <v/>
      </c>
      <c r="F738" s="142"/>
      <c r="H738" s="75"/>
      <c r="J738" s="70"/>
      <c r="M738" s="83"/>
      <c r="N738" s="83"/>
      <c r="O738" s="83"/>
    </row>
    <row r="739" spans="1:15" s="69" customFormat="1" ht="13.5" thickBot="1" x14ac:dyDescent="0.25">
      <c r="A739" s="91"/>
      <c r="B739" s="143" t="s">
        <v>234</v>
      </c>
      <c r="C739" s="144"/>
      <c r="D739" s="145" t="str">
        <f>IF(C739&lt;&gt;"",VLOOKUP(C739,'Dummy Table'!$B$3:$C$30,2,FALSE),"")</f>
        <v/>
      </c>
      <c r="E739" s="145" t="str">
        <f>IF(C739&lt;&gt;"",VLOOKUP(C739,'Dummy Table'!$B$3:$D$30,3,FALSE),"")</f>
        <v/>
      </c>
      <c r="F739" s="146"/>
      <c r="H739" s="69">
        <f>IF(C739="",F739,0)</f>
        <v>0</v>
      </c>
      <c r="J739" s="70"/>
      <c r="M739" s="83"/>
      <c r="N739" s="83"/>
      <c r="O739" s="83"/>
    </row>
    <row r="740" spans="1:15" s="69" customFormat="1" x14ac:dyDescent="0.2">
      <c r="A740" s="91">
        <v>22</v>
      </c>
      <c r="B740" s="132">
        <f>VLOOKUP($A740,'Calendário atual'!$A$2:$E$30,2,FALSE)</f>
        <v>46347</v>
      </c>
      <c r="C740" s="175" t="str">
        <f>VLOOKUP($A740,'Calendário atual'!$A$2:$E$30,4,FALSE)</f>
        <v>FORMULA 1 HEINEKEN LAS VEGAS GRAND PRIX 2026</v>
      </c>
      <c r="D740" s="175"/>
      <c r="E740" s="175"/>
      <c r="F740" s="133" t="str">
        <f>VLOOKUP($A740,'Calendário atual'!$A$2:$E$30,3,FALSE)</f>
        <v>USA</v>
      </c>
      <c r="G740" s="75"/>
      <c r="H740" s="75"/>
      <c r="I740" s="75"/>
      <c r="J740" s="70"/>
      <c r="M740" s="83"/>
      <c r="N740" s="83"/>
      <c r="O740" s="83"/>
    </row>
    <row r="741" spans="1:15" s="69" customFormat="1" x14ac:dyDescent="0.2">
      <c r="A741" s="91"/>
      <c r="B741" s="134" t="s">
        <v>14</v>
      </c>
      <c r="C741" s="90" t="s">
        <v>29</v>
      </c>
      <c r="D741" s="90" t="s">
        <v>16</v>
      </c>
      <c r="E741" s="90" t="s">
        <v>17</v>
      </c>
      <c r="F741" s="135" t="s">
        <v>18</v>
      </c>
      <c r="J741" s="70"/>
      <c r="M741" s="83"/>
      <c r="N741" s="83"/>
      <c r="O741" s="83"/>
    </row>
    <row r="742" spans="1:15" s="69" customFormat="1" x14ac:dyDescent="0.2">
      <c r="A742" s="91"/>
      <c r="B742" s="136">
        <f>$J$2</f>
        <v>1</v>
      </c>
      <c r="C742" s="86"/>
      <c r="D742" s="87" t="str">
        <f>IF(C742&lt;&gt;"",VLOOKUP(C742,'Dummy Table'!$B$3:$C$30,2,FALSE),"")</f>
        <v/>
      </c>
      <c r="E742" s="87" t="str">
        <f>IF(C742&lt;&gt;"",VLOOKUP(C742,'Dummy Table'!$B$3:$D$30,3,FALSE),"")</f>
        <v/>
      </c>
      <c r="F742" s="137">
        <v>25</v>
      </c>
      <c r="G742" s="69">
        <f>IF(C742="",F742,0)</f>
        <v>25</v>
      </c>
      <c r="H742" s="69">
        <f>IF(C742="",F742,0)</f>
        <v>25</v>
      </c>
      <c r="I742" s="69">
        <f>IF(C742="",1,0)</f>
        <v>1</v>
      </c>
      <c r="J742" s="70"/>
      <c r="M742" s="83"/>
      <c r="N742" s="83"/>
      <c r="O742" s="83"/>
    </row>
    <row r="743" spans="1:15" s="69" customFormat="1" x14ac:dyDescent="0.2">
      <c r="A743" s="91"/>
      <c r="B743" s="138">
        <f>$J$3</f>
        <v>2</v>
      </c>
      <c r="C743" s="86"/>
      <c r="D743" s="87" t="str">
        <f>IF(C743&lt;&gt;"",VLOOKUP(C743,'Dummy Table'!$B$3:$C$30,2,FALSE),"")</f>
        <v/>
      </c>
      <c r="E743" s="87" t="str">
        <f>IF(C743&lt;&gt;"",VLOOKUP(C743,'Dummy Table'!$B$3:$D$30,3,FALSE),"")</f>
        <v/>
      </c>
      <c r="F743" s="137">
        <v>18</v>
      </c>
      <c r="H743" s="69">
        <f>IF(C743="",F743,0)</f>
        <v>18</v>
      </c>
      <c r="J743" s="70"/>
      <c r="M743" s="83"/>
      <c r="N743" s="83"/>
      <c r="O743" s="83"/>
    </row>
    <row r="744" spans="1:15" s="69" customFormat="1" x14ac:dyDescent="0.2">
      <c r="A744" s="91"/>
      <c r="B744" s="138">
        <f>$J$4</f>
        <v>3</v>
      </c>
      <c r="C744" s="86"/>
      <c r="D744" s="87" t="str">
        <f>IF(C744&lt;&gt;"",VLOOKUP(C744,'Dummy Table'!$B$3:$C$30,2,FALSE),"")</f>
        <v/>
      </c>
      <c r="E744" s="87" t="str">
        <f>IF(C744&lt;&gt;"",VLOOKUP(C744,'Dummy Table'!$B$3:$D$30,3,FALSE),"")</f>
        <v/>
      </c>
      <c r="F744" s="137">
        <v>15</v>
      </c>
      <c r="J744" s="70"/>
      <c r="M744" s="83"/>
      <c r="N744" s="83"/>
      <c r="O744" s="83"/>
    </row>
    <row r="745" spans="1:15" s="69" customFormat="1" x14ac:dyDescent="0.2">
      <c r="A745" s="91"/>
      <c r="B745" s="138">
        <f>$J$5</f>
        <v>4</v>
      </c>
      <c r="C745" s="86"/>
      <c r="D745" s="87" t="str">
        <f>IF(C745&lt;&gt;"",VLOOKUP(C745,'Dummy Table'!$B$3:$C$30,2,FALSE),"")</f>
        <v/>
      </c>
      <c r="E745" s="87" t="str">
        <f>IF(C745&lt;&gt;"",VLOOKUP(C745,'Dummy Table'!$B$3:$D$30,3,FALSE),"")</f>
        <v/>
      </c>
      <c r="F745" s="137">
        <v>12</v>
      </c>
      <c r="J745" s="70"/>
      <c r="M745" s="83"/>
      <c r="N745" s="83"/>
      <c r="O745" s="83"/>
    </row>
    <row r="746" spans="1:15" s="69" customFormat="1" x14ac:dyDescent="0.2">
      <c r="A746" s="91"/>
      <c r="B746" s="138">
        <f>$J$6</f>
        <v>5</v>
      </c>
      <c r="C746" s="86"/>
      <c r="D746" s="87" t="str">
        <f>IF(C746&lt;&gt;"",VLOOKUP(C746,'Dummy Table'!$B$3:$C$30,2,FALSE),"")</f>
        <v/>
      </c>
      <c r="E746" s="87" t="str">
        <f>IF(C746&lt;&gt;"",VLOOKUP(C746,'Dummy Table'!$B$3:$D$30,3,FALSE),"")</f>
        <v/>
      </c>
      <c r="F746" s="137">
        <v>10</v>
      </c>
      <c r="J746" s="70"/>
      <c r="M746" s="83"/>
      <c r="N746" s="83"/>
      <c r="O746" s="83"/>
    </row>
    <row r="747" spans="1:15" s="69" customFormat="1" x14ac:dyDescent="0.2">
      <c r="A747" s="91"/>
      <c r="B747" s="138">
        <f>$J$7</f>
        <v>6</v>
      </c>
      <c r="C747" s="86"/>
      <c r="D747" s="87" t="str">
        <f>IF(C747&lt;&gt;"",VLOOKUP(C747,'Dummy Table'!$B$3:$C$30,2,FALSE),"")</f>
        <v/>
      </c>
      <c r="E747" s="87" t="str">
        <f>IF(C747&lt;&gt;"",VLOOKUP(C747,'Dummy Table'!$B$3:$D$30,3,FALSE),"")</f>
        <v/>
      </c>
      <c r="F747" s="137">
        <v>8</v>
      </c>
      <c r="J747" s="70"/>
      <c r="M747" s="83"/>
      <c r="N747" s="83"/>
      <c r="O747" s="83"/>
    </row>
    <row r="748" spans="1:15" s="69" customFormat="1" x14ac:dyDescent="0.2">
      <c r="A748" s="91"/>
      <c r="B748" s="138">
        <f>$J$8</f>
        <v>7</v>
      </c>
      <c r="C748" s="86"/>
      <c r="D748" s="87" t="str">
        <f>IF(C748&lt;&gt;"",VLOOKUP(C748,'Dummy Table'!$B$3:$C$30,2,FALSE),"")</f>
        <v/>
      </c>
      <c r="E748" s="87" t="str">
        <f>IF(C748&lt;&gt;"",VLOOKUP(C748,'Dummy Table'!$B$3:$D$30,3,FALSE),"")</f>
        <v/>
      </c>
      <c r="F748" s="137">
        <v>6</v>
      </c>
      <c r="J748" s="70"/>
      <c r="M748" s="83"/>
      <c r="N748" s="83"/>
      <c r="O748" s="83"/>
    </row>
    <row r="749" spans="1:15" s="69" customFormat="1" x14ac:dyDescent="0.2">
      <c r="A749" s="91"/>
      <c r="B749" s="138">
        <f>$J$9</f>
        <v>8</v>
      </c>
      <c r="C749" s="86"/>
      <c r="D749" s="87" t="str">
        <f>IF(C749&lt;&gt;"",VLOOKUP(C749,'Dummy Table'!$B$3:$C$30,2,FALSE),"")</f>
        <v/>
      </c>
      <c r="E749" s="87" t="str">
        <f>IF(C749&lt;&gt;"",VLOOKUP(C749,'Dummy Table'!$B$3:$D$30,3,FALSE),"")</f>
        <v/>
      </c>
      <c r="F749" s="137">
        <v>4</v>
      </c>
      <c r="J749" s="70"/>
      <c r="M749" s="83"/>
      <c r="N749" s="83"/>
      <c r="O749" s="83"/>
    </row>
    <row r="750" spans="1:15" s="69" customFormat="1" x14ac:dyDescent="0.2">
      <c r="A750" s="91"/>
      <c r="B750" s="138">
        <f>$J$10</f>
        <v>9</v>
      </c>
      <c r="C750" s="86"/>
      <c r="D750" s="87" t="str">
        <f>IF(C750&lt;&gt;"",VLOOKUP(C750,'Dummy Table'!$B$3:$C$30,2,FALSE),"")</f>
        <v/>
      </c>
      <c r="E750" s="87" t="str">
        <f>IF(C750&lt;&gt;"",VLOOKUP(C750,'Dummy Table'!$B$3:$D$30,3,FALSE),"")</f>
        <v/>
      </c>
      <c r="F750" s="137">
        <v>2</v>
      </c>
      <c r="J750" s="70"/>
      <c r="M750" s="83"/>
      <c r="N750" s="83"/>
      <c r="O750" s="83"/>
    </row>
    <row r="751" spans="1:15" s="69" customFormat="1" x14ac:dyDescent="0.2">
      <c r="A751" s="91"/>
      <c r="B751" s="138">
        <f>$J$11</f>
        <v>10</v>
      </c>
      <c r="C751" s="86"/>
      <c r="D751" s="87" t="str">
        <f>IF(C751&lt;&gt;"",VLOOKUP(C751,'Dummy Table'!$B$3:$C$30,2,FALSE),"")</f>
        <v/>
      </c>
      <c r="E751" s="87" t="str">
        <f>IF(C751&lt;&gt;"",VLOOKUP(C751,'Dummy Table'!$B$3:$D$30,3,FALSE),"")</f>
        <v/>
      </c>
      <c r="F751" s="137">
        <v>1</v>
      </c>
      <c r="J751" s="70"/>
      <c r="M751" s="83"/>
      <c r="N751" s="83"/>
      <c r="O751" s="83"/>
    </row>
    <row r="752" spans="1:15" s="69" customFormat="1" x14ac:dyDescent="0.2">
      <c r="A752" s="91"/>
      <c r="B752" s="138">
        <f>$J$12</f>
        <v>11</v>
      </c>
      <c r="C752" s="86"/>
      <c r="D752" s="87" t="str">
        <f>IF(C752&lt;&gt;"",VLOOKUP(C752,'Dummy Table'!$B$3:$C$30,2,FALSE),"")</f>
        <v/>
      </c>
      <c r="E752" s="87" t="str">
        <f>IF(C752&lt;&gt;"",VLOOKUP(C752,'Dummy Table'!$B$3:$D$30,3,FALSE),"")</f>
        <v/>
      </c>
      <c r="F752" s="139"/>
      <c r="J752" s="70"/>
      <c r="M752" s="83"/>
      <c r="N752" s="83"/>
      <c r="O752" s="83"/>
    </row>
    <row r="753" spans="1:15" s="69" customFormat="1" x14ac:dyDescent="0.2">
      <c r="A753" s="91"/>
      <c r="B753" s="138">
        <f>$J$13</f>
        <v>12</v>
      </c>
      <c r="C753" s="86"/>
      <c r="D753" s="87" t="str">
        <f>IF(C753&lt;&gt;"",VLOOKUP(C753,'Dummy Table'!$B$3:$C$30,2,FALSE),"")</f>
        <v/>
      </c>
      <c r="E753" s="87" t="str">
        <f>IF(C753&lt;&gt;"",VLOOKUP(C753,'Dummy Table'!$B$3:$D$30,3,FALSE),"")</f>
        <v/>
      </c>
      <c r="F753" s="139"/>
      <c r="J753" s="70"/>
      <c r="M753" s="83"/>
      <c r="N753" s="83"/>
      <c r="O753" s="83"/>
    </row>
    <row r="754" spans="1:15" s="69" customFormat="1" x14ac:dyDescent="0.2">
      <c r="A754" s="91"/>
      <c r="B754" s="138">
        <f>$J$14</f>
        <v>13</v>
      </c>
      <c r="C754" s="86"/>
      <c r="D754" s="87" t="str">
        <f>IF(C754&lt;&gt;"",VLOOKUP(C754,'Dummy Table'!$B$3:$C$30,2,FALSE),"")</f>
        <v/>
      </c>
      <c r="E754" s="87" t="str">
        <f>IF(C754&lt;&gt;"",VLOOKUP(C754,'Dummy Table'!$B$3:$D$30,3,FALSE),"")</f>
        <v/>
      </c>
      <c r="F754" s="139"/>
      <c r="G754" s="75"/>
      <c r="H754" s="75"/>
      <c r="I754" s="75"/>
      <c r="J754" s="70"/>
      <c r="M754" s="83"/>
      <c r="N754" s="83"/>
      <c r="O754" s="83"/>
    </row>
    <row r="755" spans="1:15" s="69" customFormat="1" x14ac:dyDescent="0.2">
      <c r="A755" s="91"/>
      <c r="B755" s="138">
        <f>$J$15</f>
        <v>14</v>
      </c>
      <c r="C755" s="86"/>
      <c r="D755" s="87" t="str">
        <f>IF(C755&lt;&gt;"",VLOOKUP(C755,'Dummy Table'!$B$3:$C$30,2,FALSE),"")</f>
        <v/>
      </c>
      <c r="E755" s="87" t="str">
        <f>IF(C755&lt;&gt;"",VLOOKUP(C755,'Dummy Table'!$B$3:$D$30,3,FALSE),"")</f>
        <v/>
      </c>
      <c r="F755" s="139"/>
      <c r="G755" s="75"/>
      <c r="H755" s="75"/>
      <c r="I755" s="75"/>
      <c r="J755" s="70"/>
      <c r="M755" s="83"/>
      <c r="N755" s="83"/>
      <c r="O755" s="83"/>
    </row>
    <row r="756" spans="1:15" s="69" customFormat="1" x14ac:dyDescent="0.2">
      <c r="A756" s="91"/>
      <c r="B756" s="138">
        <f>$J$16</f>
        <v>15</v>
      </c>
      <c r="C756" s="86"/>
      <c r="D756" s="87" t="str">
        <f>IF(C756&lt;&gt;"",VLOOKUP(C756,'Dummy Table'!$B$3:$C$30,2,FALSE),"")</f>
        <v/>
      </c>
      <c r="E756" s="87" t="str">
        <f>IF(C756&lt;&gt;"",VLOOKUP(C756,'Dummy Table'!$B$3:$D$30,3,FALSE),"")</f>
        <v/>
      </c>
      <c r="F756" s="139"/>
      <c r="G756" s="75"/>
      <c r="H756" s="75"/>
      <c r="I756" s="75"/>
      <c r="J756" s="70"/>
      <c r="M756" s="83"/>
      <c r="N756" s="83"/>
      <c r="O756" s="83"/>
    </row>
    <row r="757" spans="1:15" s="69" customFormat="1" x14ac:dyDescent="0.2">
      <c r="A757" s="91"/>
      <c r="B757" s="138">
        <f>$J$17</f>
        <v>16</v>
      </c>
      <c r="C757" s="86"/>
      <c r="D757" s="87" t="str">
        <f>IF(C757&lt;&gt;"",VLOOKUP(C757,'Dummy Table'!$B$3:$C$30,2,FALSE),"")</f>
        <v/>
      </c>
      <c r="E757" s="87" t="str">
        <f>IF(C757&lt;&gt;"",VLOOKUP(C757,'Dummy Table'!$B$3:$D$30,3,FALSE),"")</f>
        <v/>
      </c>
      <c r="F757" s="139"/>
      <c r="G757" s="75"/>
      <c r="H757" s="75"/>
      <c r="I757" s="75"/>
      <c r="J757" s="70"/>
      <c r="M757" s="83"/>
      <c r="N757" s="83"/>
      <c r="O757" s="83"/>
    </row>
    <row r="758" spans="1:15" s="69" customFormat="1" x14ac:dyDescent="0.2">
      <c r="A758" s="91"/>
      <c r="B758" s="138">
        <f>$J$18</f>
        <v>17</v>
      </c>
      <c r="C758" s="86"/>
      <c r="D758" s="87" t="str">
        <f>IF(C758&lt;&gt;"",VLOOKUP(C758,'Dummy Table'!$B$3:$C$30,2,FALSE),"")</f>
        <v/>
      </c>
      <c r="E758" s="87" t="str">
        <f>IF(C758&lt;&gt;"",VLOOKUP(C758,'Dummy Table'!$B$3:$D$30,3,FALSE),"")</f>
        <v/>
      </c>
      <c r="F758" s="139"/>
      <c r="G758" s="75"/>
      <c r="H758" s="75"/>
      <c r="I758" s="75"/>
      <c r="J758" s="70"/>
      <c r="M758" s="83"/>
      <c r="N758" s="83"/>
      <c r="O758" s="83"/>
    </row>
    <row r="759" spans="1:15" s="69" customFormat="1" x14ac:dyDescent="0.2">
      <c r="A759" s="91"/>
      <c r="B759" s="138">
        <f>$J$19</f>
        <v>18</v>
      </c>
      <c r="C759" s="86"/>
      <c r="D759" s="87" t="str">
        <f>IF(C759&lt;&gt;"",VLOOKUP(C759,'Dummy Table'!$B$3:$C$30,2,FALSE),"")</f>
        <v/>
      </c>
      <c r="E759" s="87" t="str">
        <f>IF(C759&lt;&gt;"",VLOOKUP(C759,'Dummy Table'!$B$3:$D$30,3,FALSE),"")</f>
        <v/>
      </c>
      <c r="F759" s="139"/>
      <c r="G759" s="75"/>
      <c r="H759" s="75"/>
      <c r="I759" s="75"/>
      <c r="J759" s="70"/>
      <c r="M759" s="83"/>
      <c r="N759" s="83"/>
      <c r="O759" s="83"/>
    </row>
    <row r="760" spans="1:15" s="69" customFormat="1" x14ac:dyDescent="0.2">
      <c r="A760" s="91"/>
      <c r="B760" s="138">
        <f>$J$20</f>
        <v>19</v>
      </c>
      <c r="C760" s="86"/>
      <c r="D760" s="87" t="str">
        <f>IF(C760&lt;&gt;"",VLOOKUP(C760,'Dummy Table'!$B$3:$C$30,2,FALSE),"")</f>
        <v/>
      </c>
      <c r="E760" s="87" t="str">
        <f>IF(C760&lt;&gt;"",VLOOKUP(C760,'Dummy Table'!$B$3:$D$30,3,FALSE),"")</f>
        <v/>
      </c>
      <c r="F760" s="139"/>
      <c r="G760" s="75"/>
      <c r="H760" s="75"/>
      <c r="I760" s="75"/>
      <c r="J760" s="70"/>
      <c r="M760" s="83"/>
      <c r="N760" s="83"/>
      <c r="O760" s="83"/>
    </row>
    <row r="761" spans="1:15" s="69" customFormat="1" x14ac:dyDescent="0.2">
      <c r="A761" s="91"/>
      <c r="B761" s="138">
        <f>$J$21</f>
        <v>20</v>
      </c>
      <c r="C761" s="86"/>
      <c r="D761" s="87" t="str">
        <f>IF(C761&lt;&gt;"",VLOOKUP(C761,'Dummy Table'!$B$3:$C$30,2,FALSE),"")</f>
        <v/>
      </c>
      <c r="E761" s="87" t="str">
        <f>IF(C761&lt;&gt;"",VLOOKUP(C761,'Dummy Table'!$B$3:$D$30,3,FALSE),"")</f>
        <v/>
      </c>
      <c r="F761" s="139"/>
      <c r="G761" s="75"/>
      <c r="H761" s="75"/>
      <c r="I761" s="75"/>
      <c r="J761" s="70"/>
      <c r="M761" s="83"/>
      <c r="N761" s="83"/>
      <c r="O761" s="83"/>
    </row>
    <row r="762" spans="1:15" s="69" customFormat="1" x14ac:dyDescent="0.2">
      <c r="A762" s="91"/>
      <c r="B762" s="138">
        <f>$J$22</f>
        <v>21</v>
      </c>
      <c r="C762" s="86"/>
      <c r="D762" s="87" t="str">
        <f>IF(C762&lt;&gt;"",VLOOKUP(C762,'Dummy Table'!$B$3:$C$30,2,FALSE),"")</f>
        <v/>
      </c>
      <c r="E762" s="87" t="str">
        <f>IF(C762&lt;&gt;"",VLOOKUP(C762,'Dummy Table'!$B$3:$D$30,3,FALSE),"")</f>
        <v/>
      </c>
      <c r="F762" s="139"/>
      <c r="G762" s="75"/>
      <c r="H762" s="75"/>
      <c r="I762" s="75"/>
      <c r="J762" s="70"/>
      <c r="M762" s="83"/>
      <c r="N762" s="83"/>
      <c r="O762" s="83"/>
    </row>
    <row r="763" spans="1:15" s="69" customFormat="1" x14ac:dyDescent="0.2">
      <c r="A763" s="91"/>
      <c r="B763" s="138">
        <f>$J$23</f>
        <v>22</v>
      </c>
      <c r="C763" s="86"/>
      <c r="D763" s="87" t="str">
        <f>IF(C763&lt;&gt;"",VLOOKUP(C763,'Dummy Table'!$B$3:$C$30,2,FALSE),"")</f>
        <v/>
      </c>
      <c r="E763" s="87" t="str">
        <f>IF(C763&lt;&gt;"",VLOOKUP(C763,'Dummy Table'!$B$3:$D$30,3,FALSE),"")</f>
        <v/>
      </c>
      <c r="F763" s="139"/>
      <c r="G763" s="75"/>
      <c r="H763" s="75"/>
      <c r="I763" s="75"/>
      <c r="J763" s="70"/>
      <c r="M763" s="83"/>
      <c r="N763" s="83"/>
      <c r="O763" s="83"/>
    </row>
    <row r="764" spans="1:15" s="69" customFormat="1" ht="12.75" hidden="1" customHeight="1" x14ac:dyDescent="0.2">
      <c r="A764" s="91"/>
      <c r="B764" s="138">
        <f>IF(F764="",$J$24,"Ret")</f>
        <v>23</v>
      </c>
      <c r="C764" s="78"/>
      <c r="D764" s="68" t="str">
        <f>IF(C764&lt;&gt;"",VLOOKUP(C764,'Dummy Table'!$B$3:$C$30,2,FALSE),"")</f>
        <v/>
      </c>
      <c r="E764" s="68" t="str">
        <f>IF(C764&lt;&gt;"",VLOOKUP(C764,'Dummy Table'!$B$3:$D$30,3,FALSE),"")</f>
        <v/>
      </c>
      <c r="F764" s="140"/>
      <c r="G764" s="75"/>
      <c r="H764" s="75"/>
      <c r="I764" s="75"/>
      <c r="J764" s="70"/>
      <c r="M764" s="83"/>
      <c r="N764" s="83"/>
      <c r="O764" s="83"/>
    </row>
    <row r="765" spans="1:15" s="69" customFormat="1" ht="12.75" hidden="1" customHeight="1" x14ac:dyDescent="0.2">
      <c r="A765" s="91"/>
      <c r="B765" s="138" t="str">
        <f>IF(F765="",$J$25,"Ret")</f>
        <v/>
      </c>
      <c r="C765" s="78"/>
      <c r="D765" s="68" t="str">
        <f>IF(C765&lt;&gt;"",VLOOKUP(C765,'Dummy Table'!$B$3:$C$30,2,FALSE),"")</f>
        <v/>
      </c>
      <c r="E765" s="68" t="str">
        <f>IF(C765&lt;&gt;"",VLOOKUP(C765,'Dummy Table'!$B$3:$D$30,3,FALSE),"")</f>
        <v/>
      </c>
      <c r="F765" s="140"/>
      <c r="G765" s="75"/>
      <c r="H765" s="75"/>
      <c r="I765" s="75"/>
      <c r="J765" s="70"/>
      <c r="M765" s="83"/>
      <c r="N765" s="83"/>
      <c r="O765" s="83"/>
    </row>
    <row r="766" spans="1:15" s="69" customFormat="1" x14ac:dyDescent="0.2">
      <c r="A766" s="91"/>
      <c r="B766" s="141" t="s">
        <v>243</v>
      </c>
      <c r="C766" s="88"/>
      <c r="D766" s="89" t="str">
        <f>IF(C766&lt;&gt;"",VLOOKUP(C766,'Dummy Table'!$B$3:$C$30,2,FALSE),"")</f>
        <v/>
      </c>
      <c r="E766" s="89" t="str">
        <f>IF(C766&lt;&gt;"",VLOOKUP(C766,'Dummy Table'!$B$3:$D$30,3,FALSE),"")</f>
        <v/>
      </c>
      <c r="F766" s="142"/>
      <c r="H766" s="75"/>
      <c r="J766" s="70"/>
      <c r="M766" s="83"/>
      <c r="N766" s="83"/>
      <c r="O766" s="83"/>
    </row>
    <row r="767" spans="1:15" s="69" customFormat="1" ht="13.5" thickBot="1" x14ac:dyDescent="0.25">
      <c r="A767" s="91"/>
      <c r="B767" s="143" t="s">
        <v>234</v>
      </c>
      <c r="C767" s="144"/>
      <c r="D767" s="145" t="str">
        <f>IF(C767&lt;&gt;"",VLOOKUP(C767,'Dummy Table'!$B$3:$C$30,2,FALSE),"")</f>
        <v/>
      </c>
      <c r="E767" s="145" t="str">
        <f>IF(C767&lt;&gt;"",VLOOKUP(C767,'Dummy Table'!$B$3:$D$30,3,FALSE),"")</f>
        <v/>
      </c>
      <c r="F767" s="146"/>
      <c r="H767" s="69">
        <f>IF(C767="",F767,0)</f>
        <v>0</v>
      </c>
      <c r="J767" s="70"/>
      <c r="M767" s="83"/>
      <c r="N767" s="83"/>
      <c r="O767" s="83"/>
    </row>
    <row r="768" spans="1:15" s="69" customFormat="1" x14ac:dyDescent="0.2">
      <c r="A768" s="91">
        <v>23</v>
      </c>
      <c r="B768" s="132">
        <f>VLOOKUP($A768,'Calendário atual'!$A$2:$E$30,2,FALSE)</f>
        <v>46355</v>
      </c>
      <c r="C768" s="175" t="str">
        <f>VLOOKUP($A768,'Calendário atual'!$A$2:$E$30,4,FALSE)</f>
        <v>FORMULA 1 QATAR AIRWAYS QATAR GRAND PRIX 2026</v>
      </c>
      <c r="D768" s="175"/>
      <c r="E768" s="175"/>
      <c r="F768" s="133" t="str">
        <f>VLOOKUP($A768,'Calendário atual'!$A$2:$E$30,3,FALSE)</f>
        <v>Qatar</v>
      </c>
      <c r="G768" s="75"/>
      <c r="H768" s="75"/>
      <c r="I768" s="75"/>
      <c r="J768" s="70"/>
      <c r="M768" s="83"/>
      <c r="N768" s="83"/>
      <c r="O768" s="83"/>
    </row>
    <row r="769" spans="1:15" s="69" customFormat="1" x14ac:dyDescent="0.2">
      <c r="A769" s="91"/>
      <c r="B769" s="134" t="s">
        <v>14</v>
      </c>
      <c r="C769" s="90" t="s">
        <v>29</v>
      </c>
      <c r="D769" s="90" t="s">
        <v>16</v>
      </c>
      <c r="E769" s="90" t="s">
        <v>17</v>
      </c>
      <c r="F769" s="135" t="s">
        <v>18</v>
      </c>
      <c r="J769" s="70"/>
      <c r="M769" s="83"/>
      <c r="N769" s="83"/>
      <c r="O769" s="83"/>
    </row>
    <row r="770" spans="1:15" s="69" customFormat="1" x14ac:dyDescent="0.2">
      <c r="A770" s="91"/>
      <c r="B770" s="136">
        <f>$J$2</f>
        <v>1</v>
      </c>
      <c r="C770" s="86"/>
      <c r="D770" s="87" t="str">
        <f>IF(C770&lt;&gt;"",VLOOKUP(C770,'Dummy Table'!$B$3:$C$30,2,FALSE),"")</f>
        <v/>
      </c>
      <c r="E770" s="87" t="str">
        <f>IF(C770&lt;&gt;"",VLOOKUP(C770,'Dummy Table'!$B$3:$D$30,3,FALSE),"")</f>
        <v/>
      </c>
      <c r="F770" s="137">
        <v>25</v>
      </c>
      <c r="G770" s="69">
        <f>IF(C770="",F770,0)</f>
        <v>25</v>
      </c>
      <c r="H770" s="69">
        <f>IF(C770="",F770,0)</f>
        <v>25</v>
      </c>
      <c r="I770" s="69">
        <f>IF(C770="",1,0)</f>
        <v>1</v>
      </c>
      <c r="J770" s="70"/>
      <c r="M770" s="83"/>
      <c r="N770" s="83"/>
      <c r="O770" s="83"/>
    </row>
    <row r="771" spans="1:15" s="69" customFormat="1" x14ac:dyDescent="0.2">
      <c r="A771" s="91"/>
      <c r="B771" s="138">
        <f>$J$3</f>
        <v>2</v>
      </c>
      <c r="C771" s="86"/>
      <c r="D771" s="87" t="str">
        <f>IF(C771&lt;&gt;"",VLOOKUP(C771,'Dummy Table'!$B$3:$C$30,2,FALSE),"")</f>
        <v/>
      </c>
      <c r="E771" s="87" t="str">
        <f>IF(C771&lt;&gt;"",VLOOKUP(C771,'Dummy Table'!$B$3:$D$30,3,FALSE),"")</f>
        <v/>
      </c>
      <c r="F771" s="137">
        <v>18</v>
      </c>
      <c r="H771" s="69">
        <f>IF(C771="",F771,0)</f>
        <v>18</v>
      </c>
      <c r="J771" s="70"/>
      <c r="M771" s="83"/>
      <c r="N771" s="83"/>
      <c r="O771" s="83"/>
    </row>
    <row r="772" spans="1:15" s="69" customFormat="1" x14ac:dyDescent="0.2">
      <c r="A772" s="91"/>
      <c r="B772" s="138">
        <f>$J$4</f>
        <v>3</v>
      </c>
      <c r="C772" s="86"/>
      <c r="D772" s="87" t="str">
        <f>IF(C772&lt;&gt;"",VLOOKUP(C772,'Dummy Table'!$B$3:$C$30,2,FALSE),"")</f>
        <v/>
      </c>
      <c r="E772" s="87" t="str">
        <f>IF(C772&lt;&gt;"",VLOOKUP(C772,'Dummy Table'!$B$3:$D$30,3,FALSE),"")</f>
        <v/>
      </c>
      <c r="F772" s="137">
        <v>15</v>
      </c>
      <c r="J772" s="70"/>
      <c r="M772" s="83"/>
      <c r="N772" s="83"/>
      <c r="O772" s="83"/>
    </row>
    <row r="773" spans="1:15" s="69" customFormat="1" x14ac:dyDescent="0.2">
      <c r="A773" s="91"/>
      <c r="B773" s="138">
        <f>$J$5</f>
        <v>4</v>
      </c>
      <c r="C773" s="86"/>
      <c r="D773" s="87" t="str">
        <f>IF(C773&lt;&gt;"",VLOOKUP(C773,'Dummy Table'!$B$3:$C$30,2,FALSE),"")</f>
        <v/>
      </c>
      <c r="E773" s="87" t="str">
        <f>IF(C773&lt;&gt;"",VLOOKUP(C773,'Dummy Table'!$B$3:$D$30,3,FALSE),"")</f>
        <v/>
      </c>
      <c r="F773" s="137">
        <v>12</v>
      </c>
      <c r="J773" s="70"/>
      <c r="M773" s="83"/>
      <c r="N773" s="83"/>
      <c r="O773" s="83"/>
    </row>
    <row r="774" spans="1:15" s="69" customFormat="1" x14ac:dyDescent="0.2">
      <c r="A774" s="91"/>
      <c r="B774" s="138">
        <f>$J$6</f>
        <v>5</v>
      </c>
      <c r="C774" s="86"/>
      <c r="D774" s="87" t="str">
        <f>IF(C774&lt;&gt;"",VLOOKUP(C774,'Dummy Table'!$B$3:$C$30,2,FALSE),"")</f>
        <v/>
      </c>
      <c r="E774" s="87" t="str">
        <f>IF(C774&lt;&gt;"",VLOOKUP(C774,'Dummy Table'!$B$3:$D$30,3,FALSE),"")</f>
        <v/>
      </c>
      <c r="F774" s="137">
        <v>10</v>
      </c>
      <c r="J774" s="70"/>
      <c r="M774" s="83"/>
      <c r="N774" s="83"/>
      <c r="O774" s="83"/>
    </row>
    <row r="775" spans="1:15" s="69" customFormat="1" x14ac:dyDescent="0.2">
      <c r="A775" s="91"/>
      <c r="B775" s="138">
        <f>$J$7</f>
        <v>6</v>
      </c>
      <c r="C775" s="86"/>
      <c r="D775" s="87" t="str">
        <f>IF(C775&lt;&gt;"",VLOOKUP(C775,'Dummy Table'!$B$3:$C$30,2,FALSE),"")</f>
        <v/>
      </c>
      <c r="E775" s="87" t="str">
        <f>IF(C775&lt;&gt;"",VLOOKUP(C775,'Dummy Table'!$B$3:$D$30,3,FALSE),"")</f>
        <v/>
      </c>
      <c r="F775" s="137">
        <v>8</v>
      </c>
      <c r="J775" s="70"/>
      <c r="M775" s="83"/>
      <c r="N775" s="83"/>
      <c r="O775" s="83"/>
    </row>
    <row r="776" spans="1:15" s="69" customFormat="1" x14ac:dyDescent="0.2">
      <c r="A776" s="91"/>
      <c r="B776" s="138">
        <f>$J$8</f>
        <v>7</v>
      </c>
      <c r="C776" s="86"/>
      <c r="D776" s="87" t="str">
        <f>IF(C776&lt;&gt;"",VLOOKUP(C776,'Dummy Table'!$B$3:$C$30,2,FALSE),"")</f>
        <v/>
      </c>
      <c r="E776" s="87" t="str">
        <f>IF(C776&lt;&gt;"",VLOOKUP(C776,'Dummy Table'!$B$3:$D$30,3,FALSE),"")</f>
        <v/>
      </c>
      <c r="F776" s="137">
        <v>6</v>
      </c>
      <c r="J776" s="70"/>
      <c r="M776" s="83"/>
      <c r="N776" s="83"/>
      <c r="O776" s="83"/>
    </row>
    <row r="777" spans="1:15" s="69" customFormat="1" x14ac:dyDescent="0.2">
      <c r="A777" s="91"/>
      <c r="B777" s="138">
        <f>$J$9</f>
        <v>8</v>
      </c>
      <c r="C777" s="86"/>
      <c r="D777" s="87" t="str">
        <f>IF(C777&lt;&gt;"",VLOOKUP(C777,'Dummy Table'!$B$3:$C$30,2,FALSE),"")</f>
        <v/>
      </c>
      <c r="E777" s="87" t="str">
        <f>IF(C777&lt;&gt;"",VLOOKUP(C777,'Dummy Table'!$B$3:$D$30,3,FALSE),"")</f>
        <v/>
      </c>
      <c r="F777" s="137">
        <v>4</v>
      </c>
      <c r="J777" s="70"/>
      <c r="M777" s="83"/>
      <c r="N777" s="83"/>
      <c r="O777" s="83"/>
    </row>
    <row r="778" spans="1:15" s="69" customFormat="1" x14ac:dyDescent="0.2">
      <c r="A778" s="91"/>
      <c r="B778" s="138">
        <f>$J$10</f>
        <v>9</v>
      </c>
      <c r="C778" s="86"/>
      <c r="D778" s="87" t="str">
        <f>IF(C778&lt;&gt;"",VLOOKUP(C778,'Dummy Table'!$B$3:$C$30,2,FALSE),"")</f>
        <v/>
      </c>
      <c r="E778" s="87" t="str">
        <f>IF(C778&lt;&gt;"",VLOOKUP(C778,'Dummy Table'!$B$3:$D$30,3,FALSE),"")</f>
        <v/>
      </c>
      <c r="F778" s="137">
        <v>2</v>
      </c>
      <c r="J778" s="70"/>
      <c r="M778" s="83"/>
      <c r="N778" s="83"/>
      <c r="O778" s="83"/>
    </row>
    <row r="779" spans="1:15" s="69" customFormat="1" x14ac:dyDescent="0.2">
      <c r="A779" s="91"/>
      <c r="B779" s="138">
        <f>$J$11</f>
        <v>10</v>
      </c>
      <c r="C779" s="86"/>
      <c r="D779" s="87" t="str">
        <f>IF(C779&lt;&gt;"",VLOOKUP(C779,'Dummy Table'!$B$3:$C$30,2,FALSE),"")</f>
        <v/>
      </c>
      <c r="E779" s="87" t="str">
        <f>IF(C779&lt;&gt;"",VLOOKUP(C779,'Dummy Table'!$B$3:$D$30,3,FALSE),"")</f>
        <v/>
      </c>
      <c r="F779" s="137">
        <v>1</v>
      </c>
      <c r="J779" s="70"/>
      <c r="M779" s="83"/>
      <c r="N779" s="83"/>
      <c r="O779" s="83"/>
    </row>
    <row r="780" spans="1:15" s="69" customFormat="1" x14ac:dyDescent="0.2">
      <c r="A780" s="91"/>
      <c r="B780" s="138">
        <f>$J$12</f>
        <v>11</v>
      </c>
      <c r="C780" s="86"/>
      <c r="D780" s="87" t="str">
        <f>IF(C780&lt;&gt;"",VLOOKUP(C780,'Dummy Table'!$B$3:$C$30,2,FALSE),"")</f>
        <v/>
      </c>
      <c r="E780" s="87" t="str">
        <f>IF(C780&lt;&gt;"",VLOOKUP(C780,'Dummy Table'!$B$3:$D$30,3,FALSE),"")</f>
        <v/>
      </c>
      <c r="F780" s="139"/>
      <c r="J780" s="70"/>
      <c r="M780" s="83"/>
      <c r="N780" s="83"/>
      <c r="O780" s="83"/>
    </row>
    <row r="781" spans="1:15" s="69" customFormat="1" x14ac:dyDescent="0.2">
      <c r="A781" s="91"/>
      <c r="B781" s="138">
        <f>$J$13</f>
        <v>12</v>
      </c>
      <c r="C781" s="86"/>
      <c r="D781" s="87" t="str">
        <f>IF(C781&lt;&gt;"",VLOOKUP(C781,'Dummy Table'!$B$3:$C$30,2,FALSE),"")</f>
        <v/>
      </c>
      <c r="E781" s="87" t="str">
        <f>IF(C781&lt;&gt;"",VLOOKUP(C781,'Dummy Table'!$B$3:$D$30,3,FALSE),"")</f>
        <v/>
      </c>
      <c r="F781" s="139"/>
      <c r="J781" s="70"/>
      <c r="M781" s="83"/>
      <c r="N781" s="83"/>
      <c r="O781" s="83"/>
    </row>
    <row r="782" spans="1:15" s="69" customFormat="1" x14ac:dyDescent="0.2">
      <c r="A782" s="91"/>
      <c r="B782" s="138">
        <f>$J$14</f>
        <v>13</v>
      </c>
      <c r="C782" s="86"/>
      <c r="D782" s="87" t="str">
        <f>IF(C782&lt;&gt;"",VLOOKUP(C782,'Dummy Table'!$B$3:$C$30,2,FALSE),"")</f>
        <v/>
      </c>
      <c r="E782" s="87" t="str">
        <f>IF(C782&lt;&gt;"",VLOOKUP(C782,'Dummy Table'!$B$3:$D$30,3,FALSE),"")</f>
        <v/>
      </c>
      <c r="F782" s="139"/>
      <c r="G782" s="75"/>
      <c r="H782" s="75"/>
      <c r="I782" s="75"/>
      <c r="J782" s="70"/>
      <c r="M782" s="83"/>
      <c r="N782" s="83"/>
      <c r="O782" s="83"/>
    </row>
    <row r="783" spans="1:15" s="69" customFormat="1" x14ac:dyDescent="0.2">
      <c r="A783" s="91"/>
      <c r="B783" s="138">
        <f>$J$15</f>
        <v>14</v>
      </c>
      <c r="C783" s="86"/>
      <c r="D783" s="87" t="str">
        <f>IF(C783&lt;&gt;"",VLOOKUP(C783,'Dummy Table'!$B$3:$C$30,2,FALSE),"")</f>
        <v/>
      </c>
      <c r="E783" s="87" t="str">
        <f>IF(C783&lt;&gt;"",VLOOKUP(C783,'Dummy Table'!$B$3:$D$30,3,FALSE),"")</f>
        <v/>
      </c>
      <c r="F783" s="139"/>
      <c r="G783" s="75"/>
      <c r="H783" s="75"/>
      <c r="I783" s="75"/>
      <c r="J783" s="70"/>
      <c r="M783" s="83"/>
      <c r="N783" s="83"/>
      <c r="O783" s="83"/>
    </row>
    <row r="784" spans="1:15" s="69" customFormat="1" x14ac:dyDescent="0.2">
      <c r="A784" s="91"/>
      <c r="B784" s="138">
        <f>$J$16</f>
        <v>15</v>
      </c>
      <c r="C784" s="86"/>
      <c r="D784" s="87" t="str">
        <f>IF(C784&lt;&gt;"",VLOOKUP(C784,'Dummy Table'!$B$3:$C$30,2,FALSE),"")</f>
        <v/>
      </c>
      <c r="E784" s="87" t="str">
        <f>IF(C784&lt;&gt;"",VLOOKUP(C784,'Dummy Table'!$B$3:$D$30,3,FALSE),"")</f>
        <v/>
      </c>
      <c r="F784" s="139"/>
      <c r="G784" s="75"/>
      <c r="H784" s="75"/>
      <c r="I784" s="75"/>
      <c r="J784" s="70"/>
      <c r="M784" s="83"/>
      <c r="N784" s="83"/>
      <c r="O784" s="83"/>
    </row>
    <row r="785" spans="1:15" s="69" customFormat="1" x14ac:dyDescent="0.2">
      <c r="A785" s="91"/>
      <c r="B785" s="138">
        <f>$J$17</f>
        <v>16</v>
      </c>
      <c r="C785" s="86"/>
      <c r="D785" s="87" t="str">
        <f>IF(C785&lt;&gt;"",VLOOKUP(C785,'Dummy Table'!$B$3:$C$30,2,FALSE),"")</f>
        <v/>
      </c>
      <c r="E785" s="87" t="str">
        <f>IF(C785&lt;&gt;"",VLOOKUP(C785,'Dummy Table'!$B$3:$D$30,3,FALSE),"")</f>
        <v/>
      </c>
      <c r="F785" s="139"/>
      <c r="G785" s="75"/>
      <c r="H785" s="75"/>
      <c r="I785" s="75"/>
      <c r="J785" s="70"/>
      <c r="M785" s="83"/>
      <c r="N785" s="83"/>
      <c r="O785" s="83"/>
    </row>
    <row r="786" spans="1:15" s="69" customFormat="1" x14ac:dyDescent="0.2">
      <c r="A786" s="91"/>
      <c r="B786" s="138">
        <f>$J$18</f>
        <v>17</v>
      </c>
      <c r="C786" s="86"/>
      <c r="D786" s="87" t="str">
        <f>IF(C786&lt;&gt;"",VLOOKUP(C786,'Dummy Table'!$B$3:$C$30,2,FALSE),"")</f>
        <v/>
      </c>
      <c r="E786" s="87" t="str">
        <f>IF(C786&lt;&gt;"",VLOOKUP(C786,'Dummy Table'!$B$3:$D$30,3,FALSE),"")</f>
        <v/>
      </c>
      <c r="F786" s="139"/>
      <c r="G786" s="75"/>
      <c r="H786" s="75"/>
      <c r="I786" s="75"/>
      <c r="J786" s="70"/>
      <c r="M786" s="83"/>
      <c r="N786" s="83"/>
      <c r="O786" s="83"/>
    </row>
    <row r="787" spans="1:15" s="69" customFormat="1" x14ac:dyDescent="0.2">
      <c r="A787" s="91"/>
      <c r="B787" s="138">
        <f>$J$19</f>
        <v>18</v>
      </c>
      <c r="C787" s="86"/>
      <c r="D787" s="87" t="str">
        <f>IF(C787&lt;&gt;"",VLOOKUP(C787,'Dummy Table'!$B$3:$C$30,2,FALSE),"")</f>
        <v/>
      </c>
      <c r="E787" s="87" t="str">
        <f>IF(C787&lt;&gt;"",VLOOKUP(C787,'Dummy Table'!$B$3:$D$30,3,FALSE),"")</f>
        <v/>
      </c>
      <c r="F787" s="139"/>
      <c r="G787" s="75"/>
      <c r="H787" s="75"/>
      <c r="I787" s="75"/>
      <c r="J787" s="70"/>
      <c r="M787" s="83"/>
      <c r="N787" s="83"/>
      <c r="O787" s="83"/>
    </row>
    <row r="788" spans="1:15" s="69" customFormat="1" x14ac:dyDescent="0.2">
      <c r="A788" s="91"/>
      <c r="B788" s="138">
        <f>$J$20</f>
        <v>19</v>
      </c>
      <c r="C788" s="86"/>
      <c r="D788" s="87" t="str">
        <f>IF(C788&lt;&gt;"",VLOOKUP(C788,'Dummy Table'!$B$3:$C$30,2,FALSE),"")</f>
        <v/>
      </c>
      <c r="E788" s="87" t="str">
        <f>IF(C788&lt;&gt;"",VLOOKUP(C788,'Dummy Table'!$B$3:$D$30,3,FALSE),"")</f>
        <v/>
      </c>
      <c r="F788" s="139"/>
      <c r="G788" s="75"/>
      <c r="H788" s="75"/>
      <c r="I788" s="75"/>
      <c r="J788" s="70"/>
      <c r="M788" s="83"/>
      <c r="N788" s="83"/>
      <c r="O788" s="83"/>
    </row>
    <row r="789" spans="1:15" s="69" customFormat="1" x14ac:dyDescent="0.2">
      <c r="A789" s="91"/>
      <c r="B789" s="138">
        <f>$J$21</f>
        <v>20</v>
      </c>
      <c r="C789" s="86"/>
      <c r="D789" s="87" t="str">
        <f>IF(C789&lt;&gt;"",VLOOKUP(C789,'Dummy Table'!$B$3:$C$30,2,FALSE),"")</f>
        <v/>
      </c>
      <c r="E789" s="87" t="str">
        <f>IF(C789&lt;&gt;"",VLOOKUP(C789,'Dummy Table'!$B$3:$D$30,3,FALSE),"")</f>
        <v/>
      </c>
      <c r="F789" s="139"/>
      <c r="G789" s="75"/>
      <c r="H789" s="75"/>
      <c r="I789" s="75"/>
      <c r="J789" s="70"/>
      <c r="M789" s="83"/>
      <c r="N789" s="83"/>
      <c r="O789" s="83"/>
    </row>
    <row r="790" spans="1:15" s="69" customFormat="1" x14ac:dyDescent="0.2">
      <c r="A790" s="91"/>
      <c r="B790" s="138">
        <f>$J$22</f>
        <v>21</v>
      </c>
      <c r="C790" s="86"/>
      <c r="D790" s="87" t="str">
        <f>IF(C790&lt;&gt;"",VLOOKUP(C790,'Dummy Table'!$B$3:$C$30,2,FALSE),"")</f>
        <v/>
      </c>
      <c r="E790" s="87" t="str">
        <f>IF(C790&lt;&gt;"",VLOOKUP(C790,'Dummy Table'!$B$3:$D$30,3,FALSE),"")</f>
        <v/>
      </c>
      <c r="F790" s="139"/>
      <c r="G790" s="75"/>
      <c r="H790" s="75"/>
      <c r="I790" s="75"/>
      <c r="J790" s="70"/>
      <c r="M790" s="83"/>
      <c r="N790" s="83"/>
      <c r="O790" s="83"/>
    </row>
    <row r="791" spans="1:15" s="69" customFormat="1" x14ac:dyDescent="0.2">
      <c r="A791" s="91"/>
      <c r="B791" s="138">
        <f>$J$23</f>
        <v>22</v>
      </c>
      <c r="C791" s="86"/>
      <c r="D791" s="87" t="str">
        <f>IF(C791&lt;&gt;"",VLOOKUP(C791,'Dummy Table'!$B$3:$C$30,2,FALSE),"")</f>
        <v/>
      </c>
      <c r="E791" s="87" t="str">
        <f>IF(C791&lt;&gt;"",VLOOKUP(C791,'Dummy Table'!$B$3:$D$30,3,FALSE),"")</f>
        <v/>
      </c>
      <c r="F791" s="139"/>
      <c r="G791" s="75"/>
      <c r="H791" s="75"/>
      <c r="I791" s="75"/>
      <c r="J791" s="70"/>
      <c r="M791" s="83"/>
      <c r="N791" s="83"/>
      <c r="O791" s="83"/>
    </row>
    <row r="792" spans="1:15" s="69" customFormat="1" ht="12.75" hidden="1" customHeight="1" x14ac:dyDescent="0.2">
      <c r="A792" s="91"/>
      <c r="B792" s="138">
        <f>IF(F792="",$J$24,"Ret")</f>
        <v>23</v>
      </c>
      <c r="C792" s="78"/>
      <c r="D792" s="68" t="str">
        <f>IF(C792&lt;&gt;"",VLOOKUP(C792,'Dummy Table'!$B$3:$C$30,2,FALSE),"")</f>
        <v/>
      </c>
      <c r="E792" s="68" t="str">
        <f>IF(C792&lt;&gt;"",VLOOKUP(C792,'Dummy Table'!$B$3:$D$30,3,FALSE),"")</f>
        <v/>
      </c>
      <c r="F792" s="140"/>
      <c r="G792" s="75"/>
      <c r="H792" s="75"/>
      <c r="I792" s="75"/>
      <c r="J792" s="70"/>
      <c r="M792" s="83"/>
      <c r="N792" s="83"/>
      <c r="O792" s="83"/>
    </row>
    <row r="793" spans="1:15" s="69" customFormat="1" ht="12.75" hidden="1" customHeight="1" x14ac:dyDescent="0.2">
      <c r="A793" s="91"/>
      <c r="B793" s="138" t="str">
        <f>IF(F793="",$J$25,"Ret")</f>
        <v/>
      </c>
      <c r="C793" s="78"/>
      <c r="D793" s="68" t="str">
        <f>IF(C793&lt;&gt;"",VLOOKUP(C793,'Dummy Table'!$B$3:$C$30,2,FALSE),"")</f>
        <v/>
      </c>
      <c r="E793" s="68" t="str">
        <f>IF(C793&lt;&gt;"",VLOOKUP(C793,'Dummy Table'!$B$3:$D$30,3,FALSE),"")</f>
        <v/>
      </c>
      <c r="F793" s="140"/>
      <c r="G793" s="75"/>
      <c r="H793" s="75"/>
      <c r="I793" s="75"/>
      <c r="J793" s="70"/>
      <c r="M793" s="83"/>
      <c r="N793" s="83"/>
      <c r="O793" s="83"/>
    </row>
    <row r="794" spans="1:15" s="69" customFormat="1" x14ac:dyDescent="0.2">
      <c r="A794" s="91"/>
      <c r="B794" s="141" t="s">
        <v>243</v>
      </c>
      <c r="C794" s="88"/>
      <c r="D794" s="89" t="str">
        <f>IF(C794&lt;&gt;"",VLOOKUP(C794,'Dummy Table'!$B$3:$C$30,2,FALSE),"")</f>
        <v/>
      </c>
      <c r="E794" s="89" t="str">
        <f>IF(C794&lt;&gt;"",VLOOKUP(C794,'Dummy Table'!$B$3:$D$30,3,FALSE),"")</f>
        <v/>
      </c>
      <c r="F794" s="142"/>
      <c r="H794" s="75"/>
      <c r="J794" s="70"/>
      <c r="M794" s="83"/>
      <c r="N794" s="83"/>
      <c r="O794" s="83"/>
    </row>
    <row r="795" spans="1:15" s="69" customFormat="1" ht="13.5" thickBot="1" x14ac:dyDescent="0.25">
      <c r="A795" s="91"/>
      <c r="B795" s="143" t="s">
        <v>234</v>
      </c>
      <c r="C795" s="144"/>
      <c r="D795" s="145" t="str">
        <f>IF(C795&lt;&gt;"",VLOOKUP(C795,'Dummy Table'!$B$3:$C$30,2,FALSE),"")</f>
        <v/>
      </c>
      <c r="E795" s="145" t="str">
        <f>IF(C795&lt;&gt;"",VLOOKUP(C795,'Dummy Table'!$B$3:$D$30,3,FALSE),"")</f>
        <v/>
      </c>
      <c r="F795" s="146"/>
      <c r="H795" s="69">
        <f>IF(C795="",F795,0)</f>
        <v>0</v>
      </c>
      <c r="J795" s="70"/>
      <c r="M795" s="83"/>
      <c r="N795" s="83"/>
      <c r="O795" s="83"/>
    </row>
    <row r="796" spans="1:15" s="69" customFormat="1" x14ac:dyDescent="0.2">
      <c r="A796" s="91">
        <v>24</v>
      </c>
      <c r="B796" s="132">
        <f>VLOOKUP($A796,'Calendário atual'!$A$2:$E$30,2,FALSE)</f>
        <v>46362</v>
      </c>
      <c r="C796" s="175" t="str">
        <f>VLOOKUP($A796,'Calendário atual'!$A$2:$E$30,4,FALSE)</f>
        <v>FORMULA 1 ETIHAD AIRWAYS ABU DHABI GRAND PRIX 2026</v>
      </c>
      <c r="D796" s="175"/>
      <c r="E796" s="175"/>
      <c r="F796" s="133" t="str">
        <f>VLOOKUP($A796,'Calendário atual'!$A$2:$E$30,3,FALSE)</f>
        <v>Abu Dhabi</v>
      </c>
      <c r="G796" s="75"/>
      <c r="H796" s="75"/>
      <c r="I796" s="75"/>
      <c r="J796" s="70"/>
      <c r="M796" s="83"/>
      <c r="N796" s="83"/>
      <c r="O796" s="83"/>
    </row>
    <row r="797" spans="1:15" s="69" customFormat="1" x14ac:dyDescent="0.2">
      <c r="A797" s="91"/>
      <c r="B797" s="134" t="s">
        <v>14</v>
      </c>
      <c r="C797" s="90" t="s">
        <v>29</v>
      </c>
      <c r="D797" s="90" t="s">
        <v>16</v>
      </c>
      <c r="E797" s="90" t="s">
        <v>17</v>
      </c>
      <c r="F797" s="135" t="s">
        <v>18</v>
      </c>
      <c r="J797" s="70"/>
      <c r="M797" s="83"/>
      <c r="N797" s="83"/>
      <c r="O797" s="83"/>
    </row>
    <row r="798" spans="1:15" s="69" customFormat="1" x14ac:dyDescent="0.2">
      <c r="A798" s="91"/>
      <c r="B798" s="136">
        <f>$J$2</f>
        <v>1</v>
      </c>
      <c r="C798" s="86"/>
      <c r="D798" s="87" t="str">
        <f>IF(C798&lt;&gt;"",VLOOKUP(C798,'Dummy Table'!$B$3:$C$30,2,FALSE),"")</f>
        <v/>
      </c>
      <c r="E798" s="87" t="str">
        <f>IF(C798&lt;&gt;"",VLOOKUP(C798,'Dummy Table'!$B$3:$D$30,3,FALSE),"")</f>
        <v/>
      </c>
      <c r="F798" s="137">
        <v>25</v>
      </c>
      <c r="G798" s="69">
        <f>IF(C798="",F798,0)</f>
        <v>25</v>
      </c>
      <c r="H798" s="69">
        <f>IF(C798="",F798,0)</f>
        <v>25</v>
      </c>
      <c r="I798" s="69">
        <f>IF(C798="",1,0)</f>
        <v>1</v>
      </c>
      <c r="J798" s="70"/>
      <c r="M798" s="83"/>
      <c r="N798" s="83"/>
      <c r="O798" s="83"/>
    </row>
    <row r="799" spans="1:15" s="69" customFormat="1" x14ac:dyDescent="0.2">
      <c r="A799" s="91"/>
      <c r="B799" s="138">
        <f>$J$3</f>
        <v>2</v>
      </c>
      <c r="C799" s="86"/>
      <c r="D799" s="87" t="str">
        <f>IF(C799&lt;&gt;"",VLOOKUP(C799,'Dummy Table'!$B$3:$C$30,2,FALSE),"")</f>
        <v/>
      </c>
      <c r="E799" s="87" t="str">
        <f>IF(C799&lt;&gt;"",VLOOKUP(C799,'Dummy Table'!$B$3:$D$30,3,FALSE),"")</f>
        <v/>
      </c>
      <c r="F799" s="137">
        <v>18</v>
      </c>
      <c r="H799" s="69">
        <f>IF(C799="",F799,0)</f>
        <v>18</v>
      </c>
      <c r="J799" s="70"/>
      <c r="M799" s="83"/>
      <c r="N799" s="83"/>
      <c r="O799" s="83"/>
    </row>
    <row r="800" spans="1:15" s="69" customFormat="1" x14ac:dyDescent="0.2">
      <c r="A800" s="91"/>
      <c r="B800" s="138">
        <f>$J$4</f>
        <v>3</v>
      </c>
      <c r="C800" s="86"/>
      <c r="D800" s="87" t="str">
        <f>IF(C800&lt;&gt;"",VLOOKUP(C800,'Dummy Table'!$B$3:$C$30,2,FALSE),"")</f>
        <v/>
      </c>
      <c r="E800" s="87" t="str">
        <f>IF(C800&lt;&gt;"",VLOOKUP(C800,'Dummy Table'!$B$3:$D$30,3,FALSE),"")</f>
        <v/>
      </c>
      <c r="F800" s="137">
        <v>15</v>
      </c>
      <c r="J800" s="70"/>
      <c r="M800" s="83"/>
      <c r="N800" s="83"/>
      <c r="O800" s="83"/>
    </row>
    <row r="801" spans="1:15" s="69" customFormat="1" x14ac:dyDescent="0.2">
      <c r="A801" s="91"/>
      <c r="B801" s="138">
        <f>$J$5</f>
        <v>4</v>
      </c>
      <c r="C801" s="86"/>
      <c r="D801" s="87" t="str">
        <f>IF(C801&lt;&gt;"",VLOOKUP(C801,'Dummy Table'!$B$3:$C$30,2,FALSE),"")</f>
        <v/>
      </c>
      <c r="E801" s="87" t="str">
        <f>IF(C801&lt;&gt;"",VLOOKUP(C801,'Dummy Table'!$B$3:$D$30,3,FALSE),"")</f>
        <v/>
      </c>
      <c r="F801" s="137">
        <v>12</v>
      </c>
      <c r="J801" s="70"/>
      <c r="M801" s="83"/>
      <c r="N801" s="83"/>
      <c r="O801" s="83"/>
    </row>
    <row r="802" spans="1:15" s="69" customFormat="1" x14ac:dyDescent="0.2">
      <c r="A802" s="91"/>
      <c r="B802" s="138">
        <f>$J$6</f>
        <v>5</v>
      </c>
      <c r="C802" s="86"/>
      <c r="D802" s="87" t="str">
        <f>IF(C802&lt;&gt;"",VLOOKUP(C802,'Dummy Table'!$B$3:$C$30,2,FALSE),"")</f>
        <v/>
      </c>
      <c r="E802" s="87" t="str">
        <f>IF(C802&lt;&gt;"",VLOOKUP(C802,'Dummy Table'!$B$3:$D$30,3,FALSE),"")</f>
        <v/>
      </c>
      <c r="F802" s="137">
        <v>10</v>
      </c>
      <c r="J802" s="70"/>
      <c r="M802" s="83"/>
      <c r="N802" s="83"/>
      <c r="O802" s="83"/>
    </row>
    <row r="803" spans="1:15" s="69" customFormat="1" x14ac:dyDescent="0.2">
      <c r="A803" s="91"/>
      <c r="B803" s="138">
        <f>$J$7</f>
        <v>6</v>
      </c>
      <c r="C803" s="86"/>
      <c r="D803" s="87" t="str">
        <f>IF(C803&lt;&gt;"",VLOOKUP(C803,'Dummy Table'!$B$3:$C$30,2,FALSE),"")</f>
        <v/>
      </c>
      <c r="E803" s="87" t="str">
        <f>IF(C803&lt;&gt;"",VLOOKUP(C803,'Dummy Table'!$B$3:$D$30,3,FALSE),"")</f>
        <v/>
      </c>
      <c r="F803" s="137">
        <v>8</v>
      </c>
      <c r="J803" s="70"/>
      <c r="M803" s="83"/>
      <c r="N803" s="83"/>
      <c r="O803" s="83"/>
    </row>
    <row r="804" spans="1:15" s="69" customFormat="1" x14ac:dyDescent="0.2">
      <c r="A804" s="91"/>
      <c r="B804" s="138">
        <f>$J$8</f>
        <v>7</v>
      </c>
      <c r="C804" s="86"/>
      <c r="D804" s="87" t="str">
        <f>IF(C804&lt;&gt;"",VLOOKUP(C804,'Dummy Table'!$B$3:$C$30,2,FALSE),"")</f>
        <v/>
      </c>
      <c r="E804" s="87" t="str">
        <f>IF(C804&lt;&gt;"",VLOOKUP(C804,'Dummy Table'!$B$3:$D$30,3,FALSE),"")</f>
        <v/>
      </c>
      <c r="F804" s="137">
        <v>6</v>
      </c>
      <c r="J804" s="70"/>
      <c r="M804" s="83"/>
      <c r="N804" s="83"/>
      <c r="O804" s="83"/>
    </row>
    <row r="805" spans="1:15" s="69" customFormat="1" x14ac:dyDescent="0.2">
      <c r="A805" s="91"/>
      <c r="B805" s="138">
        <f>$J$9</f>
        <v>8</v>
      </c>
      <c r="C805" s="86"/>
      <c r="D805" s="87" t="str">
        <f>IF(C805&lt;&gt;"",VLOOKUP(C805,'Dummy Table'!$B$3:$C$30,2,FALSE),"")</f>
        <v/>
      </c>
      <c r="E805" s="87" t="str">
        <f>IF(C805&lt;&gt;"",VLOOKUP(C805,'Dummy Table'!$B$3:$D$30,3,FALSE),"")</f>
        <v/>
      </c>
      <c r="F805" s="137">
        <v>4</v>
      </c>
      <c r="J805" s="70"/>
      <c r="M805" s="83"/>
      <c r="N805" s="83"/>
      <c r="O805" s="83"/>
    </row>
    <row r="806" spans="1:15" s="69" customFormat="1" x14ac:dyDescent="0.2">
      <c r="A806" s="91"/>
      <c r="B806" s="138">
        <f>$J$10</f>
        <v>9</v>
      </c>
      <c r="C806" s="86"/>
      <c r="D806" s="87" t="str">
        <f>IF(C806&lt;&gt;"",VLOOKUP(C806,'Dummy Table'!$B$3:$C$30,2,FALSE),"")</f>
        <v/>
      </c>
      <c r="E806" s="87" t="str">
        <f>IF(C806&lt;&gt;"",VLOOKUP(C806,'Dummy Table'!$B$3:$D$30,3,FALSE),"")</f>
        <v/>
      </c>
      <c r="F806" s="137">
        <v>2</v>
      </c>
      <c r="J806" s="70"/>
      <c r="M806" s="83"/>
      <c r="N806" s="83"/>
      <c r="O806" s="83"/>
    </row>
    <row r="807" spans="1:15" s="69" customFormat="1" x14ac:dyDescent="0.2">
      <c r="A807" s="91"/>
      <c r="B807" s="138">
        <f>$J$11</f>
        <v>10</v>
      </c>
      <c r="C807" s="86"/>
      <c r="D807" s="87" t="str">
        <f>IF(C807&lt;&gt;"",VLOOKUP(C807,'Dummy Table'!$B$3:$C$30,2,FALSE),"")</f>
        <v/>
      </c>
      <c r="E807" s="87" t="str">
        <f>IF(C807&lt;&gt;"",VLOOKUP(C807,'Dummy Table'!$B$3:$D$30,3,FALSE),"")</f>
        <v/>
      </c>
      <c r="F807" s="137">
        <v>1</v>
      </c>
      <c r="J807" s="70"/>
      <c r="M807" s="83"/>
      <c r="N807" s="83"/>
      <c r="O807" s="83"/>
    </row>
    <row r="808" spans="1:15" s="69" customFormat="1" x14ac:dyDescent="0.2">
      <c r="A808" s="91"/>
      <c r="B808" s="138">
        <f>$J$12</f>
        <v>11</v>
      </c>
      <c r="C808" s="86"/>
      <c r="D808" s="87" t="str">
        <f>IF(C808&lt;&gt;"",VLOOKUP(C808,'Dummy Table'!$B$3:$C$30,2,FALSE),"")</f>
        <v/>
      </c>
      <c r="E808" s="87" t="str">
        <f>IF(C808&lt;&gt;"",VLOOKUP(C808,'Dummy Table'!$B$3:$D$30,3,FALSE),"")</f>
        <v/>
      </c>
      <c r="F808" s="139"/>
      <c r="J808" s="70"/>
      <c r="M808" s="83"/>
      <c r="N808" s="83"/>
      <c r="O808" s="83"/>
    </row>
    <row r="809" spans="1:15" s="69" customFormat="1" x14ac:dyDescent="0.2">
      <c r="A809" s="91"/>
      <c r="B809" s="138">
        <f>$J$13</f>
        <v>12</v>
      </c>
      <c r="C809" s="86"/>
      <c r="D809" s="87" t="str">
        <f>IF(C809&lt;&gt;"",VLOOKUP(C809,'Dummy Table'!$B$3:$C$30,2,FALSE),"")</f>
        <v/>
      </c>
      <c r="E809" s="87" t="str">
        <f>IF(C809&lt;&gt;"",VLOOKUP(C809,'Dummy Table'!$B$3:$D$30,3,FALSE),"")</f>
        <v/>
      </c>
      <c r="F809" s="139"/>
      <c r="J809" s="70"/>
      <c r="M809" s="83"/>
      <c r="N809" s="83"/>
      <c r="O809" s="83"/>
    </row>
    <row r="810" spans="1:15" s="69" customFormat="1" x14ac:dyDescent="0.2">
      <c r="A810" s="91"/>
      <c r="B810" s="138">
        <f>$J$14</f>
        <v>13</v>
      </c>
      <c r="C810" s="86"/>
      <c r="D810" s="87" t="str">
        <f>IF(C810&lt;&gt;"",VLOOKUP(C810,'Dummy Table'!$B$3:$C$30,2,FALSE),"")</f>
        <v/>
      </c>
      <c r="E810" s="87" t="str">
        <f>IF(C810&lt;&gt;"",VLOOKUP(C810,'Dummy Table'!$B$3:$D$30,3,FALSE),"")</f>
        <v/>
      </c>
      <c r="F810" s="139"/>
      <c r="G810" s="75"/>
      <c r="H810" s="75"/>
      <c r="I810" s="75"/>
      <c r="J810" s="70"/>
      <c r="M810" s="83"/>
      <c r="N810" s="83"/>
      <c r="O810" s="83"/>
    </row>
    <row r="811" spans="1:15" s="69" customFormat="1" x14ac:dyDescent="0.2">
      <c r="A811" s="91"/>
      <c r="B811" s="138">
        <f>$J$15</f>
        <v>14</v>
      </c>
      <c r="C811" s="86"/>
      <c r="D811" s="87" t="str">
        <f>IF(C811&lt;&gt;"",VLOOKUP(C811,'Dummy Table'!$B$3:$C$30,2,FALSE),"")</f>
        <v/>
      </c>
      <c r="E811" s="87" t="str">
        <f>IF(C811&lt;&gt;"",VLOOKUP(C811,'Dummy Table'!$B$3:$D$30,3,FALSE),"")</f>
        <v/>
      </c>
      <c r="F811" s="139"/>
      <c r="G811" s="75"/>
      <c r="H811" s="75"/>
      <c r="I811" s="75"/>
      <c r="J811" s="70"/>
      <c r="M811" s="83"/>
      <c r="N811" s="83"/>
      <c r="O811" s="83"/>
    </row>
    <row r="812" spans="1:15" s="69" customFormat="1" x14ac:dyDescent="0.2">
      <c r="A812" s="91"/>
      <c r="B812" s="138">
        <f>$J$16</f>
        <v>15</v>
      </c>
      <c r="C812" s="86"/>
      <c r="D812" s="87" t="str">
        <f>IF(C812&lt;&gt;"",VLOOKUP(C812,'Dummy Table'!$B$3:$C$30,2,FALSE),"")</f>
        <v/>
      </c>
      <c r="E812" s="87" t="str">
        <f>IF(C812&lt;&gt;"",VLOOKUP(C812,'Dummy Table'!$B$3:$D$30,3,FALSE),"")</f>
        <v/>
      </c>
      <c r="F812" s="139"/>
      <c r="G812" s="75"/>
      <c r="H812" s="75"/>
      <c r="I812" s="75"/>
      <c r="J812" s="70"/>
      <c r="M812" s="83"/>
      <c r="N812" s="83"/>
      <c r="O812" s="83"/>
    </row>
    <row r="813" spans="1:15" s="69" customFormat="1" x14ac:dyDescent="0.2">
      <c r="A813" s="91"/>
      <c r="B813" s="138">
        <f>$J$17</f>
        <v>16</v>
      </c>
      <c r="C813" s="86"/>
      <c r="D813" s="87" t="str">
        <f>IF(C813&lt;&gt;"",VLOOKUP(C813,'Dummy Table'!$B$3:$C$30,2,FALSE),"")</f>
        <v/>
      </c>
      <c r="E813" s="87" t="str">
        <f>IF(C813&lt;&gt;"",VLOOKUP(C813,'Dummy Table'!$B$3:$D$30,3,FALSE),"")</f>
        <v/>
      </c>
      <c r="F813" s="139"/>
      <c r="G813" s="75"/>
      <c r="H813" s="75"/>
      <c r="I813" s="75"/>
      <c r="J813" s="70"/>
      <c r="M813" s="83"/>
      <c r="N813" s="83"/>
      <c r="O813" s="83"/>
    </row>
    <row r="814" spans="1:15" s="69" customFormat="1" x14ac:dyDescent="0.2">
      <c r="A814" s="91"/>
      <c r="B814" s="138">
        <f>$J$18</f>
        <v>17</v>
      </c>
      <c r="C814" s="86"/>
      <c r="D814" s="87" t="str">
        <f>IF(C814&lt;&gt;"",VLOOKUP(C814,'Dummy Table'!$B$3:$C$30,2,FALSE),"")</f>
        <v/>
      </c>
      <c r="E814" s="87" t="str">
        <f>IF(C814&lt;&gt;"",VLOOKUP(C814,'Dummy Table'!$B$3:$D$30,3,FALSE),"")</f>
        <v/>
      </c>
      <c r="F814" s="139"/>
      <c r="G814" s="75"/>
      <c r="H814" s="75"/>
      <c r="I814" s="75"/>
      <c r="J814" s="70"/>
      <c r="M814" s="83"/>
      <c r="N814" s="83"/>
      <c r="O814" s="83"/>
    </row>
    <row r="815" spans="1:15" s="69" customFormat="1" x14ac:dyDescent="0.2">
      <c r="A815" s="91"/>
      <c r="B815" s="138">
        <f>$J$19</f>
        <v>18</v>
      </c>
      <c r="C815" s="86"/>
      <c r="D815" s="87" t="str">
        <f>IF(C815&lt;&gt;"",VLOOKUP(C815,'Dummy Table'!$B$3:$C$30,2,FALSE),"")</f>
        <v/>
      </c>
      <c r="E815" s="87" t="str">
        <f>IF(C815&lt;&gt;"",VLOOKUP(C815,'Dummy Table'!$B$3:$D$30,3,FALSE),"")</f>
        <v/>
      </c>
      <c r="F815" s="139"/>
      <c r="G815" s="75"/>
      <c r="H815" s="75"/>
      <c r="I815" s="75"/>
      <c r="J815" s="70"/>
      <c r="M815" s="83"/>
      <c r="N815" s="83"/>
      <c r="O815" s="83"/>
    </row>
    <row r="816" spans="1:15" s="69" customFormat="1" x14ac:dyDescent="0.2">
      <c r="A816" s="91"/>
      <c r="B816" s="138">
        <f>$J$20</f>
        <v>19</v>
      </c>
      <c r="C816" s="86"/>
      <c r="D816" s="87" t="str">
        <f>IF(C816&lt;&gt;"",VLOOKUP(C816,'Dummy Table'!$B$3:$C$30,2,FALSE),"")</f>
        <v/>
      </c>
      <c r="E816" s="87" t="str">
        <f>IF(C816&lt;&gt;"",VLOOKUP(C816,'Dummy Table'!$B$3:$D$30,3,FALSE),"")</f>
        <v/>
      </c>
      <c r="F816" s="139"/>
      <c r="G816" s="75"/>
      <c r="H816" s="75"/>
      <c r="I816" s="75"/>
      <c r="J816" s="70"/>
      <c r="M816" s="83"/>
      <c r="N816" s="83"/>
      <c r="O816" s="83"/>
    </row>
    <row r="817" spans="1:15" s="69" customFormat="1" x14ac:dyDescent="0.2">
      <c r="A817" s="91"/>
      <c r="B817" s="138">
        <f>$J$21</f>
        <v>20</v>
      </c>
      <c r="C817" s="86"/>
      <c r="D817" s="87" t="str">
        <f>IF(C817&lt;&gt;"",VLOOKUP(C817,'Dummy Table'!$B$3:$C$30,2,FALSE),"")</f>
        <v/>
      </c>
      <c r="E817" s="87" t="str">
        <f>IF(C817&lt;&gt;"",VLOOKUP(C817,'Dummy Table'!$B$3:$D$30,3,FALSE),"")</f>
        <v/>
      </c>
      <c r="F817" s="139"/>
      <c r="G817" s="75"/>
      <c r="H817" s="75"/>
      <c r="I817" s="75"/>
      <c r="J817" s="70"/>
      <c r="M817" s="83"/>
      <c r="N817" s="83"/>
      <c r="O817" s="83"/>
    </row>
    <row r="818" spans="1:15" s="69" customFormat="1" x14ac:dyDescent="0.2">
      <c r="A818" s="91"/>
      <c r="B818" s="138">
        <f>$J$22</f>
        <v>21</v>
      </c>
      <c r="C818" s="86"/>
      <c r="D818" s="87" t="str">
        <f>IF(C818&lt;&gt;"",VLOOKUP(C818,'Dummy Table'!$B$3:$C$30,2,FALSE),"")</f>
        <v/>
      </c>
      <c r="E818" s="87" t="str">
        <f>IF(C818&lt;&gt;"",VLOOKUP(C818,'Dummy Table'!$B$3:$D$30,3,FALSE),"")</f>
        <v/>
      </c>
      <c r="F818" s="139"/>
      <c r="G818" s="75"/>
      <c r="H818" s="75"/>
      <c r="I818" s="75"/>
      <c r="J818" s="70"/>
      <c r="M818" s="83"/>
      <c r="N818" s="83"/>
      <c r="O818" s="83"/>
    </row>
    <row r="819" spans="1:15" s="69" customFormat="1" x14ac:dyDescent="0.2">
      <c r="A819" s="91"/>
      <c r="B819" s="138">
        <f>$J$23</f>
        <v>22</v>
      </c>
      <c r="C819" s="86"/>
      <c r="D819" s="87" t="str">
        <f>IF(C819&lt;&gt;"",VLOOKUP(C819,'Dummy Table'!$B$3:$C$30,2,FALSE),"")</f>
        <v/>
      </c>
      <c r="E819" s="87" t="str">
        <f>IF(C819&lt;&gt;"",VLOOKUP(C819,'Dummy Table'!$B$3:$D$30,3,FALSE),"")</f>
        <v/>
      </c>
      <c r="F819" s="139"/>
      <c r="G819" s="75"/>
      <c r="H819" s="75"/>
      <c r="I819" s="75"/>
      <c r="J819" s="70"/>
      <c r="M819" s="83"/>
      <c r="N819" s="83"/>
      <c r="O819" s="83"/>
    </row>
    <row r="820" spans="1:15" s="69" customFormat="1" ht="12.75" hidden="1" customHeight="1" x14ac:dyDescent="0.2">
      <c r="A820" s="91"/>
      <c r="B820" s="138">
        <f>IF(F820="",$J$24,"Ret")</f>
        <v>23</v>
      </c>
      <c r="C820" s="78"/>
      <c r="D820" s="68" t="str">
        <f>IF(C820&lt;&gt;"",VLOOKUP(C820,'Dummy Table'!$B$3:$C$30,2,FALSE),"")</f>
        <v/>
      </c>
      <c r="E820" s="68" t="str">
        <f>IF(C820&lt;&gt;"",VLOOKUP(C820,'Dummy Table'!$B$3:$D$30,3,FALSE),"")</f>
        <v/>
      </c>
      <c r="F820" s="140"/>
      <c r="G820" s="75"/>
      <c r="H820" s="75"/>
      <c r="I820" s="75"/>
      <c r="J820" s="70"/>
      <c r="M820" s="83"/>
      <c r="N820" s="83"/>
      <c r="O820" s="83"/>
    </row>
    <row r="821" spans="1:15" s="69" customFormat="1" ht="12.75" hidden="1" customHeight="1" x14ac:dyDescent="0.2">
      <c r="A821" s="91"/>
      <c r="B821" s="138" t="str">
        <f>IF(F821="",$J$25,"Ret")</f>
        <v/>
      </c>
      <c r="C821" s="78"/>
      <c r="D821" s="68" t="str">
        <f>IF(C821&lt;&gt;"",VLOOKUP(C821,'Dummy Table'!$B$3:$C$30,2,FALSE),"")</f>
        <v/>
      </c>
      <c r="E821" s="68" t="str">
        <f>IF(C821&lt;&gt;"",VLOOKUP(C821,'Dummy Table'!$B$3:$D$30,3,FALSE),"")</f>
        <v/>
      </c>
      <c r="F821" s="140"/>
      <c r="G821" s="75"/>
      <c r="H821" s="75"/>
      <c r="I821" s="75"/>
      <c r="J821" s="70"/>
      <c r="M821" s="83"/>
      <c r="N821" s="83"/>
      <c r="O821" s="83"/>
    </row>
    <row r="822" spans="1:15" s="69" customFormat="1" x14ac:dyDescent="0.2">
      <c r="A822" s="91"/>
      <c r="B822" s="141" t="s">
        <v>243</v>
      </c>
      <c r="C822" s="88"/>
      <c r="D822" s="89" t="str">
        <f>IF(C822&lt;&gt;"",VLOOKUP(C822,'Dummy Table'!$B$3:$C$30,2,FALSE),"")</f>
        <v/>
      </c>
      <c r="E822" s="89" t="str">
        <f>IF(C822&lt;&gt;"",VLOOKUP(C822,'Dummy Table'!$B$3:$D$30,3,FALSE),"")</f>
        <v/>
      </c>
      <c r="F822" s="142"/>
      <c r="H822" s="75"/>
      <c r="J822" s="70"/>
      <c r="M822" s="83"/>
      <c r="N822" s="83"/>
      <c r="O822" s="83"/>
    </row>
    <row r="823" spans="1:15" s="69" customFormat="1" ht="13.5" thickBot="1" x14ac:dyDescent="0.25">
      <c r="A823" s="91"/>
      <c r="B823" s="143" t="s">
        <v>234</v>
      </c>
      <c r="C823" s="144"/>
      <c r="D823" s="145" t="str">
        <f>IF(C823&lt;&gt;"",VLOOKUP(C823,'Dummy Table'!$B$3:$C$30,2,FALSE),"")</f>
        <v/>
      </c>
      <c r="E823" s="145" t="str">
        <f>IF(C823&lt;&gt;"",VLOOKUP(C823,'Dummy Table'!$B$3:$D$30,3,FALSE),"")</f>
        <v/>
      </c>
      <c r="F823" s="146"/>
      <c r="H823" s="69">
        <f>IF(C823="",F823,0)</f>
        <v>0</v>
      </c>
      <c r="J823" s="70"/>
      <c r="M823" s="83"/>
      <c r="N823" s="83"/>
      <c r="O823" s="83"/>
    </row>
    <row r="824" spans="1:15" x14ac:dyDescent="0.2">
      <c r="A824" s="92"/>
      <c r="C824" s="84"/>
      <c r="D824" s="69"/>
      <c r="E824" s="69"/>
    </row>
    <row r="825" spans="1:15" x14ac:dyDescent="0.2">
      <c r="A825" s="92"/>
      <c r="C825" s="84"/>
      <c r="D825" s="69"/>
      <c r="E825" s="69"/>
    </row>
    <row r="826" spans="1:15" x14ac:dyDescent="0.2">
      <c r="A826" s="92"/>
      <c r="C826" s="84"/>
      <c r="D826" s="69"/>
      <c r="E826" s="69"/>
    </row>
    <row r="827" spans="1:15" x14ac:dyDescent="0.2">
      <c r="A827" s="92"/>
      <c r="C827" s="84"/>
      <c r="D827" s="69"/>
      <c r="E827" s="69"/>
    </row>
    <row r="828" spans="1:15" x14ac:dyDescent="0.2">
      <c r="A828" s="92"/>
      <c r="C828" s="84"/>
      <c r="D828" s="69"/>
      <c r="E828" s="69"/>
    </row>
    <row r="829" spans="1:15" x14ac:dyDescent="0.2">
      <c r="A829" s="92"/>
      <c r="C829" s="84"/>
      <c r="D829" s="69"/>
      <c r="E829" s="69"/>
    </row>
    <row r="830" spans="1:15" x14ac:dyDescent="0.2">
      <c r="A830" s="92"/>
      <c r="C830" s="84"/>
      <c r="D830" s="69"/>
      <c r="E830" s="69"/>
    </row>
    <row r="831" spans="1:15" x14ac:dyDescent="0.2">
      <c r="A831" s="92"/>
      <c r="C831" s="84"/>
      <c r="D831" s="69"/>
      <c r="E831" s="69"/>
    </row>
    <row r="832" spans="1:15" x14ac:dyDescent="0.2">
      <c r="A832" s="92"/>
      <c r="C832" s="84"/>
      <c r="D832" s="69"/>
      <c r="E832" s="69"/>
    </row>
    <row r="833" spans="1:5" x14ac:dyDescent="0.2">
      <c r="A833" s="92"/>
      <c r="C833" s="84"/>
      <c r="D833" s="69"/>
      <c r="E833" s="69"/>
    </row>
    <row r="834" spans="1:5" x14ac:dyDescent="0.2">
      <c r="A834" s="92"/>
      <c r="C834" s="84"/>
      <c r="D834" s="69"/>
      <c r="E834" s="69"/>
    </row>
    <row r="835" spans="1:5" x14ac:dyDescent="0.2">
      <c r="A835" s="92"/>
      <c r="C835" s="84"/>
      <c r="D835" s="69"/>
      <c r="E835" s="69"/>
    </row>
    <row r="836" spans="1:5" x14ac:dyDescent="0.2">
      <c r="A836" s="92"/>
      <c r="C836" s="84"/>
      <c r="D836" s="69"/>
      <c r="E836" s="69"/>
    </row>
    <row r="837" spans="1:5" x14ac:dyDescent="0.2">
      <c r="A837" s="92"/>
      <c r="C837" s="84"/>
      <c r="D837" s="69"/>
      <c r="E837" s="69"/>
    </row>
    <row r="838" spans="1:5" x14ac:dyDescent="0.2">
      <c r="A838" s="92"/>
      <c r="C838" s="84"/>
      <c r="D838" s="69"/>
      <c r="E838" s="69"/>
    </row>
    <row r="839" spans="1:5" x14ac:dyDescent="0.2">
      <c r="A839" s="92"/>
      <c r="C839" s="84"/>
      <c r="D839" s="69"/>
      <c r="E839" s="69"/>
    </row>
    <row r="840" spans="1:5" x14ac:dyDescent="0.2">
      <c r="A840" s="92"/>
      <c r="C840" s="84"/>
      <c r="D840" s="69"/>
      <c r="E840" s="69"/>
    </row>
    <row r="841" spans="1:5" x14ac:dyDescent="0.2">
      <c r="A841" s="92"/>
      <c r="C841" s="84"/>
      <c r="D841" s="69"/>
      <c r="E841" s="69"/>
    </row>
    <row r="842" spans="1:5" x14ac:dyDescent="0.2">
      <c r="A842" s="92"/>
      <c r="C842" s="84"/>
      <c r="D842" s="69"/>
      <c r="E842" s="69"/>
    </row>
    <row r="843" spans="1:5" x14ac:dyDescent="0.2">
      <c r="A843" s="92"/>
      <c r="C843" s="84"/>
      <c r="D843" s="69"/>
      <c r="E843" s="69"/>
    </row>
    <row r="844" spans="1:5" x14ac:dyDescent="0.2">
      <c r="A844" s="92"/>
      <c r="C844" s="84"/>
      <c r="D844" s="69"/>
      <c r="E844" s="69"/>
    </row>
    <row r="845" spans="1:5" x14ac:dyDescent="0.2">
      <c r="A845" s="92"/>
      <c r="C845" s="84"/>
      <c r="D845" s="69"/>
      <c r="E845" s="69"/>
    </row>
    <row r="846" spans="1:5" x14ac:dyDescent="0.2">
      <c r="A846" s="92"/>
      <c r="C846" s="84"/>
      <c r="D846" s="69"/>
      <c r="E846" s="69"/>
    </row>
    <row r="847" spans="1:5" x14ac:dyDescent="0.2">
      <c r="A847" s="92"/>
      <c r="C847" s="84"/>
      <c r="D847" s="69"/>
      <c r="E847" s="69"/>
    </row>
    <row r="848" spans="1:5" x14ac:dyDescent="0.2">
      <c r="A848" s="92"/>
      <c r="C848" s="84"/>
      <c r="D848" s="69"/>
      <c r="E848" s="69"/>
    </row>
    <row r="849" spans="1:5" x14ac:dyDescent="0.2">
      <c r="A849" s="92"/>
      <c r="C849" s="84"/>
      <c r="D849" s="69"/>
      <c r="E849" s="69"/>
    </row>
    <row r="850" spans="1:5" x14ac:dyDescent="0.2">
      <c r="A850" s="92"/>
      <c r="C850" s="84"/>
      <c r="D850" s="69"/>
      <c r="E850" s="69"/>
    </row>
    <row r="851" spans="1:5" x14ac:dyDescent="0.2">
      <c r="A851" s="92"/>
      <c r="C851" s="84"/>
      <c r="D851" s="69"/>
      <c r="E851" s="69"/>
    </row>
    <row r="852" spans="1:5" x14ac:dyDescent="0.2">
      <c r="A852" s="92"/>
      <c r="C852" s="84"/>
      <c r="D852" s="69"/>
      <c r="E852" s="69"/>
    </row>
    <row r="853" spans="1:5" x14ac:dyDescent="0.2">
      <c r="A853" s="92"/>
      <c r="C853" s="84"/>
      <c r="D853" s="69"/>
      <c r="E853" s="69"/>
    </row>
    <row r="854" spans="1:5" x14ac:dyDescent="0.2">
      <c r="A854" s="92"/>
      <c r="C854" s="84"/>
      <c r="D854" s="69"/>
      <c r="E854" s="69"/>
    </row>
    <row r="855" spans="1:5" x14ac:dyDescent="0.2">
      <c r="A855" s="92"/>
      <c r="C855" s="84"/>
      <c r="D855" s="69"/>
      <c r="E855" s="69"/>
    </row>
    <row r="856" spans="1:5" x14ac:dyDescent="0.2">
      <c r="A856" s="92"/>
      <c r="C856" s="84"/>
      <c r="D856" s="69"/>
      <c r="E856" s="69"/>
    </row>
    <row r="857" spans="1:5" x14ac:dyDescent="0.2">
      <c r="A857" s="92"/>
      <c r="C857" s="84"/>
      <c r="D857" s="69"/>
      <c r="E857" s="69"/>
    </row>
    <row r="858" spans="1:5" x14ac:dyDescent="0.2">
      <c r="A858" s="92"/>
      <c r="C858" s="84"/>
      <c r="D858" s="69"/>
      <c r="E858" s="69"/>
    </row>
    <row r="859" spans="1:5" x14ac:dyDescent="0.2">
      <c r="A859" s="92"/>
      <c r="C859" s="84"/>
      <c r="D859" s="69"/>
      <c r="E859" s="69"/>
    </row>
    <row r="860" spans="1:5" x14ac:dyDescent="0.2">
      <c r="C860" s="84"/>
    </row>
    <row r="861" spans="1:5" x14ac:dyDescent="0.2">
      <c r="C861" s="84"/>
    </row>
    <row r="862" spans="1:5" x14ac:dyDescent="0.2">
      <c r="C862" s="84"/>
    </row>
  </sheetData>
  <sheetProtection algorithmName="SHA-512" hashValue="LkR5aLC90Rf4/wLEcGtXsh0s7SCYBMa21L2HH1ltkXqB9kuwy32S/0OGDjdkodWpztLYyVjcgtcATrq1kCwf5w==" saltValue="svpfDM7arptZdWfY9VeaVw==" spinCount="100000" sheet="1" selectLockedCells="1"/>
  <dataConsolidate/>
  <mergeCells count="27">
    <mergeCell ref="C768:E768"/>
    <mergeCell ref="C796:E796"/>
    <mergeCell ref="C603:E603"/>
    <mergeCell ref="C656:E656"/>
    <mergeCell ref="C684:E684"/>
    <mergeCell ref="C712:E712"/>
    <mergeCell ref="C740:E740"/>
    <mergeCell ref="C329:E329"/>
    <mergeCell ref="C357:E357"/>
    <mergeCell ref="C410:E410"/>
    <mergeCell ref="C220:E220"/>
    <mergeCell ref="C273:E273"/>
    <mergeCell ref="C301:E301"/>
    <mergeCell ref="C547:E547"/>
    <mergeCell ref="C575:E575"/>
    <mergeCell ref="C438:E438"/>
    <mergeCell ref="C466:E466"/>
    <mergeCell ref="C519:E519"/>
    <mergeCell ref="C111:E111"/>
    <mergeCell ref="C139:E139"/>
    <mergeCell ref="C167:E167"/>
    <mergeCell ref="S2:U2"/>
    <mergeCell ref="C2:E2"/>
    <mergeCell ref="C30:E30"/>
    <mergeCell ref="C83:E83"/>
    <mergeCell ref="M2:O2"/>
    <mergeCell ref="P2:R2"/>
  </mergeCells>
  <phoneticPr fontId="1" type="noConversion"/>
  <conditionalFormatting sqref="F29">
    <cfRule type="cellIs" dxfId="23" priority="71" operator="equal">
      <formula>0</formula>
    </cfRule>
  </conditionalFormatting>
  <conditionalFormatting sqref="F82">
    <cfRule type="cellIs" dxfId="22" priority="6" operator="equal">
      <formula>0</formula>
    </cfRule>
  </conditionalFormatting>
  <conditionalFormatting sqref="F110">
    <cfRule type="cellIs" dxfId="21" priority="23" operator="equal">
      <formula>0</formula>
    </cfRule>
  </conditionalFormatting>
  <conditionalFormatting sqref="F138">
    <cfRule type="cellIs" dxfId="20" priority="22" operator="equal">
      <formula>0</formula>
    </cfRule>
  </conditionalFormatting>
  <conditionalFormatting sqref="F166">
    <cfRule type="cellIs" dxfId="19" priority="21" operator="equal">
      <formula>0</formula>
    </cfRule>
  </conditionalFormatting>
  <conditionalFormatting sqref="F219">
    <cfRule type="cellIs" dxfId="18" priority="5" operator="equal">
      <formula>0</formula>
    </cfRule>
  </conditionalFormatting>
  <conditionalFormatting sqref="F272">
    <cfRule type="cellIs" dxfId="17" priority="4" operator="equal">
      <formula>0</formula>
    </cfRule>
  </conditionalFormatting>
  <conditionalFormatting sqref="F300">
    <cfRule type="cellIs" dxfId="16" priority="20" operator="equal">
      <formula>0</formula>
    </cfRule>
  </conditionalFormatting>
  <conditionalFormatting sqref="F328">
    <cfRule type="cellIs" dxfId="15" priority="19" operator="equal">
      <formula>0</formula>
    </cfRule>
  </conditionalFormatting>
  <conditionalFormatting sqref="F356">
    <cfRule type="cellIs" dxfId="14" priority="18" operator="equal">
      <formula>0</formula>
    </cfRule>
  </conditionalFormatting>
  <conditionalFormatting sqref="F409">
    <cfRule type="cellIs" dxfId="13" priority="3" operator="equal">
      <formula>0</formula>
    </cfRule>
  </conditionalFormatting>
  <conditionalFormatting sqref="F437">
    <cfRule type="cellIs" dxfId="12" priority="17" operator="equal">
      <formula>0</formula>
    </cfRule>
  </conditionalFormatting>
  <conditionalFormatting sqref="F465">
    <cfRule type="cellIs" dxfId="11" priority="16" operator="equal">
      <formula>0</formula>
    </cfRule>
  </conditionalFormatting>
  <conditionalFormatting sqref="F518">
    <cfRule type="cellIs" dxfId="10" priority="2" operator="equal">
      <formula>0</formula>
    </cfRule>
  </conditionalFormatting>
  <conditionalFormatting sqref="F546">
    <cfRule type="cellIs" dxfId="9" priority="15" operator="equal">
      <formula>0</formula>
    </cfRule>
  </conditionalFormatting>
  <conditionalFormatting sqref="F574">
    <cfRule type="cellIs" dxfId="8" priority="14" operator="equal">
      <formula>0</formula>
    </cfRule>
  </conditionalFormatting>
  <conditionalFormatting sqref="F602">
    <cfRule type="cellIs" dxfId="7" priority="13" operator="equal">
      <formula>0</formula>
    </cfRule>
  </conditionalFormatting>
  <conditionalFormatting sqref="F655">
    <cfRule type="cellIs" dxfId="6" priority="1" operator="equal">
      <formula>0</formula>
    </cfRule>
  </conditionalFormatting>
  <conditionalFormatting sqref="F683">
    <cfRule type="cellIs" dxfId="5" priority="12" operator="equal">
      <formula>0</formula>
    </cfRule>
  </conditionalFormatting>
  <conditionalFormatting sqref="F711">
    <cfRule type="cellIs" dxfId="4" priority="11" operator="equal">
      <formula>0</formula>
    </cfRule>
  </conditionalFormatting>
  <conditionalFormatting sqref="F739">
    <cfRule type="cellIs" dxfId="3" priority="10" operator="equal">
      <formula>0</formula>
    </cfRule>
  </conditionalFormatting>
  <conditionalFormatting sqref="F767">
    <cfRule type="cellIs" dxfId="2" priority="9" operator="equal">
      <formula>0</formula>
    </cfRule>
  </conditionalFormatting>
  <conditionalFormatting sqref="F795">
    <cfRule type="cellIs" dxfId="1" priority="8" operator="equal">
      <formula>0</formula>
    </cfRule>
  </conditionalFormatting>
  <conditionalFormatting sqref="F823">
    <cfRule type="cellIs" dxfId="0" priority="7" operator="equal">
      <formula>0</formula>
    </cfRule>
  </conditionalFormatting>
  <dataValidations xWindow="183" yWindow="603" count="1">
    <dataValidation type="list" allowBlank="1" showErrorMessage="1" errorTitle="Nome incorreto" error="Digite o nome do piloto corretamente ou selecione na lista" promptTitle="Nome" prompt="Digite o nome do piloto ou selecione na lista" sqref="C303:C328 C275:C300 C577:C602 C549:C574 C521:C546 C493:C518 C440:C465 C412:C437 C384:C409 C331:C356 C223:C244 C247:C272 C194:C219 C141:C166 C113:C138 C85:C110 C57:C82 C658:C683 C686:C711 C714:C739 C742:C767 C770:C795 C798:C823 C630:C655 C170:C191 C33:C54 C469:C490 C606:C627 C360:C381 C4:C29" xr:uid="{00000000-0002-0000-0400-000000000000}">
      <formula1>$K$2:$K$27</formula1>
    </dataValidation>
  </dataValidations>
  <printOptions horizontalCentered="1"/>
  <pageMargins left="0.38" right="0.36" top="0.83" bottom="0.97" header="0.37" footer="0.57999999999999996"/>
  <pageSetup paperSize="9" orientation="portrait" verticalDpi="300" r:id="rId1"/>
  <headerFooter alignWithMargins="0">
    <oddHeader>&amp;C&amp;"Arial,Bold"&amp;12RACE BY RACE POSITION</oddHeader>
    <oddFooter>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5">
    <tabColor theme="8" tint="-0.249977111117893"/>
  </sheetPr>
  <dimension ref="B1:K30"/>
  <sheetViews>
    <sheetView showGridLines="0" showRowColHeaders="0" workbookViewId="0">
      <selection activeCell="C3" sqref="C3"/>
    </sheetView>
  </sheetViews>
  <sheetFormatPr defaultRowHeight="12.75" x14ac:dyDescent="0.2"/>
  <cols>
    <col min="1" max="1" width="4.7109375" style="46" customWidth="1"/>
    <col min="2" max="2" width="4.28515625" style="46" bestFit="1" customWidth="1"/>
    <col min="3" max="3" width="23.140625" style="46" bestFit="1" customWidth="1"/>
    <col min="4" max="4" width="4.28515625" style="46" customWidth="1"/>
    <col min="5" max="5" width="15.42578125" style="47" customWidth="1"/>
    <col min="6" max="6" width="19.7109375" style="47" customWidth="1"/>
    <col min="7" max="7" width="4.7109375" style="46" customWidth="1"/>
    <col min="8" max="8" width="6" style="46" customWidth="1"/>
    <col min="9" max="9" width="22.42578125" style="46" bestFit="1" customWidth="1"/>
    <col min="10" max="10" width="15.42578125" style="46" customWidth="1"/>
    <col min="11" max="11" width="19.7109375" style="46" customWidth="1"/>
    <col min="12" max="16384" width="9.140625" style="46"/>
  </cols>
  <sheetData>
    <row r="1" spans="2:11" ht="13.5" thickBot="1" x14ac:dyDescent="0.25"/>
    <row r="2" spans="2:11" s="49" customFormat="1" ht="21" customHeight="1" x14ac:dyDescent="0.2">
      <c r="B2" s="54" t="s">
        <v>10</v>
      </c>
      <c r="C2" s="55" t="s">
        <v>15</v>
      </c>
      <c r="D2" s="55" t="s">
        <v>251</v>
      </c>
      <c r="E2" s="55" t="s">
        <v>16</v>
      </c>
      <c r="F2" s="56" t="s">
        <v>17</v>
      </c>
      <c r="G2" s="48"/>
      <c r="H2" s="54" t="s">
        <v>10</v>
      </c>
      <c r="I2" s="55" t="s">
        <v>17</v>
      </c>
      <c r="J2" s="55" t="s">
        <v>16</v>
      </c>
      <c r="K2" s="56" t="s">
        <v>236</v>
      </c>
    </row>
    <row r="3" spans="2:11" ht="13.5" customHeight="1" x14ac:dyDescent="0.2">
      <c r="B3" s="57">
        <f>IF(C3&lt;&gt;"",1,"")</f>
        <v>1</v>
      </c>
      <c r="C3" s="63" t="s">
        <v>310</v>
      </c>
      <c r="D3" s="60">
        <v>1</v>
      </c>
      <c r="E3" s="59" t="s">
        <v>20</v>
      </c>
      <c r="F3" s="51" t="s">
        <v>19</v>
      </c>
      <c r="H3" s="57">
        <f>IF(I3&lt;&gt;"",1,"")</f>
        <v>1</v>
      </c>
      <c r="I3" s="64" t="s">
        <v>19</v>
      </c>
      <c r="J3" s="50" t="s">
        <v>20</v>
      </c>
      <c r="K3" s="51" t="s">
        <v>237</v>
      </c>
    </row>
    <row r="4" spans="2:11" ht="13.5" customHeight="1" x14ac:dyDescent="0.2">
      <c r="B4" s="57">
        <f t="shared" ref="B4:B30" si="0">IF(C4&lt;&gt;"",B3+1,"")</f>
        <v>2</v>
      </c>
      <c r="C4" s="63" t="s">
        <v>323</v>
      </c>
      <c r="D4" s="60">
        <v>81</v>
      </c>
      <c r="E4" s="59" t="s">
        <v>189</v>
      </c>
      <c r="F4" s="51" t="s">
        <v>19</v>
      </c>
      <c r="H4" s="57">
        <f>IF(I4&lt;&gt;"",H3+1,"")</f>
        <v>2</v>
      </c>
      <c r="I4" s="64" t="s">
        <v>237</v>
      </c>
      <c r="J4" s="50" t="s">
        <v>21</v>
      </c>
      <c r="K4" s="51" t="s">
        <v>237</v>
      </c>
    </row>
    <row r="5" spans="2:11" ht="13.5" customHeight="1" x14ac:dyDescent="0.2">
      <c r="B5" s="57">
        <f t="shared" si="0"/>
        <v>3</v>
      </c>
      <c r="C5" s="63" t="s">
        <v>353</v>
      </c>
      <c r="D5" s="60">
        <v>63</v>
      </c>
      <c r="E5" s="59" t="s">
        <v>20</v>
      </c>
      <c r="F5" s="51" t="s">
        <v>237</v>
      </c>
      <c r="H5" s="57">
        <f t="shared" ref="H5:H15" si="1">IF(I5&lt;&gt;"",H4+1,"")</f>
        <v>3</v>
      </c>
      <c r="I5" s="64" t="s">
        <v>11</v>
      </c>
      <c r="J5" s="50" t="s">
        <v>235</v>
      </c>
      <c r="K5" s="51" t="s">
        <v>426</v>
      </c>
    </row>
    <row r="6" spans="2:11" ht="13.5" customHeight="1" x14ac:dyDescent="0.2">
      <c r="B6" s="57">
        <f t="shared" si="0"/>
        <v>4</v>
      </c>
      <c r="C6" s="63" t="s">
        <v>324</v>
      </c>
      <c r="D6" s="60">
        <v>12</v>
      </c>
      <c r="E6" s="59" t="s">
        <v>188</v>
      </c>
      <c r="F6" s="51" t="s">
        <v>237</v>
      </c>
      <c r="H6" s="57">
        <f t="shared" si="1"/>
        <v>4</v>
      </c>
      <c r="I6" s="64" t="s">
        <v>0</v>
      </c>
      <c r="J6" s="50" t="s">
        <v>188</v>
      </c>
      <c r="K6" s="51" t="s">
        <v>0</v>
      </c>
    </row>
    <row r="7" spans="2:11" ht="13.5" customHeight="1" x14ac:dyDescent="0.2">
      <c r="B7" s="57">
        <f t="shared" si="0"/>
        <v>5</v>
      </c>
      <c r="C7" s="63" t="s">
        <v>299</v>
      </c>
      <c r="D7" s="60">
        <v>3</v>
      </c>
      <c r="E7" s="59" t="s">
        <v>300</v>
      </c>
      <c r="F7" s="51" t="s">
        <v>11</v>
      </c>
      <c r="H7" s="57">
        <f>IF(I7&lt;&gt;"",H6+1,"")</f>
        <v>5</v>
      </c>
      <c r="I7" s="64" t="s">
        <v>12</v>
      </c>
      <c r="J7" s="50" t="s">
        <v>20</v>
      </c>
      <c r="K7" s="51" t="s">
        <v>237</v>
      </c>
    </row>
    <row r="8" spans="2:11" ht="13.5" customHeight="1" x14ac:dyDescent="0.2">
      <c r="B8" s="57">
        <f t="shared" si="0"/>
        <v>6</v>
      </c>
      <c r="C8" s="63" t="s">
        <v>406</v>
      </c>
      <c r="D8" s="60">
        <v>6</v>
      </c>
      <c r="E8" s="59" t="s">
        <v>250</v>
      </c>
      <c r="F8" s="51" t="s">
        <v>11</v>
      </c>
      <c r="H8" s="57">
        <f t="shared" si="1"/>
        <v>6</v>
      </c>
      <c r="I8" s="64" t="s">
        <v>320</v>
      </c>
      <c r="J8" s="50" t="s">
        <v>188</v>
      </c>
      <c r="K8" s="51" t="s">
        <v>426</v>
      </c>
    </row>
    <row r="9" spans="2:11" ht="13.5" customHeight="1" x14ac:dyDescent="0.2">
      <c r="B9" s="57">
        <f t="shared" si="0"/>
        <v>7</v>
      </c>
      <c r="C9" s="63" t="s">
        <v>307</v>
      </c>
      <c r="D9" s="60">
        <v>16</v>
      </c>
      <c r="E9" s="59" t="s">
        <v>308</v>
      </c>
      <c r="F9" s="51" t="s">
        <v>0</v>
      </c>
      <c r="H9" s="57">
        <f>IF(I9&lt;&gt;"",H8+1,"")</f>
        <v>7</v>
      </c>
      <c r="I9" s="64" t="s">
        <v>304</v>
      </c>
      <c r="J9" s="50" t="s">
        <v>301</v>
      </c>
      <c r="K9" s="51" t="s">
        <v>0</v>
      </c>
    </row>
    <row r="10" spans="2:11" ht="13.5" customHeight="1" x14ac:dyDescent="0.2">
      <c r="B10" s="57">
        <f t="shared" si="0"/>
        <v>8</v>
      </c>
      <c r="C10" s="63" t="s">
        <v>1</v>
      </c>
      <c r="D10" s="60">
        <v>44</v>
      </c>
      <c r="E10" s="59" t="s">
        <v>20</v>
      </c>
      <c r="F10" s="51" t="s">
        <v>0</v>
      </c>
      <c r="H10" s="57">
        <f t="shared" si="1"/>
        <v>8</v>
      </c>
      <c r="I10" s="64" t="s">
        <v>322</v>
      </c>
      <c r="J10" s="50" t="s">
        <v>20</v>
      </c>
      <c r="K10" s="51" t="s">
        <v>425</v>
      </c>
    </row>
    <row r="11" spans="2:11" ht="13.5" customHeight="1" x14ac:dyDescent="0.2">
      <c r="B11" s="57">
        <f t="shared" si="0"/>
        <v>9</v>
      </c>
      <c r="C11" s="63" t="s">
        <v>309</v>
      </c>
      <c r="D11" s="60">
        <v>23</v>
      </c>
      <c r="E11" s="59" t="s">
        <v>327</v>
      </c>
      <c r="F11" s="51" t="s">
        <v>12</v>
      </c>
      <c r="H11" s="57">
        <f t="shared" si="1"/>
        <v>9</v>
      </c>
      <c r="I11" s="64" t="s">
        <v>399</v>
      </c>
      <c r="J11" s="50" t="s">
        <v>21</v>
      </c>
      <c r="K11" s="51" t="s">
        <v>399</v>
      </c>
    </row>
    <row r="12" spans="2:11" ht="13.5" customHeight="1" x14ac:dyDescent="0.2">
      <c r="B12" s="57">
        <f t="shared" si="0"/>
        <v>10</v>
      </c>
      <c r="C12" s="63" t="s">
        <v>328</v>
      </c>
      <c r="D12" s="60">
        <v>55</v>
      </c>
      <c r="E12" s="59" t="s">
        <v>22</v>
      </c>
      <c r="F12" s="51" t="s">
        <v>12</v>
      </c>
      <c r="H12" s="57">
        <f t="shared" si="1"/>
        <v>10</v>
      </c>
      <c r="I12" s="64" t="s">
        <v>321</v>
      </c>
      <c r="J12" s="50" t="s">
        <v>250</v>
      </c>
      <c r="K12" s="51" t="s">
        <v>2</v>
      </c>
    </row>
    <row r="13" spans="2:11" ht="13.5" customHeight="1" x14ac:dyDescent="0.2">
      <c r="B13" s="57">
        <f t="shared" si="0"/>
        <v>11</v>
      </c>
      <c r="C13" s="63" t="s">
        <v>408</v>
      </c>
      <c r="D13" s="60">
        <v>30</v>
      </c>
      <c r="E13" s="59" t="s">
        <v>189</v>
      </c>
      <c r="F13" s="51" t="s">
        <v>320</v>
      </c>
      <c r="H13" s="57">
        <f t="shared" si="1"/>
        <v>11</v>
      </c>
      <c r="I13" s="64" t="s">
        <v>394</v>
      </c>
      <c r="J13" s="50" t="s">
        <v>395</v>
      </c>
      <c r="K13" s="51" t="s">
        <v>0</v>
      </c>
    </row>
    <row r="14" spans="2:11" ht="13.5" customHeight="1" x14ac:dyDescent="0.2">
      <c r="B14" s="57">
        <f t="shared" si="0"/>
        <v>12</v>
      </c>
      <c r="C14" s="63" t="s">
        <v>407</v>
      </c>
      <c r="D14" s="60">
        <v>41</v>
      </c>
      <c r="E14" s="59" t="s">
        <v>20</v>
      </c>
      <c r="F14" s="51" t="s">
        <v>320</v>
      </c>
      <c r="H14" s="57" t="str">
        <f t="shared" si="1"/>
        <v/>
      </c>
      <c r="I14" s="64"/>
      <c r="J14" s="50"/>
      <c r="K14" s="51"/>
    </row>
    <row r="15" spans="2:11" ht="13.5" customHeight="1" thickBot="1" x14ac:dyDescent="0.25">
      <c r="B15" s="57">
        <f t="shared" si="0"/>
        <v>13</v>
      </c>
      <c r="C15" s="63" t="s">
        <v>313</v>
      </c>
      <c r="D15" s="60">
        <v>31</v>
      </c>
      <c r="E15" s="59" t="s">
        <v>250</v>
      </c>
      <c r="F15" s="51" t="s">
        <v>304</v>
      </c>
      <c r="H15" s="58" t="str">
        <f t="shared" si="1"/>
        <v/>
      </c>
      <c r="I15" s="65"/>
      <c r="J15" s="52"/>
      <c r="K15" s="53"/>
    </row>
    <row r="16" spans="2:11" ht="13.5" customHeight="1" x14ac:dyDescent="0.2">
      <c r="B16" s="57">
        <f t="shared" si="0"/>
        <v>14</v>
      </c>
      <c r="C16" s="63" t="s">
        <v>325</v>
      </c>
      <c r="D16" s="60">
        <v>87</v>
      </c>
      <c r="E16" s="59" t="s">
        <v>20</v>
      </c>
      <c r="F16" s="51" t="s">
        <v>304</v>
      </c>
    </row>
    <row r="17" spans="2:6" ht="13.5" customHeight="1" x14ac:dyDescent="0.2">
      <c r="B17" s="57">
        <f t="shared" si="0"/>
        <v>15</v>
      </c>
      <c r="C17" s="63" t="s">
        <v>305</v>
      </c>
      <c r="D17" s="60">
        <v>18</v>
      </c>
      <c r="E17" s="59" t="s">
        <v>190</v>
      </c>
      <c r="F17" s="51" t="s">
        <v>322</v>
      </c>
    </row>
    <row r="18" spans="2:6" ht="13.5" customHeight="1" x14ac:dyDescent="0.2">
      <c r="B18" s="57">
        <f t="shared" si="0"/>
        <v>16</v>
      </c>
      <c r="C18" s="63" t="s">
        <v>30</v>
      </c>
      <c r="D18" s="60">
        <v>14</v>
      </c>
      <c r="E18" s="59" t="s">
        <v>22</v>
      </c>
      <c r="F18" s="51" t="s">
        <v>322</v>
      </c>
    </row>
    <row r="19" spans="2:6" ht="13.5" customHeight="1" x14ac:dyDescent="0.2">
      <c r="B19" s="57">
        <f t="shared" si="0"/>
        <v>17</v>
      </c>
      <c r="C19" s="63" t="s">
        <v>252</v>
      </c>
      <c r="D19" s="60">
        <v>27</v>
      </c>
      <c r="E19" s="59" t="s">
        <v>21</v>
      </c>
      <c r="F19" s="51" t="s">
        <v>399</v>
      </c>
    </row>
    <row r="20" spans="2:6" ht="13.5" customHeight="1" x14ac:dyDescent="0.2">
      <c r="B20" s="57">
        <f t="shared" si="0"/>
        <v>18</v>
      </c>
      <c r="C20" s="63" t="s">
        <v>329</v>
      </c>
      <c r="D20" s="60">
        <v>5</v>
      </c>
      <c r="E20" s="59" t="s">
        <v>314</v>
      </c>
      <c r="F20" s="51" t="s">
        <v>399</v>
      </c>
    </row>
    <row r="21" spans="2:6" ht="13.5" customHeight="1" x14ac:dyDescent="0.2">
      <c r="B21" s="57">
        <f t="shared" si="0"/>
        <v>19</v>
      </c>
      <c r="C21" s="63" t="s">
        <v>306</v>
      </c>
      <c r="D21" s="60">
        <v>10</v>
      </c>
      <c r="E21" s="59" t="s">
        <v>250</v>
      </c>
      <c r="F21" s="51" t="s">
        <v>321</v>
      </c>
    </row>
    <row r="22" spans="2:6" ht="13.5" customHeight="1" x14ac:dyDescent="0.2">
      <c r="B22" s="57">
        <f t="shared" si="0"/>
        <v>20</v>
      </c>
      <c r="C22" s="63" t="s">
        <v>412</v>
      </c>
      <c r="D22" s="60">
        <v>43</v>
      </c>
      <c r="E22" s="59" t="s">
        <v>413</v>
      </c>
      <c r="F22" s="51" t="s">
        <v>321</v>
      </c>
    </row>
    <row r="23" spans="2:6" ht="13.5" customHeight="1" x14ac:dyDescent="0.2">
      <c r="B23" s="57">
        <f t="shared" si="0"/>
        <v>21</v>
      </c>
      <c r="C23" s="63" t="s">
        <v>396</v>
      </c>
      <c r="D23" s="60">
        <v>11</v>
      </c>
      <c r="E23" s="59" t="s">
        <v>295</v>
      </c>
      <c r="F23" s="51" t="s">
        <v>394</v>
      </c>
    </row>
    <row r="24" spans="2:6" ht="13.5" customHeight="1" x14ac:dyDescent="0.2">
      <c r="B24" s="57">
        <f t="shared" si="0"/>
        <v>22</v>
      </c>
      <c r="C24" s="63" t="s">
        <v>397</v>
      </c>
      <c r="D24" s="60">
        <v>77</v>
      </c>
      <c r="E24" s="59" t="s">
        <v>398</v>
      </c>
      <c r="F24" s="51" t="s">
        <v>394</v>
      </c>
    </row>
    <row r="25" spans="2:6" ht="13.5" customHeight="1" x14ac:dyDescent="0.2">
      <c r="B25" s="57">
        <f t="shared" si="0"/>
        <v>23</v>
      </c>
      <c r="C25" s="63" t="s">
        <v>435</v>
      </c>
      <c r="D25" s="60">
        <v>22</v>
      </c>
      <c r="E25" s="59" t="s">
        <v>326</v>
      </c>
      <c r="F25" s="51" t="s">
        <v>320</v>
      </c>
    </row>
    <row r="26" spans="2:6" ht="13.5" customHeight="1" x14ac:dyDescent="0.2">
      <c r="B26" s="57" t="str">
        <f t="shared" si="0"/>
        <v/>
      </c>
      <c r="C26" s="63"/>
      <c r="D26" s="60"/>
      <c r="E26" s="59"/>
      <c r="F26" s="51"/>
    </row>
    <row r="27" spans="2:6" ht="13.5" customHeight="1" x14ac:dyDescent="0.2">
      <c r="B27" s="57" t="str">
        <f t="shared" si="0"/>
        <v/>
      </c>
      <c r="C27" s="63"/>
      <c r="D27" s="60"/>
      <c r="E27" s="59"/>
      <c r="F27" s="51"/>
    </row>
    <row r="28" spans="2:6" ht="13.5" customHeight="1" x14ac:dyDescent="0.2">
      <c r="B28" s="57" t="str">
        <f t="shared" si="0"/>
        <v/>
      </c>
      <c r="C28" s="64"/>
      <c r="D28" s="61"/>
      <c r="E28" s="50"/>
      <c r="F28" s="51"/>
    </row>
    <row r="29" spans="2:6" ht="13.5" customHeight="1" x14ac:dyDescent="0.2">
      <c r="B29" s="57" t="str">
        <f t="shared" si="0"/>
        <v/>
      </c>
      <c r="C29" s="64"/>
      <c r="D29" s="61"/>
      <c r="E29" s="50"/>
      <c r="F29" s="51"/>
    </row>
    <row r="30" spans="2:6" ht="13.5" customHeight="1" thickBot="1" x14ac:dyDescent="0.25">
      <c r="B30" s="58" t="str">
        <f t="shared" si="0"/>
        <v/>
      </c>
      <c r="C30" s="65"/>
      <c r="D30" s="62"/>
      <c r="E30" s="52"/>
      <c r="F30" s="53"/>
    </row>
  </sheetData>
  <sheetProtection algorithmName="SHA-512" hashValue="SBTvIMLa7udsB7bGysylEucgBE23Ld+CjTw7ISYosOe345rHi82f9TgYCDJ/Br9RvZwrSJLdX+pIODai8j1wPw==" saltValue="jv21hQewwN/6/BdSJbF9xw==" spinCount="100000" sheet="1" selectLockedCells="1"/>
  <sortState xmlns:xlrd2="http://schemas.microsoft.com/office/spreadsheetml/2017/richdata2" ref="C3:D24">
    <sortCondition ref="D3"/>
  </sortState>
  <phoneticPr fontId="1" type="noConversion"/>
  <dataValidations count="1">
    <dataValidation type="list" allowBlank="1" showInputMessage="1" showErrorMessage="1" sqref="F3:F30" xr:uid="{00000000-0002-0000-0500-000000000000}">
      <formula1>$I$3:$I$15</formula1>
    </dataValidation>
  </dataValidations>
  <printOptions horizontalCentered="1"/>
  <pageMargins left="0.78740157499999996" right="0.78740157499999996" top="0.984251969" bottom="0.984251969" header="0.5" footer="0.5"/>
  <pageSetup paperSize="9" orientation="portrait" horizontalDpi="300" verticalDpi="3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6">
    <tabColor theme="8" tint="-0.499984740745262"/>
  </sheetPr>
  <dimension ref="B1:H97"/>
  <sheetViews>
    <sheetView showGridLines="0" showRowColHeaders="0" workbookViewId="0"/>
  </sheetViews>
  <sheetFormatPr defaultRowHeight="11.25" x14ac:dyDescent="0.2"/>
  <cols>
    <col min="1" max="1" width="6.7109375" style="38" customWidth="1"/>
    <col min="2" max="2" width="9.140625" style="38"/>
    <col min="3" max="3" width="3.7109375" style="39" customWidth="1"/>
    <col min="4" max="4" width="33.28515625" style="38" customWidth="1"/>
    <col min="5" max="5" width="3.7109375" style="39" customWidth="1"/>
    <col min="6" max="6" width="39.5703125" style="38" customWidth="1"/>
    <col min="7" max="7" width="9.140625" style="38"/>
    <col min="8" max="8" width="9.140625" style="40"/>
    <col min="9" max="16384" width="9.140625" style="38"/>
  </cols>
  <sheetData>
    <row r="1" spans="2:6" ht="12.75" customHeight="1" x14ac:dyDescent="0.2"/>
    <row r="2" spans="2:6" s="41" customFormat="1" ht="15" customHeight="1" x14ac:dyDescent="0.2">
      <c r="B2" s="45" t="s">
        <v>150</v>
      </c>
      <c r="C2" s="17"/>
      <c r="D2" s="45" t="s">
        <v>29</v>
      </c>
      <c r="E2" s="16"/>
      <c r="F2" s="45" t="s">
        <v>233</v>
      </c>
    </row>
    <row r="3" spans="2:6" s="41" customFormat="1" ht="15" customHeight="1" x14ac:dyDescent="0.2">
      <c r="B3" s="44">
        <v>2026</v>
      </c>
      <c r="C3" s="17"/>
      <c r="D3" s="43"/>
      <c r="E3" s="16"/>
      <c r="F3" s="27"/>
    </row>
    <row r="4" spans="2:6" s="41" customFormat="1" ht="15" customHeight="1" x14ac:dyDescent="0.2">
      <c r="B4" s="44">
        <v>2025</v>
      </c>
      <c r="C4" s="17"/>
      <c r="D4" s="43" t="s">
        <v>409</v>
      </c>
      <c r="E4" s="16"/>
      <c r="F4" s="27" t="s">
        <v>316</v>
      </c>
    </row>
    <row r="5" spans="2:6" s="41" customFormat="1" ht="15" customHeight="1" x14ac:dyDescent="0.2">
      <c r="B5" s="44">
        <v>2024</v>
      </c>
      <c r="C5" s="17"/>
      <c r="D5" s="43" t="s">
        <v>315</v>
      </c>
      <c r="E5" s="16"/>
      <c r="F5" s="27" t="s">
        <v>316</v>
      </c>
    </row>
    <row r="6" spans="2:6" s="41" customFormat="1" ht="15" customHeight="1" x14ac:dyDescent="0.2">
      <c r="B6" s="44">
        <v>2023</v>
      </c>
      <c r="C6" s="17"/>
      <c r="D6" s="43" t="s">
        <v>315</v>
      </c>
      <c r="E6" s="16"/>
      <c r="F6" s="27" t="s">
        <v>238</v>
      </c>
    </row>
    <row r="7" spans="2:6" s="41" customFormat="1" ht="15" customHeight="1" x14ac:dyDescent="0.2">
      <c r="B7" s="44">
        <v>2022</v>
      </c>
      <c r="C7" s="17"/>
      <c r="D7" s="43" t="s">
        <v>315</v>
      </c>
      <c r="E7" s="16"/>
      <c r="F7" s="27" t="s">
        <v>238</v>
      </c>
    </row>
    <row r="8" spans="2:6" s="41" customFormat="1" ht="15" customHeight="1" x14ac:dyDescent="0.2">
      <c r="B8" s="44">
        <v>2021</v>
      </c>
      <c r="C8" s="17"/>
      <c r="D8" s="43" t="s">
        <v>315</v>
      </c>
      <c r="E8" s="16"/>
      <c r="F8" s="27" t="s">
        <v>297</v>
      </c>
    </row>
    <row r="9" spans="2:6" s="41" customFormat="1" ht="15" customHeight="1" x14ac:dyDescent="0.2">
      <c r="B9" s="44">
        <v>2020</v>
      </c>
      <c r="C9" s="17"/>
      <c r="D9" s="43" t="s">
        <v>298</v>
      </c>
      <c r="E9" s="16"/>
      <c r="F9" s="27" t="s">
        <v>297</v>
      </c>
    </row>
    <row r="10" spans="2:6" s="41" customFormat="1" ht="15" customHeight="1" x14ac:dyDescent="0.2">
      <c r="B10" s="44">
        <v>2019</v>
      </c>
      <c r="C10" s="17"/>
      <c r="D10" s="43" t="s">
        <v>298</v>
      </c>
      <c r="E10" s="16"/>
      <c r="F10" s="27" t="s">
        <v>297</v>
      </c>
    </row>
    <row r="11" spans="2:6" s="41" customFormat="1" ht="15" customHeight="1" x14ac:dyDescent="0.2">
      <c r="B11" s="44">
        <v>2018</v>
      </c>
      <c r="C11" s="17"/>
      <c r="D11" s="43" t="s">
        <v>298</v>
      </c>
      <c r="E11" s="16"/>
      <c r="F11" s="27" t="s">
        <v>297</v>
      </c>
    </row>
    <row r="12" spans="2:6" s="41" customFormat="1" ht="15" customHeight="1" x14ac:dyDescent="0.2">
      <c r="B12" s="44">
        <v>2017</v>
      </c>
      <c r="C12" s="17"/>
      <c r="D12" s="43" t="s">
        <v>298</v>
      </c>
      <c r="E12" s="16"/>
      <c r="F12" s="27" t="s">
        <v>297</v>
      </c>
    </row>
    <row r="13" spans="2:6" s="41" customFormat="1" ht="15" customHeight="1" x14ac:dyDescent="0.2">
      <c r="B13" s="44">
        <v>2016</v>
      </c>
      <c r="C13" s="17"/>
      <c r="D13" s="43" t="s">
        <v>302</v>
      </c>
      <c r="E13" s="16"/>
      <c r="F13" s="27" t="s">
        <v>297</v>
      </c>
    </row>
    <row r="14" spans="2:6" ht="15.75" customHeight="1" x14ac:dyDescent="0.2">
      <c r="B14" s="44">
        <v>2015</v>
      </c>
      <c r="C14" s="17"/>
      <c r="D14" s="43" t="s">
        <v>298</v>
      </c>
      <c r="E14" s="16"/>
      <c r="F14" s="27" t="s">
        <v>297</v>
      </c>
    </row>
    <row r="15" spans="2:6" ht="15.75" customHeight="1" x14ac:dyDescent="0.2">
      <c r="B15" s="44">
        <v>2014</v>
      </c>
      <c r="C15" s="17"/>
      <c r="D15" s="43" t="s">
        <v>298</v>
      </c>
      <c r="E15" s="16"/>
      <c r="F15" s="27" t="s">
        <v>297</v>
      </c>
    </row>
    <row r="16" spans="2:6" ht="15.75" customHeight="1" x14ac:dyDescent="0.2">
      <c r="B16" s="44">
        <v>2013</v>
      </c>
      <c r="C16" s="17"/>
      <c r="D16" s="43" t="s">
        <v>240</v>
      </c>
      <c r="E16" s="16"/>
      <c r="F16" s="27" t="s">
        <v>238</v>
      </c>
    </row>
    <row r="17" spans="2:6" ht="15.75" customHeight="1" x14ac:dyDescent="0.2">
      <c r="B17" s="44">
        <v>2012</v>
      </c>
      <c r="C17" s="17"/>
      <c r="D17" s="43" t="s">
        <v>240</v>
      </c>
      <c r="E17" s="16"/>
      <c r="F17" s="27" t="s">
        <v>238</v>
      </c>
    </row>
    <row r="18" spans="2:6" ht="15.75" customHeight="1" x14ac:dyDescent="0.2">
      <c r="B18" s="44">
        <v>2011</v>
      </c>
      <c r="C18" s="17"/>
      <c r="D18" s="43" t="s">
        <v>240</v>
      </c>
      <c r="E18" s="16"/>
      <c r="F18" s="27" t="s">
        <v>238</v>
      </c>
    </row>
    <row r="19" spans="2:6" ht="15.75" customHeight="1" x14ac:dyDescent="0.2">
      <c r="B19" s="44" t="s">
        <v>153</v>
      </c>
      <c r="C19" s="17"/>
      <c r="D19" s="43" t="s">
        <v>240</v>
      </c>
      <c r="E19" s="16"/>
      <c r="F19" s="27" t="s">
        <v>238</v>
      </c>
    </row>
    <row r="20" spans="2:6" ht="15.75" customHeight="1" x14ac:dyDescent="0.2">
      <c r="B20" s="44" t="s">
        <v>151</v>
      </c>
      <c r="C20" s="16"/>
      <c r="D20" s="43" t="s">
        <v>239</v>
      </c>
      <c r="E20" s="16"/>
      <c r="F20" s="27" t="s">
        <v>152</v>
      </c>
    </row>
    <row r="21" spans="2:6" ht="15.75" customHeight="1" x14ac:dyDescent="0.2">
      <c r="B21" s="44" t="s">
        <v>31</v>
      </c>
      <c r="C21" s="16"/>
      <c r="D21" s="43" t="s">
        <v>32</v>
      </c>
      <c r="E21" s="16"/>
      <c r="F21" s="27" t="s">
        <v>33</v>
      </c>
    </row>
    <row r="22" spans="2:6" ht="15.75" customHeight="1" x14ac:dyDescent="0.2">
      <c r="B22" s="44" t="s">
        <v>34</v>
      </c>
      <c r="C22" s="16"/>
      <c r="D22" s="43" t="s">
        <v>35</v>
      </c>
      <c r="E22" s="16"/>
      <c r="F22" s="27" t="s">
        <v>33</v>
      </c>
    </row>
    <row r="23" spans="2:6" ht="15.75" customHeight="1" x14ac:dyDescent="0.2">
      <c r="B23" s="44" t="s">
        <v>36</v>
      </c>
      <c r="C23" s="16"/>
      <c r="D23" s="43" t="s">
        <v>37</v>
      </c>
      <c r="E23" s="16"/>
      <c r="F23" s="27" t="s">
        <v>38</v>
      </c>
    </row>
    <row r="24" spans="2:6" ht="15.75" customHeight="1" x14ac:dyDescent="0.2">
      <c r="B24" s="44" t="s">
        <v>39</v>
      </c>
      <c r="C24" s="16"/>
      <c r="D24" s="43" t="s">
        <v>37</v>
      </c>
      <c r="E24" s="16"/>
      <c r="F24" s="27" t="s">
        <v>38</v>
      </c>
    </row>
    <row r="25" spans="2:6" ht="15.75" customHeight="1" x14ac:dyDescent="0.2">
      <c r="B25" s="44" t="s">
        <v>40</v>
      </c>
      <c r="C25" s="16"/>
      <c r="D25" s="43" t="s">
        <v>41</v>
      </c>
      <c r="E25" s="16"/>
      <c r="F25" s="27" t="s">
        <v>33</v>
      </c>
    </row>
    <row r="26" spans="2:6" ht="15.75" customHeight="1" x14ac:dyDescent="0.2">
      <c r="B26" s="44" t="s">
        <v>42</v>
      </c>
      <c r="C26" s="16"/>
      <c r="D26" s="43" t="s">
        <v>41</v>
      </c>
      <c r="E26" s="16"/>
      <c r="F26" s="27" t="s">
        <v>33</v>
      </c>
    </row>
    <row r="27" spans="2:6" ht="15.75" customHeight="1" x14ac:dyDescent="0.2">
      <c r="B27" s="44" t="s">
        <v>43</v>
      </c>
      <c r="C27" s="16"/>
      <c r="D27" s="43" t="s">
        <v>41</v>
      </c>
      <c r="E27" s="16"/>
      <c r="F27" s="27" t="s">
        <v>33</v>
      </c>
    </row>
    <row r="28" spans="2:6" ht="15.75" customHeight="1" x14ac:dyDescent="0.2">
      <c r="B28" s="44" t="s">
        <v>44</v>
      </c>
      <c r="C28" s="16"/>
      <c r="D28" s="43" t="s">
        <v>41</v>
      </c>
      <c r="E28" s="16"/>
      <c r="F28" s="27" t="s">
        <v>33</v>
      </c>
    </row>
    <row r="29" spans="2:6" ht="15.75" customHeight="1" x14ac:dyDescent="0.2">
      <c r="B29" s="44" t="s">
        <v>45</v>
      </c>
      <c r="C29" s="16"/>
      <c r="D29" s="43" t="s">
        <v>41</v>
      </c>
      <c r="E29" s="16"/>
      <c r="F29" s="27" t="s">
        <v>33</v>
      </c>
    </row>
    <row r="30" spans="2:6" ht="15.75" customHeight="1" x14ac:dyDescent="0.2">
      <c r="B30" s="44" t="s">
        <v>46</v>
      </c>
      <c r="C30" s="16"/>
      <c r="D30" s="43" t="s">
        <v>47</v>
      </c>
      <c r="E30" s="16"/>
      <c r="F30" s="27" t="s">
        <v>33</v>
      </c>
    </row>
    <row r="31" spans="2:6" ht="15.75" customHeight="1" x14ac:dyDescent="0.2">
      <c r="B31" s="44" t="s">
        <v>48</v>
      </c>
      <c r="C31" s="16"/>
      <c r="D31" s="43" t="s">
        <v>47</v>
      </c>
      <c r="E31" s="16"/>
      <c r="F31" s="27" t="s">
        <v>49</v>
      </c>
    </row>
    <row r="32" spans="2:6" ht="15.75" customHeight="1" x14ac:dyDescent="0.2">
      <c r="B32" s="44" t="s">
        <v>50</v>
      </c>
      <c r="C32" s="16"/>
      <c r="D32" s="43" t="s">
        <v>51</v>
      </c>
      <c r="E32" s="16"/>
      <c r="F32" s="27" t="s">
        <v>52</v>
      </c>
    </row>
    <row r="33" spans="2:8" ht="15.75" customHeight="1" x14ac:dyDescent="0.2">
      <c r="B33" s="44" t="s">
        <v>53</v>
      </c>
      <c r="C33" s="16"/>
      <c r="D33" s="43" t="s">
        <v>54</v>
      </c>
      <c r="E33" s="16"/>
      <c r="F33" s="27" t="s">
        <v>52</v>
      </c>
    </row>
    <row r="34" spans="2:8" ht="15.75" customHeight="1" x14ac:dyDescent="0.2">
      <c r="B34" s="44" t="s">
        <v>55</v>
      </c>
      <c r="C34" s="16"/>
      <c r="D34" s="43" t="s">
        <v>56</v>
      </c>
      <c r="E34" s="16"/>
      <c r="F34" s="27" t="s">
        <v>57</v>
      </c>
    </row>
    <row r="35" spans="2:8" ht="15.75" customHeight="1" x14ac:dyDescent="0.2">
      <c r="B35" s="44" t="s">
        <v>58</v>
      </c>
      <c r="C35" s="16"/>
      <c r="D35" s="43" t="s">
        <v>56</v>
      </c>
      <c r="E35" s="16"/>
      <c r="F35" s="27" t="s">
        <v>52</v>
      </c>
    </row>
    <row r="36" spans="2:8" ht="15.75" customHeight="1" x14ac:dyDescent="0.2">
      <c r="B36" s="44" t="s">
        <v>59</v>
      </c>
      <c r="C36" s="16"/>
      <c r="D36" s="43" t="s">
        <v>60</v>
      </c>
      <c r="E36" s="16"/>
      <c r="F36" s="27" t="s">
        <v>52</v>
      </c>
    </row>
    <row r="37" spans="2:8" ht="15.75" customHeight="1" x14ac:dyDescent="0.2">
      <c r="B37" s="44" t="s">
        <v>61</v>
      </c>
      <c r="C37" s="16"/>
      <c r="D37" s="43" t="s">
        <v>62</v>
      </c>
      <c r="E37" s="16"/>
      <c r="F37" s="27" t="s">
        <v>52</v>
      </c>
    </row>
    <row r="38" spans="2:8" ht="15.75" customHeight="1" x14ac:dyDescent="0.2">
      <c r="B38" s="44" t="s">
        <v>63</v>
      </c>
      <c r="C38" s="16"/>
      <c r="D38" s="43" t="s">
        <v>64</v>
      </c>
      <c r="E38" s="16"/>
      <c r="F38" s="27" t="s">
        <v>65</v>
      </c>
    </row>
    <row r="39" spans="2:8" ht="15.75" customHeight="1" x14ac:dyDescent="0.2">
      <c r="B39" s="44" t="s">
        <v>66</v>
      </c>
      <c r="C39" s="16"/>
      <c r="D39" s="43" t="s">
        <v>64</v>
      </c>
      <c r="E39" s="16"/>
      <c r="F39" s="27" t="s">
        <v>65</v>
      </c>
    </row>
    <row r="40" spans="2:8" ht="15.75" customHeight="1" x14ac:dyDescent="0.2">
      <c r="B40" s="44" t="s">
        <v>67</v>
      </c>
      <c r="C40" s="16"/>
      <c r="D40" s="43" t="s">
        <v>68</v>
      </c>
      <c r="E40" s="16"/>
      <c r="F40" s="27" t="s">
        <v>65</v>
      </c>
    </row>
    <row r="41" spans="2:8" ht="15.75" customHeight="1" x14ac:dyDescent="0.2">
      <c r="B41" s="44" t="s">
        <v>69</v>
      </c>
      <c r="C41" s="16"/>
      <c r="D41" s="43" t="s">
        <v>64</v>
      </c>
      <c r="E41" s="16"/>
      <c r="F41" s="27" t="s">
        <v>65</v>
      </c>
    </row>
    <row r="42" spans="2:8" ht="15.75" customHeight="1" x14ac:dyDescent="0.2">
      <c r="B42" s="44" t="s">
        <v>70</v>
      </c>
      <c r="C42" s="16"/>
      <c r="D42" s="43" t="s">
        <v>71</v>
      </c>
      <c r="E42" s="16"/>
      <c r="F42" s="27" t="s">
        <v>72</v>
      </c>
    </row>
    <row r="43" spans="2:8" ht="15.75" customHeight="1" x14ac:dyDescent="0.2">
      <c r="B43" s="44" t="s">
        <v>73</v>
      </c>
      <c r="C43" s="16"/>
      <c r="D43" s="43" t="s">
        <v>68</v>
      </c>
      <c r="E43" s="16"/>
      <c r="F43" s="27" t="s">
        <v>72</v>
      </c>
    </row>
    <row r="44" spans="2:8" ht="15.75" customHeight="1" x14ac:dyDescent="0.2">
      <c r="B44" s="44" t="s">
        <v>74</v>
      </c>
      <c r="C44" s="16"/>
      <c r="D44" s="43" t="s">
        <v>68</v>
      </c>
      <c r="E44" s="16"/>
      <c r="F44" s="27" t="s">
        <v>75</v>
      </c>
      <c r="H44" s="42"/>
    </row>
    <row r="45" spans="2:8" ht="15.75" customHeight="1" x14ac:dyDescent="0.2">
      <c r="B45" s="44" t="s">
        <v>76</v>
      </c>
      <c r="C45" s="16"/>
      <c r="D45" s="43" t="s">
        <v>77</v>
      </c>
      <c r="E45" s="16"/>
      <c r="F45" s="27" t="s">
        <v>75</v>
      </c>
      <c r="H45" s="42"/>
    </row>
    <row r="46" spans="2:8" ht="15.75" customHeight="1" x14ac:dyDescent="0.2">
      <c r="B46" s="44" t="s">
        <v>78</v>
      </c>
      <c r="C46" s="16"/>
      <c r="D46" s="43" t="s">
        <v>79</v>
      </c>
      <c r="E46" s="16"/>
      <c r="F46" s="27" t="s">
        <v>33</v>
      </c>
      <c r="H46" s="42"/>
    </row>
    <row r="47" spans="2:8" ht="15.75" customHeight="1" x14ac:dyDescent="0.2">
      <c r="B47" s="44" t="s">
        <v>80</v>
      </c>
      <c r="C47" s="16"/>
      <c r="D47" s="43" t="s">
        <v>81</v>
      </c>
      <c r="E47" s="16"/>
      <c r="F47" s="27" t="s">
        <v>33</v>
      </c>
      <c r="H47" s="42"/>
    </row>
    <row r="48" spans="2:8" ht="15.75" customHeight="1" x14ac:dyDescent="0.2">
      <c r="B48" s="44" t="s">
        <v>82</v>
      </c>
      <c r="C48" s="16"/>
      <c r="D48" s="43" t="s">
        <v>79</v>
      </c>
      <c r="E48" s="16"/>
      <c r="F48" s="27" t="s">
        <v>83</v>
      </c>
      <c r="H48" s="42"/>
    </row>
    <row r="49" spans="2:8" ht="15.75" customHeight="1" x14ac:dyDescent="0.2">
      <c r="B49" s="44" t="s">
        <v>84</v>
      </c>
      <c r="C49" s="16"/>
      <c r="D49" s="43" t="s">
        <v>85</v>
      </c>
      <c r="E49" s="16"/>
      <c r="F49" s="27" t="s">
        <v>83</v>
      </c>
      <c r="H49" s="42"/>
    </row>
    <row r="50" spans="2:8" ht="15.75" customHeight="1" x14ac:dyDescent="0.2">
      <c r="B50" s="44" t="s">
        <v>86</v>
      </c>
      <c r="C50" s="16"/>
      <c r="D50" s="43" t="s">
        <v>87</v>
      </c>
      <c r="E50" s="16"/>
      <c r="F50" s="27" t="s">
        <v>33</v>
      </c>
      <c r="H50" s="42"/>
    </row>
    <row r="51" spans="2:8" ht="15.75" customHeight="1" x14ac:dyDescent="0.2">
      <c r="B51" s="44" t="s">
        <v>88</v>
      </c>
      <c r="C51" s="16"/>
      <c r="D51" s="43" t="s">
        <v>89</v>
      </c>
      <c r="E51" s="16"/>
      <c r="F51" s="27" t="s">
        <v>90</v>
      </c>
      <c r="H51" s="42"/>
    </row>
    <row r="52" spans="2:8" ht="15.75" customHeight="1" x14ac:dyDescent="0.2">
      <c r="B52" s="44" t="s">
        <v>91</v>
      </c>
      <c r="C52" s="16"/>
      <c r="D52" s="43" t="s">
        <v>92</v>
      </c>
      <c r="E52" s="16"/>
      <c r="F52" s="27" t="s">
        <v>33</v>
      </c>
      <c r="H52" s="42"/>
    </row>
    <row r="53" spans="2:8" ht="15.75" customHeight="1" x14ac:dyDescent="0.2">
      <c r="B53" s="44" t="s">
        <v>93</v>
      </c>
      <c r="C53" s="16"/>
      <c r="D53" s="43" t="s">
        <v>94</v>
      </c>
      <c r="E53" s="16"/>
      <c r="F53" s="27" t="s">
        <v>33</v>
      </c>
    </row>
    <row r="54" spans="2:8" ht="15.75" customHeight="1" x14ac:dyDescent="0.2">
      <c r="B54" s="44" t="s">
        <v>95</v>
      </c>
      <c r="C54" s="16"/>
      <c r="D54" s="43" t="s">
        <v>92</v>
      </c>
      <c r="E54" s="16"/>
      <c r="F54" s="27" t="s">
        <v>33</v>
      </c>
    </row>
    <row r="55" spans="2:8" ht="15.75" customHeight="1" x14ac:dyDescent="0.2">
      <c r="B55" s="44" t="s">
        <v>96</v>
      </c>
      <c r="C55" s="16"/>
      <c r="D55" s="43" t="s">
        <v>97</v>
      </c>
      <c r="E55" s="16"/>
      <c r="F55" s="27" t="s">
        <v>98</v>
      </c>
    </row>
    <row r="56" spans="2:8" ht="15.75" customHeight="1" x14ac:dyDescent="0.2">
      <c r="B56" s="44" t="s">
        <v>99</v>
      </c>
      <c r="C56" s="16"/>
      <c r="D56" s="43" t="s">
        <v>100</v>
      </c>
      <c r="E56" s="16"/>
      <c r="F56" s="27" t="s">
        <v>90</v>
      </c>
    </row>
    <row r="57" spans="2:8" ht="15.75" customHeight="1" x14ac:dyDescent="0.2">
      <c r="B57" s="44" t="s">
        <v>101</v>
      </c>
      <c r="C57" s="16"/>
      <c r="D57" s="43" t="s">
        <v>102</v>
      </c>
      <c r="E57" s="16"/>
      <c r="F57" s="27" t="s">
        <v>90</v>
      </c>
    </row>
    <row r="58" spans="2:8" ht="15.75" customHeight="1" x14ac:dyDescent="0.2">
      <c r="B58" s="44" t="s">
        <v>103</v>
      </c>
      <c r="C58" s="16"/>
      <c r="D58" s="43" t="s">
        <v>100</v>
      </c>
      <c r="E58" s="16"/>
      <c r="F58" s="27" t="s">
        <v>104</v>
      </c>
    </row>
    <row r="59" spans="2:8" ht="15.75" customHeight="1" x14ac:dyDescent="0.2">
      <c r="B59" s="44" t="s">
        <v>105</v>
      </c>
      <c r="C59" s="16"/>
      <c r="D59" s="43" t="s">
        <v>106</v>
      </c>
      <c r="E59" s="16"/>
      <c r="F59" s="27" t="s">
        <v>90</v>
      </c>
    </row>
    <row r="60" spans="2:8" ht="15.75" customHeight="1" x14ac:dyDescent="0.2">
      <c r="B60" s="44" t="s">
        <v>107</v>
      </c>
      <c r="C60" s="16"/>
      <c r="D60" s="43" t="s">
        <v>108</v>
      </c>
      <c r="E60" s="16"/>
      <c r="F60" s="27" t="s">
        <v>109</v>
      </c>
    </row>
    <row r="61" spans="2:8" ht="15.75" customHeight="1" x14ac:dyDescent="0.2">
      <c r="B61" s="44" t="s">
        <v>110</v>
      </c>
      <c r="C61" s="16"/>
      <c r="D61" s="43" t="s">
        <v>111</v>
      </c>
      <c r="E61" s="16"/>
      <c r="F61" s="27" t="s">
        <v>90</v>
      </c>
    </row>
    <row r="62" spans="2:8" ht="15.75" customHeight="1" x14ac:dyDescent="0.2">
      <c r="B62" s="44" t="s">
        <v>112</v>
      </c>
      <c r="C62" s="16"/>
      <c r="D62" s="43" t="s">
        <v>113</v>
      </c>
      <c r="E62" s="16"/>
      <c r="F62" s="27" t="s">
        <v>114</v>
      </c>
    </row>
    <row r="63" spans="2:8" ht="15.75" customHeight="1" x14ac:dyDescent="0.2">
      <c r="B63" s="44" t="s">
        <v>115</v>
      </c>
      <c r="C63" s="16"/>
      <c r="D63" s="43" t="s">
        <v>116</v>
      </c>
      <c r="E63" s="16"/>
      <c r="F63" s="27" t="s">
        <v>114</v>
      </c>
    </row>
    <row r="64" spans="2:8" ht="15.75" customHeight="1" x14ac:dyDescent="0.2">
      <c r="B64" s="44" t="s">
        <v>117</v>
      </c>
      <c r="C64" s="16"/>
      <c r="D64" s="43" t="s">
        <v>118</v>
      </c>
      <c r="E64" s="16"/>
      <c r="F64" s="27" t="s">
        <v>119</v>
      </c>
    </row>
    <row r="65" spans="2:7" ht="15.75" customHeight="1" x14ac:dyDescent="0.2">
      <c r="B65" s="44" t="s">
        <v>120</v>
      </c>
      <c r="C65" s="16"/>
      <c r="D65" s="43" t="s">
        <v>121</v>
      </c>
      <c r="E65" s="16"/>
      <c r="F65" s="27" t="s">
        <v>33</v>
      </c>
    </row>
    <row r="66" spans="2:7" ht="15.75" customHeight="1" x14ac:dyDescent="0.2">
      <c r="B66" s="44" t="s">
        <v>122</v>
      </c>
      <c r="C66" s="16"/>
      <c r="D66" s="43" t="s">
        <v>118</v>
      </c>
      <c r="E66" s="16"/>
      <c r="F66" s="27" t="s">
        <v>119</v>
      </c>
    </row>
    <row r="67" spans="2:7" ht="15.75" customHeight="1" x14ac:dyDescent="0.2">
      <c r="B67" s="44" t="s">
        <v>123</v>
      </c>
      <c r="C67" s="16"/>
      <c r="D67" s="43" t="s">
        <v>124</v>
      </c>
      <c r="E67" s="16"/>
      <c r="F67" s="27" t="s">
        <v>125</v>
      </c>
      <c r="G67" s="41"/>
    </row>
    <row r="68" spans="2:7" ht="15.75" customHeight="1" x14ac:dyDescent="0.2">
      <c r="B68" s="44" t="s">
        <v>126</v>
      </c>
      <c r="C68" s="16"/>
      <c r="D68" s="43" t="s">
        <v>127</v>
      </c>
      <c r="E68" s="16"/>
      <c r="F68" s="27" t="s">
        <v>33</v>
      </c>
    </row>
    <row r="69" spans="2:7" ht="15.75" customHeight="1" x14ac:dyDescent="0.2">
      <c r="B69" s="44" t="s">
        <v>128</v>
      </c>
      <c r="C69" s="16"/>
      <c r="D69" s="43" t="s">
        <v>129</v>
      </c>
      <c r="E69" s="16"/>
      <c r="F69" s="27" t="s">
        <v>130</v>
      </c>
    </row>
    <row r="70" spans="2:7" ht="15.75" customHeight="1" x14ac:dyDescent="0.2">
      <c r="B70" s="44" t="s">
        <v>131</v>
      </c>
      <c r="C70" s="16"/>
      <c r="D70" s="43" t="s">
        <v>129</v>
      </c>
      <c r="E70" s="16"/>
      <c r="F70" s="27" t="s">
        <v>130</v>
      </c>
    </row>
    <row r="71" spans="2:7" ht="15.75" customHeight="1" x14ac:dyDescent="0.2">
      <c r="B71" s="44" t="s">
        <v>132</v>
      </c>
      <c r="C71" s="16"/>
      <c r="D71" s="43" t="s">
        <v>133</v>
      </c>
      <c r="E71" s="16"/>
      <c r="F71" s="27" t="s">
        <v>134</v>
      </c>
      <c r="G71" s="41"/>
    </row>
    <row r="72" spans="2:7" ht="15.75" customHeight="1" x14ac:dyDescent="0.2">
      <c r="B72" s="44" t="s">
        <v>135</v>
      </c>
      <c r="C72" s="16"/>
      <c r="D72" s="43" t="s">
        <v>136</v>
      </c>
      <c r="E72" s="16"/>
      <c r="F72" s="27" t="s">
        <v>311</v>
      </c>
    </row>
    <row r="73" spans="2:7" ht="15.75" customHeight="1" x14ac:dyDescent="0.2">
      <c r="B73" s="44" t="s">
        <v>137</v>
      </c>
      <c r="C73" s="16"/>
      <c r="D73" s="43" t="s">
        <v>138</v>
      </c>
      <c r="E73" s="16"/>
      <c r="F73" s="27"/>
    </row>
    <row r="74" spans="2:7" ht="15" customHeight="1" x14ac:dyDescent="0.2">
      <c r="B74" s="44" t="s">
        <v>139</v>
      </c>
      <c r="C74" s="16"/>
      <c r="D74" s="43" t="s">
        <v>140</v>
      </c>
      <c r="E74" s="16"/>
      <c r="F74" s="27"/>
    </row>
    <row r="75" spans="2:7" ht="15" customHeight="1" x14ac:dyDescent="0.2">
      <c r="B75" s="44" t="s">
        <v>141</v>
      </c>
      <c r="C75" s="16"/>
      <c r="D75" s="43" t="s">
        <v>142</v>
      </c>
      <c r="E75" s="16"/>
      <c r="F75" s="27"/>
    </row>
    <row r="76" spans="2:7" ht="15" customHeight="1" x14ac:dyDescent="0.2">
      <c r="B76" s="44" t="s">
        <v>143</v>
      </c>
      <c r="C76" s="16"/>
      <c r="D76" s="43" t="s">
        <v>144</v>
      </c>
      <c r="E76" s="16"/>
      <c r="F76" s="27"/>
    </row>
    <row r="77" spans="2:7" ht="15" customHeight="1" x14ac:dyDescent="0.2">
      <c r="B77" s="44" t="s">
        <v>145</v>
      </c>
      <c r="C77" s="16"/>
      <c r="D77" s="43" t="s">
        <v>144</v>
      </c>
      <c r="E77" s="16"/>
      <c r="F77" s="27"/>
    </row>
    <row r="78" spans="2:7" ht="15" customHeight="1" x14ac:dyDescent="0.2">
      <c r="B78" s="44" t="s">
        <v>146</v>
      </c>
      <c r="C78" s="16"/>
      <c r="D78" s="43" t="s">
        <v>147</v>
      </c>
      <c r="E78" s="16"/>
      <c r="F78" s="27"/>
    </row>
    <row r="79" spans="2:7" ht="15" customHeight="1" x14ac:dyDescent="0.2">
      <c r="B79" s="44" t="s">
        <v>148</v>
      </c>
      <c r="C79" s="16"/>
      <c r="D79" s="43" t="s">
        <v>149</v>
      </c>
      <c r="E79" s="16"/>
      <c r="F79" s="27"/>
    </row>
    <row r="80" spans="2:7" ht="15" customHeight="1" x14ac:dyDescent="0.2"/>
    <row r="81" ht="15" customHeight="1" x14ac:dyDescent="0.2"/>
    <row r="82" ht="15" customHeight="1" x14ac:dyDescent="0.2"/>
    <row r="83" ht="15" customHeight="1" x14ac:dyDescent="0.2"/>
    <row r="84" ht="15" customHeight="1" x14ac:dyDescent="0.2"/>
    <row r="85" ht="15" customHeight="1" x14ac:dyDescent="0.2"/>
    <row r="86" ht="15" customHeight="1" x14ac:dyDescent="0.2"/>
    <row r="87" ht="15" customHeight="1" x14ac:dyDescent="0.2"/>
    <row r="88" ht="15" customHeight="1" x14ac:dyDescent="0.2"/>
    <row r="89" ht="15" customHeight="1" x14ac:dyDescent="0.2"/>
    <row r="90" ht="15" customHeight="1" x14ac:dyDescent="0.2"/>
    <row r="91" ht="15" customHeight="1" x14ac:dyDescent="0.2"/>
    <row r="92" ht="15" customHeight="1" x14ac:dyDescent="0.2"/>
    <row r="93" ht="15" customHeight="1" x14ac:dyDescent="0.2"/>
    <row r="94" ht="15" customHeight="1" x14ac:dyDescent="0.2"/>
    <row r="95" ht="15" customHeight="1" x14ac:dyDescent="0.2"/>
    <row r="96" ht="15" customHeight="1" x14ac:dyDescent="0.2"/>
    <row r="97" ht="15" customHeight="1" x14ac:dyDescent="0.2"/>
  </sheetData>
  <sheetProtection algorithmName="SHA-512" hashValue="BIU+aH7eftoXnkzZHvKkcNYIe/m7wH4ASAznJ5QJGcErGEBhS1eFVdTG0Lg50re8WKZv5I62BrUwyv2rJoq7wQ==" saltValue="GFKnlw2jRwiWD5j40PBozg==" spinCount="100000" sheet="1" selectLockedCells="1" selectUnlockedCells="1"/>
  <pageMargins left="0.511811024" right="0.511811024" top="0.78740157499999996" bottom="0.78740157499999996" header="0.31496062000000002" footer="0.31496062000000002"/>
  <pageSetup paperSize="9" orientation="portrait" horizontalDpi="300" verticalDpi="30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Plan7">
    <tabColor theme="8" tint="-0.249977111117893"/>
  </sheetPr>
  <dimension ref="B2:J37"/>
  <sheetViews>
    <sheetView showGridLines="0" showRowColHeaders="0" workbookViewId="0"/>
  </sheetViews>
  <sheetFormatPr defaultRowHeight="12.75" x14ac:dyDescent="0.2"/>
  <cols>
    <col min="1" max="1" width="6.7109375" style="25" customWidth="1"/>
    <col min="2" max="2" width="8.140625" style="24" bestFit="1" customWidth="1"/>
    <col min="3" max="3" width="3.7109375" style="25" customWidth="1"/>
    <col min="4" max="4" width="22.7109375" style="25" customWidth="1"/>
    <col min="5" max="5" width="25" style="25" customWidth="1"/>
    <col min="6" max="6" width="2.7109375" style="25" customWidth="1"/>
    <col min="7" max="7" width="8.140625" style="24" bestFit="1" customWidth="1"/>
    <col min="8" max="8" width="3.7109375" style="25" customWidth="1"/>
    <col min="9" max="9" width="12.7109375" style="25" customWidth="1"/>
    <col min="10" max="10" width="48.7109375" style="25" customWidth="1"/>
    <col min="11" max="16384" width="9.140625" style="25"/>
  </cols>
  <sheetData>
    <row r="2" spans="2:10" x14ac:dyDescent="0.2">
      <c r="B2" s="30" t="s">
        <v>179</v>
      </c>
      <c r="C2" s="178" t="s">
        <v>15</v>
      </c>
      <c r="D2" s="179"/>
      <c r="E2" s="30" t="s">
        <v>194</v>
      </c>
      <c r="G2" s="30" t="s">
        <v>179</v>
      </c>
      <c r="H2" s="178" t="s">
        <v>187</v>
      </c>
      <c r="I2" s="179"/>
      <c r="J2" s="30" t="s">
        <v>194</v>
      </c>
    </row>
    <row r="3" spans="2:10" ht="24.75" customHeight="1" x14ac:dyDescent="0.2">
      <c r="B3" s="28">
        <v>7</v>
      </c>
      <c r="C3" s="15"/>
      <c r="D3" s="31" t="s">
        <v>154</v>
      </c>
      <c r="E3" s="26" t="s">
        <v>401</v>
      </c>
      <c r="G3" s="28">
        <v>16</v>
      </c>
      <c r="H3" s="15"/>
      <c r="I3" s="35" t="s">
        <v>0</v>
      </c>
      <c r="J3" s="26" t="s">
        <v>405</v>
      </c>
    </row>
    <row r="4" spans="2:10" ht="24.75" customHeight="1" x14ac:dyDescent="0.2">
      <c r="B4" s="28">
        <v>7</v>
      </c>
      <c r="C4" s="18"/>
      <c r="D4" s="32" t="s">
        <v>1</v>
      </c>
      <c r="E4" s="26" t="s">
        <v>402</v>
      </c>
      <c r="G4" s="29">
        <v>10</v>
      </c>
      <c r="H4" s="15"/>
      <c r="I4" s="35" t="s">
        <v>19</v>
      </c>
      <c r="J4" s="27" t="s">
        <v>404</v>
      </c>
    </row>
    <row r="5" spans="2:10" ht="12.75" customHeight="1" x14ac:dyDescent="0.2">
      <c r="B5" s="29">
        <v>5</v>
      </c>
      <c r="C5" s="19"/>
      <c r="D5" s="31" t="s">
        <v>155</v>
      </c>
      <c r="E5" s="26" t="s">
        <v>400</v>
      </c>
      <c r="G5" s="29">
        <v>9</v>
      </c>
      <c r="H5" s="18"/>
      <c r="I5" s="35" t="s">
        <v>12</v>
      </c>
      <c r="J5" s="26" t="s">
        <v>403</v>
      </c>
    </row>
    <row r="6" spans="2:10" ht="12.75" customHeight="1" x14ac:dyDescent="0.2">
      <c r="B6" s="29">
        <v>4</v>
      </c>
      <c r="C6" s="19"/>
      <c r="D6" s="33" t="s">
        <v>157</v>
      </c>
      <c r="E6" s="26" t="s">
        <v>196</v>
      </c>
      <c r="G6" s="29">
        <v>8</v>
      </c>
      <c r="H6" s="18"/>
      <c r="I6" s="36" t="s">
        <v>237</v>
      </c>
      <c r="J6" s="26" t="s">
        <v>318</v>
      </c>
    </row>
    <row r="7" spans="2:10" ht="12.75" customHeight="1" x14ac:dyDescent="0.2">
      <c r="B7" s="29">
        <v>4</v>
      </c>
      <c r="C7" s="18"/>
      <c r="D7" s="33" t="s">
        <v>4</v>
      </c>
      <c r="E7" s="26" t="s">
        <v>293</v>
      </c>
      <c r="G7" s="29">
        <v>7</v>
      </c>
      <c r="H7" s="18"/>
      <c r="I7" s="37" t="s">
        <v>263</v>
      </c>
      <c r="J7" s="26" t="s">
        <v>224</v>
      </c>
    </row>
    <row r="8" spans="2:10" ht="12.75" customHeight="1" x14ac:dyDescent="0.2">
      <c r="B8" s="29">
        <v>4</v>
      </c>
      <c r="C8" s="19"/>
      <c r="D8" s="34" t="s">
        <v>299</v>
      </c>
      <c r="E8" s="26" t="s">
        <v>317</v>
      </c>
      <c r="G8" s="29">
        <v>6</v>
      </c>
      <c r="H8" s="18"/>
      <c r="I8" s="36" t="s">
        <v>11</v>
      </c>
      <c r="J8" s="26" t="s">
        <v>319</v>
      </c>
    </row>
    <row r="9" spans="2:10" x14ac:dyDescent="0.2">
      <c r="B9" s="29">
        <v>3</v>
      </c>
      <c r="C9" s="19"/>
      <c r="D9" s="33" t="s">
        <v>172</v>
      </c>
      <c r="E9" s="26" t="s">
        <v>197</v>
      </c>
      <c r="G9" s="29">
        <v>2</v>
      </c>
      <c r="H9" s="18"/>
      <c r="I9" s="37" t="s">
        <v>181</v>
      </c>
      <c r="J9" s="26" t="s">
        <v>225</v>
      </c>
    </row>
    <row r="10" spans="2:10" x14ac:dyDescent="0.2">
      <c r="B10" s="29">
        <v>3</v>
      </c>
      <c r="C10" s="18"/>
      <c r="D10" s="33" t="s">
        <v>191</v>
      </c>
      <c r="E10" s="26" t="s">
        <v>241</v>
      </c>
      <c r="G10" s="29">
        <v>2</v>
      </c>
      <c r="H10" s="18"/>
      <c r="I10" s="37" t="s">
        <v>180</v>
      </c>
      <c r="J10" s="26" t="s">
        <v>226</v>
      </c>
    </row>
    <row r="11" spans="2:10" x14ac:dyDescent="0.2">
      <c r="B11" s="29">
        <v>3</v>
      </c>
      <c r="C11" s="18"/>
      <c r="D11" s="33" t="s">
        <v>165</v>
      </c>
      <c r="E11" s="26" t="s">
        <v>198</v>
      </c>
      <c r="G11" s="29">
        <v>2</v>
      </c>
      <c r="H11" s="18"/>
      <c r="I11" s="37" t="s">
        <v>2</v>
      </c>
      <c r="J11" s="26" t="s">
        <v>206</v>
      </c>
    </row>
    <row r="12" spans="2:10" x14ac:dyDescent="0.2">
      <c r="B12" s="29">
        <v>3</v>
      </c>
      <c r="C12" s="18"/>
      <c r="D12" s="33" t="s">
        <v>158</v>
      </c>
      <c r="E12" s="26" t="s">
        <v>199</v>
      </c>
      <c r="G12" s="29">
        <v>1</v>
      </c>
      <c r="H12" s="18"/>
      <c r="I12" s="37" t="s">
        <v>223</v>
      </c>
      <c r="J12" s="26" t="s">
        <v>208</v>
      </c>
    </row>
    <row r="13" spans="2:10" x14ac:dyDescent="0.2">
      <c r="B13" s="29">
        <v>3</v>
      </c>
      <c r="C13" s="19"/>
      <c r="D13" s="33" t="s">
        <v>156</v>
      </c>
      <c r="E13" s="26" t="s">
        <v>200</v>
      </c>
      <c r="G13" s="29">
        <v>1</v>
      </c>
      <c r="H13" s="18"/>
      <c r="I13" s="37" t="s">
        <v>185</v>
      </c>
      <c r="J13" s="26" t="s">
        <v>195</v>
      </c>
    </row>
    <row r="14" spans="2:10" x14ac:dyDescent="0.2">
      <c r="B14" s="29">
        <v>2</v>
      </c>
      <c r="C14" s="18"/>
      <c r="D14" s="33" t="s">
        <v>177</v>
      </c>
      <c r="E14" s="26" t="s">
        <v>201</v>
      </c>
      <c r="G14" s="29">
        <v>1</v>
      </c>
      <c r="H14" s="18"/>
      <c r="I14" s="37" t="s">
        <v>184</v>
      </c>
      <c r="J14" s="26" t="s">
        <v>227</v>
      </c>
    </row>
    <row r="15" spans="2:10" x14ac:dyDescent="0.2">
      <c r="B15" s="29">
        <v>2</v>
      </c>
      <c r="C15" s="18"/>
      <c r="D15" s="33" t="s">
        <v>171</v>
      </c>
      <c r="E15" s="26" t="s">
        <v>202</v>
      </c>
      <c r="G15" s="29">
        <v>1</v>
      </c>
      <c r="H15" s="18"/>
      <c r="I15" s="37" t="s">
        <v>183</v>
      </c>
      <c r="J15" s="26" t="s">
        <v>228</v>
      </c>
    </row>
    <row r="16" spans="2:10" x14ac:dyDescent="0.2">
      <c r="B16" s="29">
        <v>2</v>
      </c>
      <c r="C16" s="18"/>
      <c r="D16" s="33" t="s">
        <v>173</v>
      </c>
      <c r="E16" s="26" t="s">
        <v>203</v>
      </c>
      <c r="G16" s="29">
        <v>1</v>
      </c>
      <c r="H16" s="18"/>
      <c r="I16" s="37" t="s">
        <v>182</v>
      </c>
      <c r="J16" s="26" t="s">
        <v>231</v>
      </c>
    </row>
    <row r="17" spans="2:10" x14ac:dyDescent="0.2">
      <c r="B17" s="29">
        <v>2</v>
      </c>
      <c r="C17" s="18"/>
      <c r="D17" s="33" t="s">
        <v>159</v>
      </c>
      <c r="E17" s="26" t="s">
        <v>204</v>
      </c>
      <c r="G17" s="29">
        <v>1</v>
      </c>
      <c r="H17" s="18"/>
      <c r="I17" s="37" t="s">
        <v>186</v>
      </c>
      <c r="J17" s="26" t="s">
        <v>222</v>
      </c>
    </row>
    <row r="18" spans="2:10" x14ac:dyDescent="0.2">
      <c r="B18" s="29">
        <v>2</v>
      </c>
      <c r="C18" s="18"/>
      <c r="D18" s="33" t="s">
        <v>160</v>
      </c>
      <c r="E18" s="26" t="s">
        <v>205</v>
      </c>
    </row>
    <row r="19" spans="2:10" x14ac:dyDescent="0.2">
      <c r="B19" s="29">
        <v>2</v>
      </c>
      <c r="C19" s="19"/>
      <c r="D19" s="34" t="s">
        <v>30</v>
      </c>
      <c r="E19" s="26" t="s">
        <v>206</v>
      </c>
    </row>
    <row r="20" spans="2:10" x14ac:dyDescent="0.2">
      <c r="B20" s="29">
        <v>1</v>
      </c>
      <c r="C20" s="19"/>
      <c r="D20" s="33" t="s">
        <v>178</v>
      </c>
      <c r="E20" s="26" t="s">
        <v>207</v>
      </c>
    </row>
    <row r="21" spans="2:10" x14ac:dyDescent="0.2">
      <c r="B21" s="29">
        <v>1</v>
      </c>
      <c r="C21" s="18"/>
      <c r="D21" s="33" t="s">
        <v>176</v>
      </c>
      <c r="E21" s="26" t="s">
        <v>208</v>
      </c>
    </row>
    <row r="22" spans="2:10" x14ac:dyDescent="0.2">
      <c r="B22" s="29">
        <v>1</v>
      </c>
      <c r="C22" s="19"/>
      <c r="D22" s="33" t="s">
        <v>175</v>
      </c>
      <c r="E22" s="26" t="s">
        <v>209</v>
      </c>
    </row>
    <row r="23" spans="2:10" x14ac:dyDescent="0.2">
      <c r="B23" s="29">
        <v>1</v>
      </c>
      <c r="C23" s="18"/>
      <c r="D23" s="33" t="s">
        <v>174</v>
      </c>
      <c r="E23" s="26" t="s">
        <v>210</v>
      </c>
    </row>
    <row r="24" spans="2:10" x14ac:dyDescent="0.2">
      <c r="B24" s="29">
        <v>1</v>
      </c>
      <c r="C24" s="18"/>
      <c r="D24" s="33" t="s">
        <v>192</v>
      </c>
      <c r="E24" s="26" t="s">
        <v>211</v>
      </c>
    </row>
    <row r="25" spans="2:10" x14ac:dyDescent="0.2">
      <c r="B25" s="29">
        <v>1</v>
      </c>
      <c r="C25" s="19"/>
      <c r="D25" s="33" t="s">
        <v>170</v>
      </c>
      <c r="E25" s="26" t="s">
        <v>212</v>
      </c>
    </row>
    <row r="26" spans="2:10" x14ac:dyDescent="0.2">
      <c r="B26" s="29">
        <v>1</v>
      </c>
      <c r="C26" s="18"/>
      <c r="D26" s="33" t="s">
        <v>169</v>
      </c>
      <c r="E26" s="26" t="s">
        <v>213</v>
      </c>
    </row>
    <row r="27" spans="2:10" x14ac:dyDescent="0.2">
      <c r="B27" s="29">
        <v>1</v>
      </c>
      <c r="C27" s="18"/>
      <c r="D27" s="33" t="s">
        <v>193</v>
      </c>
      <c r="E27" s="26" t="s">
        <v>214</v>
      </c>
    </row>
    <row r="28" spans="2:10" x14ac:dyDescent="0.2">
      <c r="B28" s="29">
        <v>1</v>
      </c>
      <c r="C28" s="19"/>
      <c r="D28" s="33" t="s">
        <v>168</v>
      </c>
      <c r="E28" s="26" t="s">
        <v>215</v>
      </c>
    </row>
    <row r="29" spans="2:10" x14ac:dyDescent="0.2">
      <c r="B29" s="29">
        <v>1</v>
      </c>
      <c r="C29" s="18"/>
      <c r="D29" s="33" t="s">
        <v>167</v>
      </c>
      <c r="E29" s="26" t="s">
        <v>216</v>
      </c>
    </row>
    <row r="30" spans="2:10" x14ac:dyDescent="0.2">
      <c r="B30" s="29">
        <v>1</v>
      </c>
      <c r="C30" s="19"/>
      <c r="D30" s="33" t="s">
        <v>166</v>
      </c>
      <c r="E30" s="26" t="s">
        <v>217</v>
      </c>
    </row>
    <row r="31" spans="2:10" x14ac:dyDescent="0.2">
      <c r="B31" s="29">
        <v>1</v>
      </c>
      <c r="C31" s="18"/>
      <c r="D31" s="33" t="s">
        <v>164</v>
      </c>
      <c r="E31" s="26" t="s">
        <v>218</v>
      </c>
    </row>
    <row r="32" spans="2:10" x14ac:dyDescent="0.2">
      <c r="B32" s="29">
        <v>1</v>
      </c>
      <c r="C32" s="18"/>
      <c r="D32" s="33" t="s">
        <v>163</v>
      </c>
      <c r="E32" s="26" t="s">
        <v>219</v>
      </c>
    </row>
    <row r="33" spans="2:5" x14ac:dyDescent="0.2">
      <c r="B33" s="29">
        <v>1</v>
      </c>
      <c r="C33" s="19"/>
      <c r="D33" s="33" t="s">
        <v>162</v>
      </c>
      <c r="E33" s="26" t="s">
        <v>220</v>
      </c>
    </row>
    <row r="34" spans="2:5" x14ac:dyDescent="0.2">
      <c r="B34" s="29">
        <v>1</v>
      </c>
      <c r="C34" s="19"/>
      <c r="D34" s="33" t="s">
        <v>161</v>
      </c>
      <c r="E34" s="26" t="s">
        <v>221</v>
      </c>
    </row>
    <row r="35" spans="2:5" x14ac:dyDescent="0.2">
      <c r="B35" s="29">
        <v>1</v>
      </c>
      <c r="C35" s="19"/>
      <c r="D35" s="33" t="s">
        <v>13</v>
      </c>
      <c r="E35" s="26" t="s">
        <v>222</v>
      </c>
    </row>
    <row r="36" spans="2:5" x14ac:dyDescent="0.2">
      <c r="B36" s="29">
        <v>1</v>
      </c>
      <c r="C36" s="18"/>
      <c r="D36" s="33" t="s">
        <v>3</v>
      </c>
      <c r="E36" s="26" t="s">
        <v>303</v>
      </c>
    </row>
    <row r="37" spans="2:5" x14ac:dyDescent="0.2">
      <c r="B37" s="29">
        <v>1</v>
      </c>
      <c r="C37" s="18"/>
      <c r="D37" s="34" t="s">
        <v>310</v>
      </c>
      <c r="E37" s="26" t="s">
        <v>410</v>
      </c>
    </row>
  </sheetData>
  <sheetProtection algorithmName="SHA-512" hashValue="JBXGwOXqU7XxHW4ivY+Q4lmls5/bcMWftUq4xpnWG+VAHvzEOrc4ojSo1uEys85iIvUBHkZ6XFUetPD3GA9tvw==" saltValue="eWnv9Z8+fTOG3a3oTMBDaw==" spinCount="100000" sheet="1" selectLockedCells="1" selectUnlockedCells="1"/>
  <sortState xmlns:xlrd2="http://schemas.microsoft.com/office/spreadsheetml/2017/richdata2" ref="B3:D10">
    <sortCondition descending="1" ref="B3"/>
  </sortState>
  <mergeCells count="2">
    <mergeCell ref="C2:D2"/>
    <mergeCell ref="H2:I2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c8c2798-6aba-4af7-93a4-b89253b0365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BF2846C41E31A469E3CED25F2422E48" ma:contentTypeVersion="15" ma:contentTypeDescription="Create a new document." ma:contentTypeScope="" ma:versionID="d0c08e4af4d80db6585ac36ba965bb3a">
  <xsd:schema xmlns:xsd="http://www.w3.org/2001/XMLSchema" xmlns:xs="http://www.w3.org/2001/XMLSchema" xmlns:p="http://schemas.microsoft.com/office/2006/metadata/properties" xmlns:ns3="2c8c20e6-817c-474f-b9c2-eb2b1ac24837" xmlns:ns4="dc8c2798-6aba-4af7-93a4-b89253b03650" targetNamespace="http://schemas.microsoft.com/office/2006/metadata/properties" ma:root="true" ma:fieldsID="4e7db2db65f9cb533b4933096bc9b657" ns3:_="" ns4:_="">
    <xsd:import namespace="2c8c20e6-817c-474f-b9c2-eb2b1ac24837"/>
    <xsd:import namespace="dc8c2798-6aba-4af7-93a4-b89253b03650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GenerationTime" minOccurs="0"/>
                <xsd:element ref="ns4:MediaServiceEventHashCode" minOccurs="0"/>
                <xsd:element ref="ns4:MediaServiceDateTaken" minOccurs="0"/>
                <xsd:element ref="ns4:MediaServiceOCR" minOccurs="0"/>
                <xsd:element ref="ns4:MediaServiceLocation" minOccurs="0"/>
                <xsd:element ref="ns4:MediaLengthInSeconds" minOccurs="0"/>
                <xsd:element ref="ns4:_activity" minOccurs="0"/>
                <xsd:element ref="ns4:MediaServiceObjectDetectorVersion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8c20e6-817c-474f-b9c2-eb2b1ac2483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c2798-6aba-4af7-93a4-b89253b036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61F7CF5-0BD2-4A9C-92E4-E91625C724C3}">
  <ds:schemaRefs>
    <ds:schemaRef ds:uri="http://schemas.microsoft.com/office/2006/metadata/properties"/>
    <ds:schemaRef ds:uri="http://www.w3.org/XML/1998/namespace"/>
    <ds:schemaRef ds:uri="http://purl.org/dc/dcmitype/"/>
    <ds:schemaRef ds:uri="http://schemas.microsoft.com/office/2006/documentManagement/types"/>
    <ds:schemaRef ds:uri="http://purl.org/dc/elements/1.1/"/>
    <ds:schemaRef ds:uri="http://purl.org/dc/terms/"/>
    <ds:schemaRef ds:uri="2c8c20e6-817c-474f-b9c2-eb2b1ac24837"/>
    <ds:schemaRef ds:uri="dc8c2798-6aba-4af7-93a4-b89253b03650"/>
    <ds:schemaRef ds:uri="http://schemas.microsoft.com/office/infopath/2007/PartnerControls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DDA006E4-8C58-4DF8-8CC4-7CF3377B58C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c8c20e6-817c-474f-b9c2-eb2b1ac24837"/>
    <ds:schemaRef ds:uri="dc8c2798-6aba-4af7-93a4-b89253b0365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9F40ADE-07C2-4B67-A2A6-6DD804398D7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11</vt:i4>
      </vt:variant>
      <vt:variant>
        <vt:lpstr>Intervalos Nomeados</vt:lpstr>
      </vt:variant>
      <vt:variant>
        <vt:i4>4</vt:i4>
      </vt:variant>
    </vt:vector>
  </HeadingPairs>
  <TitlesOfParts>
    <vt:vector size="15" baseType="lpstr">
      <vt:lpstr>Dummy Table</vt:lpstr>
      <vt:lpstr>Calendário atual</vt:lpstr>
      <vt:lpstr>Temporada 2026</vt:lpstr>
      <vt:lpstr>Graf. Pilotos</vt:lpstr>
      <vt:lpstr>Dummy Chart</vt:lpstr>
      <vt:lpstr>Graf. Equipes</vt:lpstr>
      <vt:lpstr>Calendário e Pódios</vt:lpstr>
      <vt:lpstr>Resultados</vt:lpstr>
      <vt:lpstr>Equipes e Pilotos</vt:lpstr>
      <vt:lpstr>Campeões</vt:lpstr>
      <vt:lpstr>Títulos</vt:lpstr>
      <vt:lpstr>'Calendário e Pódios'!Area_de_impressao</vt:lpstr>
      <vt:lpstr>'Equipes e Pilotos'!Area_de_impressao</vt:lpstr>
      <vt:lpstr>Resultados!Area_de_impressao</vt:lpstr>
      <vt:lpstr>'Temporada 2026'!Area_de_impressao</vt:lpstr>
    </vt:vector>
  </TitlesOfParts>
  <Company>F1speed.com.br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Planilha Fórmula 1 2011</dc:title>
  <dc:subject>Fórmula 1</dc:subject>
  <dc:creator>Maurilyn</dc:creator>
  <cp:lastModifiedBy>MAURILYN JOSE DE LIMA JUNIOR</cp:lastModifiedBy>
  <dcterms:created xsi:type="dcterms:W3CDTF">2011-10-09T07:56:13Z</dcterms:created>
  <dcterms:modified xsi:type="dcterms:W3CDTF">2026-10-13T19:39:35Z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0x010100DBF2846C41E31A469E3CED25F2422E48</vt:lpwstr>
  </property>
</Properties>
</file>